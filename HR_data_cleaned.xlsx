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activeTab="2"/>
  </bookViews>
  <sheets>
    <sheet name="Data_preprocessing" sheetId="1" r:id="rId1"/>
    <sheet name="Cleaned_Dataset" sheetId="2" r:id="rId2"/>
    <sheet name="Pivot tables" sheetId="4" r:id="rId3"/>
  </sheets>
  <definedNames>
    <definedName name="_xlnm._FilterDatabase" localSheetId="1" hidden="1">Cleaned_Dataset!$A$1:$L$1001</definedName>
    <definedName name="Slicer_Dept_cleaned1">#N/A</definedName>
    <definedName name="Slicer_Performance_Category_calculated">#N/A</definedName>
  </definedNames>
  <calcPr calcId="144525"/>
  <pivotCaches>
    <pivotCache cacheId="0" r:id="rId4"/>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H2" i="2" l="1"/>
  <c r="M2" i="2" s="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2" i="2"/>
  <c r="H3" i="2"/>
  <c r="M3" i="2" s="1"/>
  <c r="H4" i="2"/>
  <c r="M4" i="2" s="1"/>
  <c r="H5" i="2"/>
  <c r="M5" i="2" s="1"/>
  <c r="H6" i="2"/>
  <c r="M6" i="2" s="1"/>
  <c r="H7" i="2"/>
  <c r="M7" i="2" s="1"/>
  <c r="H8" i="2"/>
  <c r="M8" i="2" s="1"/>
  <c r="H9" i="2"/>
  <c r="M9" i="2" s="1"/>
  <c r="H10" i="2"/>
  <c r="M10" i="2" s="1"/>
  <c r="H11" i="2"/>
  <c r="M11" i="2" s="1"/>
  <c r="H12" i="2"/>
  <c r="M12" i="2" s="1"/>
  <c r="H13" i="2"/>
  <c r="M13" i="2" s="1"/>
  <c r="H14" i="2"/>
  <c r="M14" i="2" s="1"/>
  <c r="H15" i="2"/>
  <c r="M15" i="2" s="1"/>
  <c r="H16" i="2"/>
  <c r="M16" i="2" s="1"/>
  <c r="H17" i="2"/>
  <c r="M17" i="2" s="1"/>
  <c r="H18" i="2"/>
  <c r="M18" i="2" s="1"/>
  <c r="H19" i="2"/>
  <c r="M19" i="2" s="1"/>
  <c r="H20" i="2"/>
  <c r="M20" i="2" s="1"/>
  <c r="H21" i="2"/>
  <c r="M21" i="2" s="1"/>
  <c r="H22" i="2"/>
  <c r="M22" i="2" s="1"/>
  <c r="H23" i="2"/>
  <c r="M23" i="2" s="1"/>
  <c r="H24" i="2"/>
  <c r="M24" i="2" s="1"/>
  <c r="H25" i="2"/>
  <c r="M25" i="2" s="1"/>
  <c r="H26" i="2"/>
  <c r="M26" i="2" s="1"/>
  <c r="H27" i="2"/>
  <c r="M27" i="2" s="1"/>
  <c r="H28" i="2"/>
  <c r="M28" i="2" s="1"/>
  <c r="H29" i="2"/>
  <c r="M29" i="2" s="1"/>
  <c r="H30" i="2"/>
  <c r="M30" i="2" s="1"/>
  <c r="H31" i="2"/>
  <c r="M31" i="2" s="1"/>
  <c r="H32" i="2"/>
  <c r="M32" i="2" s="1"/>
  <c r="H33" i="2"/>
  <c r="M33" i="2" s="1"/>
  <c r="H34" i="2"/>
  <c r="M34" i="2" s="1"/>
  <c r="H35" i="2"/>
  <c r="M35" i="2" s="1"/>
  <c r="H36" i="2"/>
  <c r="M36" i="2" s="1"/>
  <c r="H37" i="2"/>
  <c r="M37" i="2" s="1"/>
  <c r="H38" i="2"/>
  <c r="M38" i="2" s="1"/>
  <c r="H39" i="2"/>
  <c r="M39" i="2" s="1"/>
  <c r="H40" i="2"/>
  <c r="M40" i="2" s="1"/>
  <c r="H41" i="2"/>
  <c r="M41" i="2" s="1"/>
  <c r="H42" i="2"/>
  <c r="M42" i="2" s="1"/>
  <c r="H43" i="2"/>
  <c r="M43" i="2" s="1"/>
  <c r="H44" i="2"/>
  <c r="M44" i="2" s="1"/>
  <c r="H45" i="2"/>
  <c r="M45" i="2" s="1"/>
  <c r="H46" i="2"/>
  <c r="M46" i="2" s="1"/>
  <c r="H47" i="2"/>
  <c r="M47" i="2" s="1"/>
  <c r="H48" i="2"/>
  <c r="M48" i="2" s="1"/>
  <c r="H49" i="2"/>
  <c r="M49" i="2" s="1"/>
  <c r="H50" i="2"/>
  <c r="M50" i="2" s="1"/>
  <c r="H51" i="2"/>
  <c r="M51" i="2" s="1"/>
  <c r="H52" i="2"/>
  <c r="M52" i="2" s="1"/>
  <c r="H53" i="2"/>
  <c r="M53" i="2" s="1"/>
  <c r="H54" i="2"/>
  <c r="M54" i="2" s="1"/>
  <c r="H55" i="2"/>
  <c r="M55" i="2" s="1"/>
  <c r="H56" i="2"/>
  <c r="M56" i="2" s="1"/>
  <c r="H57" i="2"/>
  <c r="M57" i="2" s="1"/>
  <c r="H58" i="2"/>
  <c r="M58" i="2" s="1"/>
  <c r="H59" i="2"/>
  <c r="M59" i="2" s="1"/>
  <c r="H60" i="2"/>
  <c r="M60" i="2" s="1"/>
  <c r="H61" i="2"/>
  <c r="M61" i="2" s="1"/>
  <c r="H62" i="2"/>
  <c r="M62" i="2" s="1"/>
  <c r="H63" i="2"/>
  <c r="M63" i="2" s="1"/>
  <c r="H64" i="2"/>
  <c r="M64" i="2" s="1"/>
  <c r="H65" i="2"/>
  <c r="M65" i="2" s="1"/>
  <c r="H66" i="2"/>
  <c r="M66" i="2" s="1"/>
  <c r="H67" i="2"/>
  <c r="M67" i="2" s="1"/>
  <c r="H68" i="2"/>
  <c r="M68" i="2" s="1"/>
  <c r="H69" i="2"/>
  <c r="M69" i="2" s="1"/>
  <c r="H70" i="2"/>
  <c r="M70" i="2" s="1"/>
  <c r="H71" i="2"/>
  <c r="M71" i="2" s="1"/>
  <c r="H72" i="2"/>
  <c r="M72" i="2" s="1"/>
  <c r="H73" i="2"/>
  <c r="M73" i="2" s="1"/>
  <c r="H74" i="2"/>
  <c r="M74" i="2" s="1"/>
  <c r="H75" i="2"/>
  <c r="M75" i="2" s="1"/>
  <c r="H76" i="2"/>
  <c r="M76" i="2" s="1"/>
  <c r="H77" i="2"/>
  <c r="M77" i="2" s="1"/>
  <c r="H78" i="2"/>
  <c r="M78" i="2" s="1"/>
  <c r="H79" i="2"/>
  <c r="M79" i="2" s="1"/>
  <c r="H80" i="2"/>
  <c r="M80" i="2" s="1"/>
  <c r="H81" i="2"/>
  <c r="M81" i="2" s="1"/>
  <c r="H82" i="2"/>
  <c r="M82" i="2" s="1"/>
  <c r="H83" i="2"/>
  <c r="M83" i="2" s="1"/>
  <c r="H84" i="2"/>
  <c r="M84" i="2" s="1"/>
  <c r="H85" i="2"/>
  <c r="M85" i="2" s="1"/>
  <c r="H86" i="2"/>
  <c r="M86" i="2" s="1"/>
  <c r="H87" i="2"/>
  <c r="M87" i="2" s="1"/>
  <c r="H88" i="2"/>
  <c r="M88" i="2" s="1"/>
  <c r="H89" i="2"/>
  <c r="M89" i="2" s="1"/>
  <c r="H90" i="2"/>
  <c r="M90" i="2" s="1"/>
  <c r="H91" i="2"/>
  <c r="M91" i="2" s="1"/>
  <c r="H92" i="2"/>
  <c r="M92" i="2" s="1"/>
  <c r="H93" i="2"/>
  <c r="M93" i="2" s="1"/>
  <c r="H94" i="2"/>
  <c r="M94" i="2" s="1"/>
  <c r="H95" i="2"/>
  <c r="M95" i="2" s="1"/>
  <c r="H96" i="2"/>
  <c r="M96" i="2" s="1"/>
  <c r="H97" i="2"/>
  <c r="M97" i="2" s="1"/>
  <c r="H98" i="2"/>
  <c r="M98" i="2" s="1"/>
  <c r="H99" i="2"/>
  <c r="M99" i="2" s="1"/>
  <c r="H100" i="2"/>
  <c r="M100" i="2" s="1"/>
  <c r="H101" i="2"/>
  <c r="M101" i="2" s="1"/>
  <c r="H102" i="2"/>
  <c r="M102" i="2" s="1"/>
  <c r="H103" i="2"/>
  <c r="M103" i="2" s="1"/>
  <c r="H104" i="2"/>
  <c r="M104" i="2" s="1"/>
  <c r="H105" i="2"/>
  <c r="M105" i="2" s="1"/>
  <c r="H106" i="2"/>
  <c r="M106" i="2" s="1"/>
  <c r="H107" i="2"/>
  <c r="M107" i="2" s="1"/>
  <c r="H108" i="2"/>
  <c r="M108" i="2" s="1"/>
  <c r="H109" i="2"/>
  <c r="M109" i="2" s="1"/>
  <c r="H110" i="2"/>
  <c r="M110" i="2" s="1"/>
  <c r="H111" i="2"/>
  <c r="M111" i="2" s="1"/>
  <c r="H112" i="2"/>
  <c r="M112" i="2" s="1"/>
  <c r="H113" i="2"/>
  <c r="M113" i="2" s="1"/>
  <c r="H114" i="2"/>
  <c r="M114" i="2" s="1"/>
  <c r="H115" i="2"/>
  <c r="M115" i="2" s="1"/>
  <c r="H116" i="2"/>
  <c r="M116" i="2" s="1"/>
  <c r="H117" i="2"/>
  <c r="M117" i="2" s="1"/>
  <c r="H118" i="2"/>
  <c r="M118" i="2" s="1"/>
  <c r="H119" i="2"/>
  <c r="M119" i="2" s="1"/>
  <c r="H120" i="2"/>
  <c r="M120" i="2" s="1"/>
  <c r="H121" i="2"/>
  <c r="M121" i="2" s="1"/>
  <c r="H122" i="2"/>
  <c r="M122" i="2" s="1"/>
  <c r="H123" i="2"/>
  <c r="M123" i="2" s="1"/>
  <c r="H124" i="2"/>
  <c r="M124" i="2" s="1"/>
  <c r="H125" i="2"/>
  <c r="M125" i="2" s="1"/>
  <c r="H126" i="2"/>
  <c r="M126" i="2" s="1"/>
  <c r="H127" i="2"/>
  <c r="M127" i="2" s="1"/>
  <c r="H128" i="2"/>
  <c r="M128" i="2" s="1"/>
  <c r="H129" i="2"/>
  <c r="M129" i="2" s="1"/>
  <c r="H130" i="2"/>
  <c r="M130" i="2" s="1"/>
  <c r="H131" i="2"/>
  <c r="M131" i="2" s="1"/>
  <c r="H132" i="2"/>
  <c r="M132" i="2" s="1"/>
  <c r="H133" i="2"/>
  <c r="M133" i="2" s="1"/>
  <c r="H134" i="2"/>
  <c r="M134" i="2" s="1"/>
  <c r="H135" i="2"/>
  <c r="M135" i="2" s="1"/>
  <c r="H136" i="2"/>
  <c r="M136" i="2" s="1"/>
  <c r="H137" i="2"/>
  <c r="M137" i="2" s="1"/>
  <c r="H138" i="2"/>
  <c r="M138" i="2" s="1"/>
  <c r="H139" i="2"/>
  <c r="M139" i="2" s="1"/>
  <c r="H140" i="2"/>
  <c r="M140" i="2" s="1"/>
  <c r="H141" i="2"/>
  <c r="M141" i="2" s="1"/>
  <c r="H142" i="2"/>
  <c r="M142" i="2" s="1"/>
  <c r="H143" i="2"/>
  <c r="M143" i="2" s="1"/>
  <c r="H144" i="2"/>
  <c r="M144" i="2" s="1"/>
  <c r="H145" i="2"/>
  <c r="M145" i="2" s="1"/>
  <c r="H146" i="2"/>
  <c r="M146" i="2" s="1"/>
  <c r="H147" i="2"/>
  <c r="M147" i="2" s="1"/>
  <c r="H148" i="2"/>
  <c r="M148" i="2" s="1"/>
  <c r="H149" i="2"/>
  <c r="M149" i="2" s="1"/>
  <c r="H150" i="2"/>
  <c r="M150" i="2" s="1"/>
  <c r="H151" i="2"/>
  <c r="M151" i="2" s="1"/>
  <c r="H152" i="2"/>
  <c r="M152" i="2" s="1"/>
  <c r="H153" i="2"/>
  <c r="M153" i="2" s="1"/>
  <c r="H154" i="2"/>
  <c r="M154" i="2" s="1"/>
  <c r="H155" i="2"/>
  <c r="M155" i="2" s="1"/>
  <c r="H156" i="2"/>
  <c r="M156" i="2" s="1"/>
  <c r="H157" i="2"/>
  <c r="M157" i="2" s="1"/>
  <c r="H158" i="2"/>
  <c r="M158" i="2" s="1"/>
  <c r="H159" i="2"/>
  <c r="M159" i="2" s="1"/>
  <c r="H160" i="2"/>
  <c r="M160" i="2" s="1"/>
  <c r="H161" i="2"/>
  <c r="M161" i="2" s="1"/>
  <c r="H162" i="2"/>
  <c r="M162" i="2" s="1"/>
  <c r="H163" i="2"/>
  <c r="M163" i="2" s="1"/>
  <c r="H164" i="2"/>
  <c r="M164" i="2" s="1"/>
  <c r="H165" i="2"/>
  <c r="M165" i="2" s="1"/>
  <c r="H166" i="2"/>
  <c r="M166" i="2" s="1"/>
  <c r="H167" i="2"/>
  <c r="M167" i="2" s="1"/>
  <c r="H168" i="2"/>
  <c r="M168" i="2" s="1"/>
  <c r="H169" i="2"/>
  <c r="M169" i="2" s="1"/>
  <c r="H170" i="2"/>
  <c r="M170" i="2" s="1"/>
  <c r="H171" i="2"/>
  <c r="M171" i="2" s="1"/>
  <c r="H172" i="2"/>
  <c r="M172" i="2" s="1"/>
  <c r="H173" i="2"/>
  <c r="M173" i="2" s="1"/>
  <c r="H174" i="2"/>
  <c r="M174" i="2" s="1"/>
  <c r="H175" i="2"/>
  <c r="M175" i="2" s="1"/>
  <c r="H176" i="2"/>
  <c r="M176" i="2" s="1"/>
  <c r="H177" i="2"/>
  <c r="M177" i="2" s="1"/>
  <c r="H178" i="2"/>
  <c r="M178" i="2" s="1"/>
  <c r="H179" i="2"/>
  <c r="M179" i="2" s="1"/>
  <c r="H180" i="2"/>
  <c r="M180" i="2" s="1"/>
  <c r="H181" i="2"/>
  <c r="M181" i="2" s="1"/>
  <c r="H182" i="2"/>
  <c r="M182" i="2" s="1"/>
  <c r="H183" i="2"/>
  <c r="M183" i="2" s="1"/>
  <c r="H184" i="2"/>
  <c r="M184" i="2" s="1"/>
  <c r="H185" i="2"/>
  <c r="M185" i="2" s="1"/>
  <c r="H186" i="2"/>
  <c r="M186" i="2" s="1"/>
  <c r="H187" i="2"/>
  <c r="M187" i="2" s="1"/>
  <c r="H188" i="2"/>
  <c r="M188" i="2" s="1"/>
  <c r="H189" i="2"/>
  <c r="M189" i="2" s="1"/>
  <c r="H190" i="2"/>
  <c r="M190" i="2" s="1"/>
  <c r="H191" i="2"/>
  <c r="M191" i="2" s="1"/>
  <c r="H192" i="2"/>
  <c r="M192" i="2" s="1"/>
  <c r="H193" i="2"/>
  <c r="M193" i="2" s="1"/>
  <c r="H194" i="2"/>
  <c r="M194" i="2" s="1"/>
  <c r="H195" i="2"/>
  <c r="M195" i="2" s="1"/>
  <c r="H196" i="2"/>
  <c r="M196" i="2" s="1"/>
  <c r="H197" i="2"/>
  <c r="M197" i="2" s="1"/>
  <c r="H198" i="2"/>
  <c r="M198" i="2" s="1"/>
  <c r="H199" i="2"/>
  <c r="M199" i="2" s="1"/>
  <c r="H200" i="2"/>
  <c r="M200" i="2" s="1"/>
  <c r="H201" i="2"/>
  <c r="M201" i="2" s="1"/>
  <c r="H202" i="2"/>
  <c r="M202" i="2" s="1"/>
  <c r="H203" i="2"/>
  <c r="M203" i="2" s="1"/>
  <c r="H204" i="2"/>
  <c r="M204" i="2" s="1"/>
  <c r="H205" i="2"/>
  <c r="M205" i="2" s="1"/>
  <c r="H206" i="2"/>
  <c r="M206" i="2" s="1"/>
  <c r="H207" i="2"/>
  <c r="M207" i="2" s="1"/>
  <c r="H208" i="2"/>
  <c r="M208" i="2" s="1"/>
  <c r="H209" i="2"/>
  <c r="M209" i="2" s="1"/>
  <c r="H210" i="2"/>
  <c r="M210" i="2" s="1"/>
  <c r="H211" i="2"/>
  <c r="M211" i="2" s="1"/>
  <c r="H212" i="2"/>
  <c r="M212" i="2" s="1"/>
  <c r="H213" i="2"/>
  <c r="M213" i="2" s="1"/>
  <c r="H214" i="2"/>
  <c r="M214" i="2" s="1"/>
  <c r="H215" i="2"/>
  <c r="M215" i="2" s="1"/>
  <c r="H216" i="2"/>
  <c r="M216" i="2" s="1"/>
  <c r="H217" i="2"/>
  <c r="M217" i="2" s="1"/>
  <c r="H218" i="2"/>
  <c r="M218" i="2" s="1"/>
  <c r="H219" i="2"/>
  <c r="M219" i="2" s="1"/>
  <c r="H220" i="2"/>
  <c r="M220" i="2" s="1"/>
  <c r="H221" i="2"/>
  <c r="M221" i="2" s="1"/>
  <c r="H222" i="2"/>
  <c r="M222" i="2" s="1"/>
  <c r="H223" i="2"/>
  <c r="M223" i="2" s="1"/>
  <c r="H224" i="2"/>
  <c r="M224" i="2" s="1"/>
  <c r="H225" i="2"/>
  <c r="M225" i="2" s="1"/>
  <c r="H226" i="2"/>
  <c r="M226" i="2" s="1"/>
  <c r="H227" i="2"/>
  <c r="M227" i="2" s="1"/>
  <c r="H228" i="2"/>
  <c r="M228" i="2" s="1"/>
  <c r="H229" i="2"/>
  <c r="M229" i="2" s="1"/>
  <c r="H230" i="2"/>
  <c r="M230" i="2" s="1"/>
  <c r="H231" i="2"/>
  <c r="M231" i="2" s="1"/>
  <c r="H232" i="2"/>
  <c r="M232" i="2" s="1"/>
  <c r="H233" i="2"/>
  <c r="M233" i="2" s="1"/>
  <c r="H234" i="2"/>
  <c r="M234" i="2" s="1"/>
  <c r="H235" i="2"/>
  <c r="M235" i="2" s="1"/>
  <c r="H236" i="2"/>
  <c r="M236" i="2" s="1"/>
  <c r="H237" i="2"/>
  <c r="M237" i="2" s="1"/>
  <c r="H238" i="2"/>
  <c r="M238" i="2" s="1"/>
  <c r="H239" i="2"/>
  <c r="M239" i="2" s="1"/>
  <c r="H240" i="2"/>
  <c r="M240" i="2" s="1"/>
  <c r="H241" i="2"/>
  <c r="M241" i="2" s="1"/>
  <c r="H242" i="2"/>
  <c r="M242" i="2" s="1"/>
  <c r="H243" i="2"/>
  <c r="M243" i="2" s="1"/>
  <c r="H244" i="2"/>
  <c r="M244" i="2" s="1"/>
  <c r="H245" i="2"/>
  <c r="M245" i="2" s="1"/>
  <c r="H246" i="2"/>
  <c r="M246" i="2" s="1"/>
  <c r="H247" i="2"/>
  <c r="M247" i="2" s="1"/>
  <c r="H248" i="2"/>
  <c r="M248" i="2" s="1"/>
  <c r="H249" i="2"/>
  <c r="M249" i="2" s="1"/>
  <c r="H250" i="2"/>
  <c r="M250" i="2" s="1"/>
  <c r="H251" i="2"/>
  <c r="M251" i="2" s="1"/>
  <c r="H252" i="2"/>
  <c r="M252" i="2" s="1"/>
  <c r="H253" i="2"/>
  <c r="M253" i="2" s="1"/>
  <c r="H254" i="2"/>
  <c r="M254" i="2" s="1"/>
  <c r="H255" i="2"/>
  <c r="M255" i="2" s="1"/>
  <c r="H256" i="2"/>
  <c r="M256" i="2" s="1"/>
  <c r="H257" i="2"/>
  <c r="M257" i="2" s="1"/>
  <c r="H258" i="2"/>
  <c r="M258" i="2" s="1"/>
  <c r="H259" i="2"/>
  <c r="M259" i="2" s="1"/>
  <c r="H260" i="2"/>
  <c r="M260" i="2" s="1"/>
  <c r="H261" i="2"/>
  <c r="M261" i="2" s="1"/>
  <c r="H262" i="2"/>
  <c r="M262" i="2" s="1"/>
  <c r="H263" i="2"/>
  <c r="M263" i="2" s="1"/>
  <c r="H264" i="2"/>
  <c r="M264" i="2" s="1"/>
  <c r="H265" i="2"/>
  <c r="M265" i="2" s="1"/>
  <c r="H266" i="2"/>
  <c r="M266" i="2" s="1"/>
  <c r="H267" i="2"/>
  <c r="M267" i="2" s="1"/>
  <c r="H268" i="2"/>
  <c r="M268" i="2" s="1"/>
  <c r="H269" i="2"/>
  <c r="M269" i="2" s="1"/>
  <c r="H270" i="2"/>
  <c r="M270" i="2" s="1"/>
  <c r="H271" i="2"/>
  <c r="M271" i="2" s="1"/>
  <c r="H272" i="2"/>
  <c r="M272" i="2" s="1"/>
  <c r="H273" i="2"/>
  <c r="M273" i="2" s="1"/>
  <c r="H274" i="2"/>
  <c r="M274" i="2" s="1"/>
  <c r="H275" i="2"/>
  <c r="M275" i="2" s="1"/>
  <c r="H276" i="2"/>
  <c r="M276" i="2" s="1"/>
  <c r="H277" i="2"/>
  <c r="M277" i="2" s="1"/>
  <c r="H278" i="2"/>
  <c r="M278" i="2" s="1"/>
  <c r="H279" i="2"/>
  <c r="M279" i="2" s="1"/>
  <c r="H280" i="2"/>
  <c r="M280" i="2" s="1"/>
  <c r="H281" i="2"/>
  <c r="M281" i="2" s="1"/>
  <c r="H282" i="2"/>
  <c r="M282" i="2" s="1"/>
  <c r="H283" i="2"/>
  <c r="M283" i="2" s="1"/>
  <c r="H284" i="2"/>
  <c r="M284" i="2" s="1"/>
  <c r="H285" i="2"/>
  <c r="M285" i="2" s="1"/>
  <c r="H286" i="2"/>
  <c r="M286" i="2" s="1"/>
  <c r="H287" i="2"/>
  <c r="M287" i="2" s="1"/>
  <c r="H288" i="2"/>
  <c r="M288" i="2" s="1"/>
  <c r="H289" i="2"/>
  <c r="M289" i="2" s="1"/>
  <c r="H290" i="2"/>
  <c r="M290" i="2" s="1"/>
  <c r="H291" i="2"/>
  <c r="M291" i="2" s="1"/>
  <c r="H292" i="2"/>
  <c r="M292" i="2" s="1"/>
  <c r="H293" i="2"/>
  <c r="M293" i="2" s="1"/>
  <c r="H294" i="2"/>
  <c r="M294" i="2" s="1"/>
  <c r="H295" i="2"/>
  <c r="M295" i="2" s="1"/>
  <c r="H296" i="2"/>
  <c r="M296" i="2" s="1"/>
  <c r="H297" i="2"/>
  <c r="M297" i="2" s="1"/>
  <c r="H298" i="2"/>
  <c r="M298" i="2" s="1"/>
  <c r="H299" i="2"/>
  <c r="M299" i="2" s="1"/>
  <c r="H300" i="2"/>
  <c r="M300" i="2" s="1"/>
  <c r="H301" i="2"/>
  <c r="M301" i="2" s="1"/>
  <c r="H302" i="2"/>
  <c r="M302" i="2" s="1"/>
  <c r="H303" i="2"/>
  <c r="M303" i="2" s="1"/>
  <c r="H304" i="2"/>
  <c r="M304" i="2" s="1"/>
  <c r="H305" i="2"/>
  <c r="M305" i="2" s="1"/>
  <c r="H306" i="2"/>
  <c r="M306" i="2" s="1"/>
  <c r="H307" i="2"/>
  <c r="M307" i="2" s="1"/>
  <c r="H308" i="2"/>
  <c r="M308" i="2" s="1"/>
  <c r="H309" i="2"/>
  <c r="M309" i="2" s="1"/>
  <c r="H310" i="2"/>
  <c r="M310" i="2" s="1"/>
  <c r="H311" i="2"/>
  <c r="M311" i="2" s="1"/>
  <c r="H312" i="2"/>
  <c r="M312" i="2" s="1"/>
  <c r="H313" i="2"/>
  <c r="M313" i="2" s="1"/>
  <c r="H314" i="2"/>
  <c r="M314" i="2" s="1"/>
  <c r="H315" i="2"/>
  <c r="M315" i="2" s="1"/>
  <c r="H316" i="2"/>
  <c r="M316" i="2" s="1"/>
  <c r="H317" i="2"/>
  <c r="M317" i="2" s="1"/>
  <c r="H318" i="2"/>
  <c r="M318" i="2" s="1"/>
  <c r="H319" i="2"/>
  <c r="M319" i="2" s="1"/>
  <c r="H320" i="2"/>
  <c r="M320" i="2" s="1"/>
  <c r="H321" i="2"/>
  <c r="M321" i="2" s="1"/>
  <c r="H322" i="2"/>
  <c r="M322" i="2" s="1"/>
  <c r="H323" i="2"/>
  <c r="M323" i="2" s="1"/>
  <c r="H324" i="2"/>
  <c r="M324" i="2" s="1"/>
  <c r="H325" i="2"/>
  <c r="M325" i="2" s="1"/>
  <c r="H326" i="2"/>
  <c r="M326" i="2" s="1"/>
  <c r="H327" i="2"/>
  <c r="M327" i="2" s="1"/>
  <c r="H328" i="2"/>
  <c r="M328" i="2" s="1"/>
  <c r="H329" i="2"/>
  <c r="M329" i="2" s="1"/>
  <c r="H330" i="2"/>
  <c r="M330" i="2" s="1"/>
  <c r="H331" i="2"/>
  <c r="M331" i="2" s="1"/>
  <c r="H332" i="2"/>
  <c r="M332" i="2" s="1"/>
  <c r="H333" i="2"/>
  <c r="M333" i="2" s="1"/>
  <c r="H334" i="2"/>
  <c r="M334" i="2" s="1"/>
  <c r="H335" i="2"/>
  <c r="M335" i="2" s="1"/>
  <c r="H336" i="2"/>
  <c r="M336" i="2" s="1"/>
  <c r="H337" i="2"/>
  <c r="M337" i="2" s="1"/>
  <c r="H338" i="2"/>
  <c r="M338" i="2" s="1"/>
  <c r="H339" i="2"/>
  <c r="M339" i="2" s="1"/>
  <c r="H340" i="2"/>
  <c r="M340" i="2" s="1"/>
  <c r="H341" i="2"/>
  <c r="M341" i="2" s="1"/>
  <c r="H342" i="2"/>
  <c r="M342" i="2" s="1"/>
  <c r="H343" i="2"/>
  <c r="M343" i="2" s="1"/>
  <c r="H344" i="2"/>
  <c r="M344" i="2" s="1"/>
  <c r="H345" i="2"/>
  <c r="M345" i="2" s="1"/>
  <c r="H346" i="2"/>
  <c r="M346" i="2" s="1"/>
  <c r="H347" i="2"/>
  <c r="M347" i="2" s="1"/>
  <c r="H348" i="2"/>
  <c r="M348" i="2" s="1"/>
  <c r="H349" i="2"/>
  <c r="M349" i="2" s="1"/>
  <c r="H350" i="2"/>
  <c r="M350" i="2" s="1"/>
  <c r="H351" i="2"/>
  <c r="M351" i="2" s="1"/>
  <c r="H352" i="2"/>
  <c r="M352" i="2" s="1"/>
  <c r="H353" i="2"/>
  <c r="M353" i="2" s="1"/>
  <c r="H354" i="2"/>
  <c r="M354" i="2" s="1"/>
  <c r="H355" i="2"/>
  <c r="M355" i="2" s="1"/>
  <c r="H356" i="2"/>
  <c r="M356" i="2" s="1"/>
  <c r="H357" i="2"/>
  <c r="M357" i="2" s="1"/>
  <c r="H358" i="2"/>
  <c r="M358" i="2" s="1"/>
  <c r="H359" i="2"/>
  <c r="M359" i="2" s="1"/>
  <c r="H360" i="2"/>
  <c r="M360" i="2" s="1"/>
  <c r="H361" i="2"/>
  <c r="M361" i="2" s="1"/>
  <c r="H362" i="2"/>
  <c r="M362" i="2" s="1"/>
  <c r="H363" i="2"/>
  <c r="M363" i="2" s="1"/>
  <c r="H364" i="2"/>
  <c r="M364" i="2" s="1"/>
  <c r="H365" i="2"/>
  <c r="M365" i="2" s="1"/>
  <c r="H366" i="2"/>
  <c r="M366" i="2" s="1"/>
  <c r="H367" i="2"/>
  <c r="M367" i="2" s="1"/>
  <c r="H368" i="2"/>
  <c r="M368" i="2" s="1"/>
  <c r="H369" i="2"/>
  <c r="M369" i="2" s="1"/>
  <c r="H370" i="2"/>
  <c r="M370" i="2" s="1"/>
  <c r="H371" i="2"/>
  <c r="M371" i="2" s="1"/>
  <c r="H372" i="2"/>
  <c r="M372" i="2" s="1"/>
  <c r="H373" i="2"/>
  <c r="M373" i="2" s="1"/>
  <c r="H374" i="2"/>
  <c r="M374" i="2" s="1"/>
  <c r="H375" i="2"/>
  <c r="M375" i="2" s="1"/>
  <c r="H376" i="2"/>
  <c r="M376" i="2" s="1"/>
  <c r="H377" i="2"/>
  <c r="M377" i="2" s="1"/>
  <c r="H378" i="2"/>
  <c r="M378" i="2" s="1"/>
  <c r="H379" i="2"/>
  <c r="M379" i="2" s="1"/>
  <c r="H380" i="2"/>
  <c r="M380" i="2" s="1"/>
  <c r="H381" i="2"/>
  <c r="M381" i="2" s="1"/>
  <c r="H382" i="2"/>
  <c r="M382" i="2" s="1"/>
  <c r="H383" i="2"/>
  <c r="M383" i="2" s="1"/>
  <c r="H384" i="2"/>
  <c r="M384" i="2" s="1"/>
  <c r="H385" i="2"/>
  <c r="M385" i="2" s="1"/>
  <c r="H386" i="2"/>
  <c r="M386" i="2" s="1"/>
  <c r="H387" i="2"/>
  <c r="M387" i="2" s="1"/>
  <c r="H388" i="2"/>
  <c r="M388" i="2" s="1"/>
  <c r="H389" i="2"/>
  <c r="M389" i="2" s="1"/>
  <c r="H390" i="2"/>
  <c r="M390" i="2" s="1"/>
  <c r="H391" i="2"/>
  <c r="M391" i="2" s="1"/>
  <c r="H392" i="2"/>
  <c r="M392" i="2" s="1"/>
  <c r="H393" i="2"/>
  <c r="M393" i="2" s="1"/>
  <c r="H394" i="2"/>
  <c r="M394" i="2" s="1"/>
  <c r="H395" i="2"/>
  <c r="M395" i="2" s="1"/>
  <c r="H396" i="2"/>
  <c r="M396" i="2" s="1"/>
  <c r="H397" i="2"/>
  <c r="M397" i="2" s="1"/>
  <c r="H398" i="2"/>
  <c r="M398" i="2" s="1"/>
  <c r="H399" i="2"/>
  <c r="M399" i="2" s="1"/>
  <c r="H400" i="2"/>
  <c r="M400" i="2" s="1"/>
  <c r="H401" i="2"/>
  <c r="M401" i="2" s="1"/>
  <c r="H402" i="2"/>
  <c r="M402" i="2" s="1"/>
  <c r="H403" i="2"/>
  <c r="M403" i="2" s="1"/>
  <c r="H404" i="2"/>
  <c r="M404" i="2" s="1"/>
  <c r="H405" i="2"/>
  <c r="M405" i="2" s="1"/>
  <c r="H406" i="2"/>
  <c r="M406" i="2" s="1"/>
  <c r="H407" i="2"/>
  <c r="M407" i="2" s="1"/>
  <c r="H408" i="2"/>
  <c r="M408" i="2" s="1"/>
  <c r="H409" i="2"/>
  <c r="M409" i="2" s="1"/>
  <c r="H410" i="2"/>
  <c r="M410" i="2" s="1"/>
  <c r="H411" i="2"/>
  <c r="M411" i="2" s="1"/>
  <c r="H412" i="2"/>
  <c r="M412" i="2" s="1"/>
  <c r="H413" i="2"/>
  <c r="M413" i="2" s="1"/>
  <c r="H414" i="2"/>
  <c r="M414" i="2" s="1"/>
  <c r="H415" i="2"/>
  <c r="M415" i="2" s="1"/>
  <c r="H416" i="2"/>
  <c r="M416" i="2" s="1"/>
  <c r="H417" i="2"/>
  <c r="M417" i="2" s="1"/>
  <c r="H418" i="2"/>
  <c r="M418" i="2" s="1"/>
  <c r="H419" i="2"/>
  <c r="M419" i="2" s="1"/>
  <c r="H420" i="2"/>
  <c r="M420" i="2" s="1"/>
  <c r="H421" i="2"/>
  <c r="M421" i="2" s="1"/>
  <c r="H422" i="2"/>
  <c r="M422" i="2" s="1"/>
  <c r="H423" i="2"/>
  <c r="M423" i="2" s="1"/>
  <c r="H424" i="2"/>
  <c r="M424" i="2" s="1"/>
  <c r="H425" i="2"/>
  <c r="M425" i="2" s="1"/>
  <c r="H426" i="2"/>
  <c r="M426" i="2" s="1"/>
  <c r="H427" i="2"/>
  <c r="M427" i="2" s="1"/>
  <c r="H428" i="2"/>
  <c r="M428" i="2" s="1"/>
  <c r="H429" i="2"/>
  <c r="M429" i="2" s="1"/>
  <c r="H430" i="2"/>
  <c r="M430" i="2" s="1"/>
  <c r="H431" i="2"/>
  <c r="M431" i="2" s="1"/>
  <c r="H432" i="2"/>
  <c r="M432" i="2" s="1"/>
  <c r="H433" i="2"/>
  <c r="M433" i="2" s="1"/>
  <c r="H434" i="2"/>
  <c r="M434" i="2" s="1"/>
  <c r="H435" i="2"/>
  <c r="M435" i="2" s="1"/>
  <c r="H436" i="2"/>
  <c r="M436" i="2" s="1"/>
  <c r="H437" i="2"/>
  <c r="M437" i="2" s="1"/>
  <c r="H438" i="2"/>
  <c r="M438" i="2" s="1"/>
  <c r="H439" i="2"/>
  <c r="M439" i="2" s="1"/>
  <c r="H440" i="2"/>
  <c r="M440" i="2" s="1"/>
  <c r="H441" i="2"/>
  <c r="M441" i="2" s="1"/>
  <c r="H442" i="2"/>
  <c r="M442" i="2" s="1"/>
  <c r="H443" i="2"/>
  <c r="M443" i="2" s="1"/>
  <c r="H444" i="2"/>
  <c r="M444" i="2" s="1"/>
  <c r="H445" i="2"/>
  <c r="M445" i="2" s="1"/>
  <c r="H446" i="2"/>
  <c r="M446" i="2" s="1"/>
  <c r="H447" i="2"/>
  <c r="M447" i="2" s="1"/>
  <c r="H448" i="2"/>
  <c r="M448" i="2" s="1"/>
  <c r="H449" i="2"/>
  <c r="M449" i="2" s="1"/>
  <c r="H450" i="2"/>
  <c r="M450" i="2" s="1"/>
  <c r="H451" i="2"/>
  <c r="M451" i="2" s="1"/>
  <c r="H452" i="2"/>
  <c r="M452" i="2" s="1"/>
  <c r="H453" i="2"/>
  <c r="M453" i="2" s="1"/>
  <c r="H454" i="2"/>
  <c r="M454" i="2" s="1"/>
  <c r="H455" i="2"/>
  <c r="M455" i="2" s="1"/>
  <c r="H456" i="2"/>
  <c r="M456" i="2" s="1"/>
  <c r="H457" i="2"/>
  <c r="M457" i="2" s="1"/>
  <c r="H458" i="2"/>
  <c r="M458" i="2" s="1"/>
  <c r="H459" i="2"/>
  <c r="M459" i="2" s="1"/>
  <c r="H460" i="2"/>
  <c r="M460" i="2" s="1"/>
  <c r="H461" i="2"/>
  <c r="M461" i="2" s="1"/>
  <c r="H462" i="2"/>
  <c r="M462" i="2" s="1"/>
  <c r="H463" i="2"/>
  <c r="M463" i="2" s="1"/>
  <c r="H464" i="2"/>
  <c r="M464" i="2" s="1"/>
  <c r="H465" i="2"/>
  <c r="M465" i="2" s="1"/>
  <c r="H466" i="2"/>
  <c r="M466" i="2" s="1"/>
  <c r="H467" i="2"/>
  <c r="M467" i="2" s="1"/>
  <c r="H468" i="2"/>
  <c r="M468" i="2" s="1"/>
  <c r="H469" i="2"/>
  <c r="M469" i="2" s="1"/>
  <c r="H470" i="2"/>
  <c r="M470" i="2" s="1"/>
  <c r="H471" i="2"/>
  <c r="M471" i="2" s="1"/>
  <c r="H472" i="2"/>
  <c r="M472" i="2" s="1"/>
  <c r="H473" i="2"/>
  <c r="M473" i="2" s="1"/>
  <c r="H474" i="2"/>
  <c r="M474" i="2" s="1"/>
  <c r="H475" i="2"/>
  <c r="M475" i="2" s="1"/>
  <c r="H476" i="2"/>
  <c r="M476" i="2" s="1"/>
  <c r="H477" i="2"/>
  <c r="M477" i="2" s="1"/>
  <c r="H478" i="2"/>
  <c r="M478" i="2" s="1"/>
  <c r="H479" i="2"/>
  <c r="M479" i="2" s="1"/>
  <c r="H480" i="2"/>
  <c r="M480" i="2" s="1"/>
  <c r="H481" i="2"/>
  <c r="M481" i="2" s="1"/>
  <c r="H482" i="2"/>
  <c r="M482" i="2" s="1"/>
  <c r="H483" i="2"/>
  <c r="M483" i="2" s="1"/>
  <c r="H484" i="2"/>
  <c r="M484" i="2" s="1"/>
  <c r="H485" i="2"/>
  <c r="M485" i="2" s="1"/>
  <c r="H486" i="2"/>
  <c r="M486" i="2" s="1"/>
  <c r="H487" i="2"/>
  <c r="M487" i="2" s="1"/>
  <c r="H488" i="2"/>
  <c r="M488" i="2" s="1"/>
  <c r="H489" i="2"/>
  <c r="M489" i="2" s="1"/>
  <c r="H490" i="2"/>
  <c r="M490" i="2" s="1"/>
  <c r="H491" i="2"/>
  <c r="M491" i="2" s="1"/>
  <c r="H492" i="2"/>
  <c r="M492" i="2" s="1"/>
  <c r="H493" i="2"/>
  <c r="M493" i="2" s="1"/>
  <c r="H494" i="2"/>
  <c r="M494" i="2" s="1"/>
  <c r="H495" i="2"/>
  <c r="M495" i="2" s="1"/>
  <c r="H496" i="2"/>
  <c r="M496" i="2" s="1"/>
  <c r="H497" i="2"/>
  <c r="M497" i="2" s="1"/>
  <c r="H498" i="2"/>
  <c r="M498" i="2" s="1"/>
  <c r="H499" i="2"/>
  <c r="M499" i="2" s="1"/>
  <c r="H500" i="2"/>
  <c r="M500" i="2" s="1"/>
  <c r="H501" i="2"/>
  <c r="M501" i="2" s="1"/>
  <c r="H502" i="2"/>
  <c r="M502" i="2" s="1"/>
  <c r="H503" i="2"/>
  <c r="M503" i="2" s="1"/>
  <c r="H504" i="2"/>
  <c r="M504" i="2" s="1"/>
  <c r="H505" i="2"/>
  <c r="M505" i="2" s="1"/>
  <c r="H506" i="2"/>
  <c r="M506" i="2" s="1"/>
  <c r="H507" i="2"/>
  <c r="M507" i="2" s="1"/>
  <c r="H508" i="2"/>
  <c r="M508" i="2" s="1"/>
  <c r="H509" i="2"/>
  <c r="M509" i="2" s="1"/>
  <c r="H510" i="2"/>
  <c r="M510" i="2" s="1"/>
  <c r="H511" i="2"/>
  <c r="M511" i="2" s="1"/>
  <c r="H512" i="2"/>
  <c r="M512" i="2" s="1"/>
  <c r="H513" i="2"/>
  <c r="M513" i="2" s="1"/>
  <c r="H514" i="2"/>
  <c r="M514" i="2" s="1"/>
  <c r="H515" i="2"/>
  <c r="M515" i="2" s="1"/>
  <c r="H516" i="2"/>
  <c r="M516" i="2" s="1"/>
  <c r="H517" i="2"/>
  <c r="M517" i="2" s="1"/>
  <c r="H518" i="2"/>
  <c r="M518" i="2" s="1"/>
  <c r="H519" i="2"/>
  <c r="M519" i="2" s="1"/>
  <c r="H520" i="2"/>
  <c r="M520" i="2" s="1"/>
  <c r="H521" i="2"/>
  <c r="M521" i="2" s="1"/>
  <c r="H522" i="2"/>
  <c r="M522" i="2" s="1"/>
  <c r="H523" i="2"/>
  <c r="M523" i="2" s="1"/>
  <c r="H524" i="2"/>
  <c r="M524" i="2" s="1"/>
  <c r="H525" i="2"/>
  <c r="M525" i="2" s="1"/>
  <c r="H526" i="2"/>
  <c r="M526" i="2" s="1"/>
  <c r="H527" i="2"/>
  <c r="M527" i="2" s="1"/>
  <c r="H528" i="2"/>
  <c r="M528" i="2" s="1"/>
  <c r="H529" i="2"/>
  <c r="M529" i="2" s="1"/>
  <c r="H530" i="2"/>
  <c r="M530" i="2" s="1"/>
  <c r="H531" i="2"/>
  <c r="M531" i="2" s="1"/>
  <c r="H532" i="2"/>
  <c r="M532" i="2" s="1"/>
  <c r="H533" i="2"/>
  <c r="M533" i="2" s="1"/>
  <c r="H534" i="2"/>
  <c r="M534" i="2" s="1"/>
  <c r="H535" i="2"/>
  <c r="M535" i="2" s="1"/>
  <c r="H536" i="2"/>
  <c r="M536" i="2" s="1"/>
  <c r="H537" i="2"/>
  <c r="M537" i="2" s="1"/>
  <c r="H538" i="2"/>
  <c r="M538" i="2" s="1"/>
  <c r="H539" i="2"/>
  <c r="M539" i="2" s="1"/>
  <c r="H540" i="2"/>
  <c r="M540" i="2" s="1"/>
  <c r="H541" i="2"/>
  <c r="M541" i="2" s="1"/>
  <c r="H542" i="2"/>
  <c r="M542" i="2" s="1"/>
  <c r="H543" i="2"/>
  <c r="M543" i="2" s="1"/>
  <c r="H544" i="2"/>
  <c r="M544" i="2" s="1"/>
  <c r="H545" i="2"/>
  <c r="M545" i="2" s="1"/>
  <c r="H546" i="2"/>
  <c r="M546" i="2" s="1"/>
  <c r="H547" i="2"/>
  <c r="M547" i="2" s="1"/>
  <c r="H548" i="2"/>
  <c r="M548" i="2" s="1"/>
  <c r="H549" i="2"/>
  <c r="M549" i="2" s="1"/>
  <c r="H550" i="2"/>
  <c r="M550" i="2" s="1"/>
  <c r="H551" i="2"/>
  <c r="M551" i="2" s="1"/>
  <c r="H552" i="2"/>
  <c r="M552" i="2" s="1"/>
  <c r="H553" i="2"/>
  <c r="M553" i="2" s="1"/>
  <c r="H554" i="2"/>
  <c r="M554" i="2" s="1"/>
  <c r="H555" i="2"/>
  <c r="M555" i="2" s="1"/>
  <c r="H556" i="2"/>
  <c r="M556" i="2" s="1"/>
  <c r="H557" i="2"/>
  <c r="M557" i="2" s="1"/>
  <c r="H558" i="2"/>
  <c r="M558" i="2" s="1"/>
  <c r="H559" i="2"/>
  <c r="M559" i="2" s="1"/>
  <c r="H560" i="2"/>
  <c r="M560" i="2" s="1"/>
  <c r="H561" i="2"/>
  <c r="M561" i="2" s="1"/>
  <c r="H562" i="2"/>
  <c r="M562" i="2" s="1"/>
  <c r="H563" i="2"/>
  <c r="M563" i="2" s="1"/>
  <c r="H564" i="2"/>
  <c r="M564" i="2" s="1"/>
  <c r="H565" i="2"/>
  <c r="M565" i="2" s="1"/>
  <c r="H566" i="2"/>
  <c r="M566" i="2" s="1"/>
  <c r="H567" i="2"/>
  <c r="M567" i="2" s="1"/>
  <c r="H568" i="2"/>
  <c r="M568" i="2" s="1"/>
  <c r="H569" i="2"/>
  <c r="M569" i="2" s="1"/>
  <c r="H570" i="2"/>
  <c r="M570" i="2" s="1"/>
  <c r="H571" i="2"/>
  <c r="M571" i="2" s="1"/>
  <c r="H572" i="2"/>
  <c r="M572" i="2" s="1"/>
  <c r="H573" i="2"/>
  <c r="M573" i="2" s="1"/>
  <c r="H574" i="2"/>
  <c r="M574" i="2" s="1"/>
  <c r="H575" i="2"/>
  <c r="M575" i="2" s="1"/>
  <c r="H576" i="2"/>
  <c r="M576" i="2" s="1"/>
  <c r="H577" i="2"/>
  <c r="M577" i="2" s="1"/>
  <c r="H578" i="2"/>
  <c r="M578" i="2" s="1"/>
  <c r="H579" i="2"/>
  <c r="M579" i="2" s="1"/>
  <c r="H580" i="2"/>
  <c r="M580" i="2" s="1"/>
  <c r="H581" i="2"/>
  <c r="M581" i="2" s="1"/>
  <c r="H582" i="2"/>
  <c r="M582" i="2" s="1"/>
  <c r="H583" i="2"/>
  <c r="M583" i="2" s="1"/>
  <c r="H584" i="2"/>
  <c r="M584" i="2" s="1"/>
  <c r="H585" i="2"/>
  <c r="M585" i="2" s="1"/>
  <c r="H586" i="2"/>
  <c r="M586" i="2" s="1"/>
  <c r="H587" i="2"/>
  <c r="M587" i="2" s="1"/>
  <c r="H588" i="2"/>
  <c r="M588" i="2" s="1"/>
  <c r="H589" i="2"/>
  <c r="M589" i="2" s="1"/>
  <c r="H590" i="2"/>
  <c r="M590" i="2" s="1"/>
  <c r="H591" i="2"/>
  <c r="M591" i="2" s="1"/>
  <c r="H592" i="2"/>
  <c r="M592" i="2" s="1"/>
  <c r="H593" i="2"/>
  <c r="M593" i="2" s="1"/>
  <c r="H594" i="2"/>
  <c r="M594" i="2" s="1"/>
  <c r="H595" i="2"/>
  <c r="M595" i="2" s="1"/>
  <c r="H596" i="2"/>
  <c r="M596" i="2" s="1"/>
  <c r="H597" i="2"/>
  <c r="M597" i="2" s="1"/>
  <c r="H598" i="2"/>
  <c r="M598" i="2" s="1"/>
  <c r="H599" i="2"/>
  <c r="M599" i="2" s="1"/>
  <c r="H600" i="2"/>
  <c r="M600" i="2" s="1"/>
  <c r="H601" i="2"/>
  <c r="M601" i="2" s="1"/>
  <c r="H602" i="2"/>
  <c r="M602" i="2" s="1"/>
  <c r="H603" i="2"/>
  <c r="M603" i="2" s="1"/>
  <c r="H604" i="2"/>
  <c r="M604" i="2" s="1"/>
  <c r="H605" i="2"/>
  <c r="M605" i="2" s="1"/>
  <c r="H606" i="2"/>
  <c r="M606" i="2" s="1"/>
  <c r="H607" i="2"/>
  <c r="M607" i="2" s="1"/>
  <c r="H608" i="2"/>
  <c r="M608" i="2" s="1"/>
  <c r="H609" i="2"/>
  <c r="M609" i="2" s="1"/>
  <c r="H610" i="2"/>
  <c r="M610" i="2" s="1"/>
  <c r="H611" i="2"/>
  <c r="M611" i="2" s="1"/>
  <c r="H612" i="2"/>
  <c r="M612" i="2" s="1"/>
  <c r="H613" i="2"/>
  <c r="M613" i="2" s="1"/>
  <c r="H614" i="2"/>
  <c r="M614" i="2" s="1"/>
  <c r="H615" i="2"/>
  <c r="M615" i="2" s="1"/>
  <c r="H616" i="2"/>
  <c r="M616" i="2" s="1"/>
  <c r="H617" i="2"/>
  <c r="M617" i="2" s="1"/>
  <c r="H618" i="2"/>
  <c r="M618" i="2" s="1"/>
  <c r="H619" i="2"/>
  <c r="M619" i="2" s="1"/>
  <c r="H620" i="2"/>
  <c r="M620" i="2" s="1"/>
  <c r="H621" i="2"/>
  <c r="M621" i="2" s="1"/>
  <c r="H622" i="2"/>
  <c r="M622" i="2" s="1"/>
  <c r="H623" i="2"/>
  <c r="M623" i="2" s="1"/>
  <c r="H624" i="2"/>
  <c r="M624" i="2" s="1"/>
  <c r="H625" i="2"/>
  <c r="M625" i="2" s="1"/>
  <c r="H626" i="2"/>
  <c r="M626" i="2" s="1"/>
  <c r="H627" i="2"/>
  <c r="M627" i="2" s="1"/>
  <c r="H628" i="2"/>
  <c r="M628" i="2" s="1"/>
  <c r="H629" i="2"/>
  <c r="M629" i="2" s="1"/>
  <c r="H630" i="2"/>
  <c r="M630" i="2" s="1"/>
  <c r="H631" i="2"/>
  <c r="M631" i="2" s="1"/>
  <c r="H632" i="2"/>
  <c r="M632" i="2" s="1"/>
  <c r="H633" i="2"/>
  <c r="M633" i="2" s="1"/>
  <c r="H634" i="2"/>
  <c r="M634" i="2" s="1"/>
  <c r="H635" i="2"/>
  <c r="M635" i="2" s="1"/>
  <c r="H636" i="2"/>
  <c r="M636" i="2" s="1"/>
  <c r="H637" i="2"/>
  <c r="M637" i="2" s="1"/>
  <c r="H638" i="2"/>
  <c r="M638" i="2" s="1"/>
  <c r="H639" i="2"/>
  <c r="M639" i="2" s="1"/>
  <c r="H640" i="2"/>
  <c r="M640" i="2" s="1"/>
  <c r="H641" i="2"/>
  <c r="M641" i="2" s="1"/>
  <c r="H642" i="2"/>
  <c r="M642" i="2" s="1"/>
  <c r="H643" i="2"/>
  <c r="M643" i="2" s="1"/>
  <c r="H644" i="2"/>
  <c r="M644" i="2" s="1"/>
  <c r="H645" i="2"/>
  <c r="M645" i="2" s="1"/>
  <c r="H646" i="2"/>
  <c r="M646" i="2" s="1"/>
  <c r="H647" i="2"/>
  <c r="M647" i="2" s="1"/>
  <c r="H648" i="2"/>
  <c r="M648" i="2" s="1"/>
  <c r="H649" i="2"/>
  <c r="M649" i="2" s="1"/>
  <c r="H650" i="2"/>
  <c r="M650" i="2" s="1"/>
  <c r="H651" i="2"/>
  <c r="M651" i="2" s="1"/>
  <c r="H652" i="2"/>
  <c r="M652" i="2" s="1"/>
  <c r="H653" i="2"/>
  <c r="M653" i="2" s="1"/>
  <c r="H654" i="2"/>
  <c r="M654" i="2" s="1"/>
  <c r="H655" i="2"/>
  <c r="M655" i="2" s="1"/>
  <c r="H656" i="2"/>
  <c r="M656" i="2" s="1"/>
  <c r="H657" i="2"/>
  <c r="M657" i="2" s="1"/>
  <c r="H658" i="2"/>
  <c r="M658" i="2" s="1"/>
  <c r="H659" i="2"/>
  <c r="M659" i="2" s="1"/>
  <c r="H660" i="2"/>
  <c r="M660" i="2" s="1"/>
  <c r="H661" i="2"/>
  <c r="M661" i="2" s="1"/>
  <c r="H662" i="2"/>
  <c r="M662" i="2" s="1"/>
  <c r="H663" i="2"/>
  <c r="M663" i="2" s="1"/>
  <c r="H664" i="2"/>
  <c r="M664" i="2" s="1"/>
  <c r="H665" i="2"/>
  <c r="M665" i="2" s="1"/>
  <c r="H666" i="2"/>
  <c r="M666" i="2" s="1"/>
  <c r="H667" i="2"/>
  <c r="M667" i="2" s="1"/>
  <c r="H668" i="2"/>
  <c r="M668" i="2" s="1"/>
  <c r="H669" i="2"/>
  <c r="M669" i="2" s="1"/>
  <c r="H670" i="2"/>
  <c r="M670" i="2" s="1"/>
  <c r="H671" i="2"/>
  <c r="M671" i="2" s="1"/>
  <c r="H672" i="2"/>
  <c r="M672" i="2" s="1"/>
  <c r="H673" i="2"/>
  <c r="M673" i="2" s="1"/>
  <c r="H674" i="2"/>
  <c r="M674" i="2" s="1"/>
  <c r="H675" i="2"/>
  <c r="M675" i="2" s="1"/>
  <c r="H676" i="2"/>
  <c r="M676" i="2" s="1"/>
  <c r="H677" i="2"/>
  <c r="M677" i="2" s="1"/>
  <c r="H678" i="2"/>
  <c r="M678" i="2" s="1"/>
  <c r="H679" i="2"/>
  <c r="M679" i="2" s="1"/>
  <c r="H680" i="2"/>
  <c r="M680" i="2" s="1"/>
  <c r="H681" i="2"/>
  <c r="M681" i="2" s="1"/>
  <c r="H682" i="2"/>
  <c r="M682" i="2" s="1"/>
  <c r="H683" i="2"/>
  <c r="M683" i="2" s="1"/>
  <c r="H684" i="2"/>
  <c r="M684" i="2" s="1"/>
  <c r="H685" i="2"/>
  <c r="M685" i="2" s="1"/>
  <c r="H686" i="2"/>
  <c r="M686" i="2" s="1"/>
  <c r="H687" i="2"/>
  <c r="M687" i="2" s="1"/>
  <c r="H688" i="2"/>
  <c r="M688" i="2" s="1"/>
  <c r="H689" i="2"/>
  <c r="M689" i="2" s="1"/>
  <c r="H690" i="2"/>
  <c r="M690" i="2" s="1"/>
  <c r="H691" i="2"/>
  <c r="M691" i="2" s="1"/>
  <c r="H692" i="2"/>
  <c r="M692" i="2" s="1"/>
  <c r="H693" i="2"/>
  <c r="M693" i="2" s="1"/>
  <c r="H694" i="2"/>
  <c r="M694" i="2" s="1"/>
  <c r="H695" i="2"/>
  <c r="M695" i="2" s="1"/>
  <c r="H696" i="2"/>
  <c r="M696" i="2" s="1"/>
  <c r="H697" i="2"/>
  <c r="M697" i="2" s="1"/>
  <c r="H698" i="2"/>
  <c r="M698" i="2" s="1"/>
  <c r="H699" i="2"/>
  <c r="M699" i="2" s="1"/>
  <c r="H700" i="2"/>
  <c r="M700" i="2" s="1"/>
  <c r="H701" i="2"/>
  <c r="M701" i="2" s="1"/>
  <c r="H702" i="2"/>
  <c r="M702" i="2" s="1"/>
  <c r="H703" i="2"/>
  <c r="M703" i="2" s="1"/>
  <c r="H704" i="2"/>
  <c r="M704" i="2" s="1"/>
  <c r="H705" i="2"/>
  <c r="M705" i="2" s="1"/>
  <c r="H706" i="2"/>
  <c r="M706" i="2" s="1"/>
  <c r="H707" i="2"/>
  <c r="M707" i="2" s="1"/>
  <c r="H708" i="2"/>
  <c r="M708" i="2" s="1"/>
  <c r="H709" i="2"/>
  <c r="M709" i="2" s="1"/>
  <c r="H710" i="2"/>
  <c r="M710" i="2" s="1"/>
  <c r="H711" i="2"/>
  <c r="M711" i="2" s="1"/>
  <c r="H712" i="2"/>
  <c r="M712" i="2" s="1"/>
  <c r="H713" i="2"/>
  <c r="M713" i="2" s="1"/>
  <c r="H714" i="2"/>
  <c r="M714" i="2" s="1"/>
  <c r="H715" i="2"/>
  <c r="M715" i="2" s="1"/>
  <c r="H716" i="2"/>
  <c r="M716" i="2" s="1"/>
  <c r="H717" i="2"/>
  <c r="M717" i="2" s="1"/>
  <c r="H718" i="2"/>
  <c r="M718" i="2" s="1"/>
  <c r="H719" i="2"/>
  <c r="M719" i="2" s="1"/>
  <c r="H720" i="2"/>
  <c r="M720" i="2" s="1"/>
  <c r="H721" i="2"/>
  <c r="M721" i="2" s="1"/>
  <c r="H722" i="2"/>
  <c r="M722" i="2" s="1"/>
  <c r="H723" i="2"/>
  <c r="M723" i="2" s="1"/>
  <c r="H724" i="2"/>
  <c r="M724" i="2" s="1"/>
  <c r="H725" i="2"/>
  <c r="M725" i="2" s="1"/>
  <c r="H726" i="2"/>
  <c r="M726" i="2" s="1"/>
  <c r="H727" i="2"/>
  <c r="M727" i="2" s="1"/>
  <c r="H728" i="2"/>
  <c r="M728" i="2" s="1"/>
  <c r="H729" i="2"/>
  <c r="M729" i="2" s="1"/>
  <c r="H730" i="2"/>
  <c r="M730" i="2" s="1"/>
  <c r="H731" i="2"/>
  <c r="M731" i="2" s="1"/>
  <c r="H732" i="2"/>
  <c r="M732" i="2" s="1"/>
  <c r="H733" i="2"/>
  <c r="M733" i="2" s="1"/>
  <c r="H734" i="2"/>
  <c r="M734" i="2" s="1"/>
  <c r="H735" i="2"/>
  <c r="M735" i="2" s="1"/>
  <c r="H736" i="2"/>
  <c r="M736" i="2" s="1"/>
  <c r="H737" i="2"/>
  <c r="M737" i="2" s="1"/>
  <c r="H738" i="2"/>
  <c r="M738" i="2" s="1"/>
  <c r="H739" i="2"/>
  <c r="M739" i="2" s="1"/>
  <c r="H740" i="2"/>
  <c r="M740" i="2" s="1"/>
  <c r="H741" i="2"/>
  <c r="M741" i="2" s="1"/>
  <c r="H742" i="2"/>
  <c r="M742" i="2" s="1"/>
  <c r="H743" i="2"/>
  <c r="M743" i="2" s="1"/>
  <c r="H744" i="2"/>
  <c r="M744" i="2" s="1"/>
  <c r="H745" i="2"/>
  <c r="M745" i="2" s="1"/>
  <c r="H746" i="2"/>
  <c r="M746" i="2" s="1"/>
  <c r="H747" i="2"/>
  <c r="M747" i="2" s="1"/>
  <c r="H748" i="2"/>
  <c r="M748" i="2" s="1"/>
  <c r="H749" i="2"/>
  <c r="M749" i="2" s="1"/>
  <c r="H750" i="2"/>
  <c r="M750" i="2" s="1"/>
  <c r="H751" i="2"/>
  <c r="M751" i="2" s="1"/>
  <c r="H752" i="2"/>
  <c r="M752" i="2" s="1"/>
  <c r="H753" i="2"/>
  <c r="M753" i="2" s="1"/>
  <c r="H754" i="2"/>
  <c r="M754" i="2" s="1"/>
  <c r="H755" i="2"/>
  <c r="M755" i="2" s="1"/>
  <c r="H756" i="2"/>
  <c r="M756" i="2" s="1"/>
  <c r="H757" i="2"/>
  <c r="M757" i="2" s="1"/>
  <c r="H758" i="2"/>
  <c r="M758" i="2" s="1"/>
  <c r="H759" i="2"/>
  <c r="M759" i="2" s="1"/>
  <c r="H760" i="2"/>
  <c r="M760" i="2" s="1"/>
  <c r="H761" i="2"/>
  <c r="M761" i="2" s="1"/>
  <c r="H762" i="2"/>
  <c r="M762" i="2" s="1"/>
  <c r="H763" i="2"/>
  <c r="M763" i="2" s="1"/>
  <c r="H764" i="2"/>
  <c r="M764" i="2" s="1"/>
  <c r="H765" i="2"/>
  <c r="M765" i="2" s="1"/>
  <c r="H766" i="2"/>
  <c r="M766" i="2" s="1"/>
  <c r="H767" i="2"/>
  <c r="M767" i="2" s="1"/>
  <c r="H768" i="2"/>
  <c r="M768" i="2" s="1"/>
  <c r="H769" i="2"/>
  <c r="M769" i="2" s="1"/>
  <c r="H770" i="2"/>
  <c r="M770" i="2" s="1"/>
  <c r="H771" i="2"/>
  <c r="M771" i="2" s="1"/>
  <c r="H772" i="2"/>
  <c r="M772" i="2" s="1"/>
  <c r="H773" i="2"/>
  <c r="M773" i="2" s="1"/>
  <c r="H774" i="2"/>
  <c r="M774" i="2" s="1"/>
  <c r="H775" i="2"/>
  <c r="M775" i="2" s="1"/>
  <c r="H776" i="2"/>
  <c r="M776" i="2" s="1"/>
  <c r="H777" i="2"/>
  <c r="M777" i="2" s="1"/>
  <c r="H778" i="2"/>
  <c r="M778" i="2" s="1"/>
  <c r="H779" i="2"/>
  <c r="M779" i="2" s="1"/>
  <c r="H780" i="2"/>
  <c r="M780" i="2" s="1"/>
  <c r="H781" i="2"/>
  <c r="M781" i="2" s="1"/>
  <c r="H782" i="2"/>
  <c r="M782" i="2" s="1"/>
  <c r="H783" i="2"/>
  <c r="M783" i="2" s="1"/>
  <c r="H784" i="2"/>
  <c r="M784" i="2" s="1"/>
  <c r="H785" i="2"/>
  <c r="M785" i="2" s="1"/>
  <c r="H786" i="2"/>
  <c r="M786" i="2" s="1"/>
  <c r="H787" i="2"/>
  <c r="M787" i="2" s="1"/>
  <c r="H788" i="2"/>
  <c r="M788" i="2" s="1"/>
  <c r="H789" i="2"/>
  <c r="M789" i="2" s="1"/>
  <c r="H790" i="2"/>
  <c r="M790" i="2" s="1"/>
  <c r="H791" i="2"/>
  <c r="M791" i="2" s="1"/>
  <c r="H792" i="2"/>
  <c r="M792" i="2" s="1"/>
  <c r="H793" i="2"/>
  <c r="M793" i="2" s="1"/>
  <c r="H794" i="2"/>
  <c r="M794" i="2" s="1"/>
  <c r="H795" i="2"/>
  <c r="M795" i="2" s="1"/>
  <c r="H796" i="2"/>
  <c r="M796" i="2" s="1"/>
  <c r="H797" i="2"/>
  <c r="M797" i="2" s="1"/>
  <c r="H798" i="2"/>
  <c r="M798" i="2" s="1"/>
  <c r="H799" i="2"/>
  <c r="M799" i="2" s="1"/>
  <c r="H800" i="2"/>
  <c r="M800" i="2" s="1"/>
  <c r="H801" i="2"/>
  <c r="M801" i="2" s="1"/>
  <c r="H802" i="2"/>
  <c r="M802" i="2" s="1"/>
  <c r="H803" i="2"/>
  <c r="M803" i="2" s="1"/>
  <c r="H804" i="2"/>
  <c r="M804" i="2" s="1"/>
  <c r="H805" i="2"/>
  <c r="M805" i="2" s="1"/>
  <c r="H806" i="2"/>
  <c r="M806" i="2" s="1"/>
  <c r="H807" i="2"/>
  <c r="M807" i="2" s="1"/>
  <c r="H808" i="2"/>
  <c r="M808" i="2" s="1"/>
  <c r="H809" i="2"/>
  <c r="M809" i="2" s="1"/>
  <c r="H810" i="2"/>
  <c r="M810" i="2" s="1"/>
  <c r="H811" i="2"/>
  <c r="M811" i="2" s="1"/>
  <c r="H812" i="2"/>
  <c r="M812" i="2" s="1"/>
  <c r="H813" i="2"/>
  <c r="M813" i="2" s="1"/>
  <c r="H814" i="2"/>
  <c r="M814" i="2" s="1"/>
  <c r="H815" i="2"/>
  <c r="M815" i="2" s="1"/>
  <c r="H816" i="2"/>
  <c r="M816" i="2" s="1"/>
  <c r="H817" i="2"/>
  <c r="M817" i="2" s="1"/>
  <c r="H818" i="2"/>
  <c r="M818" i="2" s="1"/>
  <c r="H819" i="2"/>
  <c r="M819" i="2" s="1"/>
  <c r="H820" i="2"/>
  <c r="M820" i="2" s="1"/>
  <c r="H821" i="2"/>
  <c r="M821" i="2" s="1"/>
  <c r="H822" i="2"/>
  <c r="M822" i="2" s="1"/>
  <c r="H823" i="2"/>
  <c r="M823" i="2" s="1"/>
  <c r="H824" i="2"/>
  <c r="M824" i="2" s="1"/>
  <c r="H825" i="2"/>
  <c r="M825" i="2" s="1"/>
  <c r="H826" i="2"/>
  <c r="M826" i="2" s="1"/>
  <c r="H827" i="2"/>
  <c r="M827" i="2" s="1"/>
  <c r="H828" i="2"/>
  <c r="M828" i="2" s="1"/>
  <c r="H829" i="2"/>
  <c r="M829" i="2" s="1"/>
  <c r="H830" i="2"/>
  <c r="M830" i="2" s="1"/>
  <c r="H831" i="2"/>
  <c r="M831" i="2" s="1"/>
  <c r="H832" i="2"/>
  <c r="M832" i="2" s="1"/>
  <c r="H833" i="2"/>
  <c r="M833" i="2" s="1"/>
  <c r="H834" i="2"/>
  <c r="M834" i="2" s="1"/>
  <c r="H835" i="2"/>
  <c r="M835" i="2" s="1"/>
  <c r="H836" i="2"/>
  <c r="M836" i="2" s="1"/>
  <c r="H837" i="2"/>
  <c r="M837" i="2" s="1"/>
  <c r="H838" i="2"/>
  <c r="M838" i="2" s="1"/>
  <c r="H839" i="2"/>
  <c r="M839" i="2" s="1"/>
  <c r="H840" i="2"/>
  <c r="M840" i="2" s="1"/>
  <c r="H841" i="2"/>
  <c r="M841" i="2" s="1"/>
  <c r="H842" i="2"/>
  <c r="M842" i="2" s="1"/>
  <c r="H843" i="2"/>
  <c r="M843" i="2" s="1"/>
  <c r="H844" i="2"/>
  <c r="M844" i="2" s="1"/>
  <c r="H845" i="2"/>
  <c r="M845" i="2" s="1"/>
  <c r="H846" i="2"/>
  <c r="M846" i="2" s="1"/>
  <c r="H847" i="2"/>
  <c r="M847" i="2" s="1"/>
  <c r="H848" i="2"/>
  <c r="M848" i="2" s="1"/>
  <c r="H849" i="2"/>
  <c r="M849" i="2" s="1"/>
  <c r="H850" i="2"/>
  <c r="M850" i="2" s="1"/>
  <c r="H851" i="2"/>
  <c r="M851" i="2" s="1"/>
  <c r="H852" i="2"/>
  <c r="M852" i="2" s="1"/>
  <c r="H853" i="2"/>
  <c r="M853" i="2" s="1"/>
  <c r="H854" i="2"/>
  <c r="M854" i="2" s="1"/>
  <c r="H855" i="2"/>
  <c r="M855" i="2" s="1"/>
  <c r="H856" i="2"/>
  <c r="M856" i="2" s="1"/>
  <c r="H857" i="2"/>
  <c r="M857" i="2" s="1"/>
  <c r="H858" i="2"/>
  <c r="M858" i="2" s="1"/>
  <c r="H859" i="2"/>
  <c r="M859" i="2" s="1"/>
  <c r="H860" i="2"/>
  <c r="M860" i="2" s="1"/>
  <c r="H861" i="2"/>
  <c r="M861" i="2" s="1"/>
  <c r="H862" i="2"/>
  <c r="M862" i="2" s="1"/>
  <c r="H863" i="2"/>
  <c r="M863" i="2" s="1"/>
  <c r="H864" i="2"/>
  <c r="M864" i="2" s="1"/>
  <c r="H865" i="2"/>
  <c r="M865" i="2" s="1"/>
  <c r="H866" i="2"/>
  <c r="M866" i="2" s="1"/>
  <c r="H867" i="2"/>
  <c r="M867" i="2" s="1"/>
  <c r="H868" i="2"/>
  <c r="M868" i="2" s="1"/>
  <c r="H869" i="2"/>
  <c r="M869" i="2" s="1"/>
  <c r="H870" i="2"/>
  <c r="M870" i="2" s="1"/>
  <c r="H871" i="2"/>
  <c r="M871" i="2" s="1"/>
  <c r="H872" i="2"/>
  <c r="M872" i="2" s="1"/>
  <c r="H873" i="2"/>
  <c r="M873" i="2" s="1"/>
  <c r="H874" i="2"/>
  <c r="M874" i="2" s="1"/>
  <c r="H875" i="2"/>
  <c r="M875" i="2" s="1"/>
  <c r="H876" i="2"/>
  <c r="M876" i="2" s="1"/>
  <c r="H877" i="2"/>
  <c r="M877" i="2" s="1"/>
  <c r="H878" i="2"/>
  <c r="M878" i="2" s="1"/>
  <c r="H879" i="2"/>
  <c r="M879" i="2" s="1"/>
  <c r="H880" i="2"/>
  <c r="M880" i="2" s="1"/>
  <c r="H881" i="2"/>
  <c r="M881" i="2" s="1"/>
  <c r="H882" i="2"/>
  <c r="M882" i="2" s="1"/>
  <c r="H883" i="2"/>
  <c r="M883" i="2" s="1"/>
  <c r="H884" i="2"/>
  <c r="M884" i="2" s="1"/>
  <c r="H885" i="2"/>
  <c r="M885" i="2" s="1"/>
  <c r="H886" i="2"/>
  <c r="M886" i="2" s="1"/>
  <c r="H887" i="2"/>
  <c r="M887" i="2" s="1"/>
  <c r="H888" i="2"/>
  <c r="M888" i="2" s="1"/>
  <c r="H889" i="2"/>
  <c r="M889" i="2" s="1"/>
  <c r="H890" i="2"/>
  <c r="M890" i="2" s="1"/>
  <c r="H891" i="2"/>
  <c r="M891" i="2" s="1"/>
  <c r="H892" i="2"/>
  <c r="M892" i="2" s="1"/>
  <c r="H893" i="2"/>
  <c r="M893" i="2" s="1"/>
  <c r="H894" i="2"/>
  <c r="M894" i="2" s="1"/>
  <c r="H895" i="2"/>
  <c r="M895" i="2" s="1"/>
  <c r="H896" i="2"/>
  <c r="M896" i="2" s="1"/>
  <c r="H897" i="2"/>
  <c r="M897" i="2" s="1"/>
  <c r="H898" i="2"/>
  <c r="M898" i="2" s="1"/>
  <c r="H899" i="2"/>
  <c r="M899" i="2" s="1"/>
  <c r="H900" i="2"/>
  <c r="M900" i="2" s="1"/>
  <c r="H901" i="2"/>
  <c r="M901" i="2" s="1"/>
  <c r="H902" i="2"/>
  <c r="M902" i="2" s="1"/>
  <c r="H903" i="2"/>
  <c r="M903" i="2" s="1"/>
  <c r="H904" i="2"/>
  <c r="M904" i="2" s="1"/>
  <c r="H905" i="2"/>
  <c r="M905" i="2" s="1"/>
  <c r="H906" i="2"/>
  <c r="M906" i="2" s="1"/>
  <c r="H907" i="2"/>
  <c r="M907" i="2" s="1"/>
  <c r="H908" i="2"/>
  <c r="M908" i="2" s="1"/>
  <c r="H909" i="2"/>
  <c r="M909" i="2" s="1"/>
  <c r="H910" i="2"/>
  <c r="M910" i="2" s="1"/>
  <c r="H911" i="2"/>
  <c r="M911" i="2" s="1"/>
  <c r="H912" i="2"/>
  <c r="M912" i="2" s="1"/>
  <c r="H913" i="2"/>
  <c r="M913" i="2" s="1"/>
  <c r="H914" i="2"/>
  <c r="M914" i="2" s="1"/>
  <c r="H915" i="2"/>
  <c r="M915" i="2" s="1"/>
  <c r="H916" i="2"/>
  <c r="M916" i="2" s="1"/>
  <c r="H917" i="2"/>
  <c r="M917" i="2" s="1"/>
  <c r="H918" i="2"/>
  <c r="M918" i="2" s="1"/>
  <c r="H919" i="2"/>
  <c r="M919" i="2" s="1"/>
  <c r="H920" i="2"/>
  <c r="M920" i="2" s="1"/>
  <c r="H921" i="2"/>
  <c r="M921" i="2" s="1"/>
  <c r="H922" i="2"/>
  <c r="M922" i="2" s="1"/>
  <c r="H923" i="2"/>
  <c r="M923" i="2" s="1"/>
  <c r="H924" i="2"/>
  <c r="M924" i="2" s="1"/>
  <c r="H925" i="2"/>
  <c r="M925" i="2" s="1"/>
  <c r="H926" i="2"/>
  <c r="M926" i="2" s="1"/>
  <c r="H927" i="2"/>
  <c r="M927" i="2" s="1"/>
  <c r="H928" i="2"/>
  <c r="M928" i="2" s="1"/>
  <c r="H929" i="2"/>
  <c r="M929" i="2" s="1"/>
  <c r="H930" i="2"/>
  <c r="M930" i="2" s="1"/>
  <c r="H931" i="2"/>
  <c r="M931" i="2" s="1"/>
  <c r="H932" i="2"/>
  <c r="M932" i="2" s="1"/>
  <c r="H933" i="2"/>
  <c r="M933" i="2" s="1"/>
  <c r="H934" i="2"/>
  <c r="M934" i="2" s="1"/>
  <c r="H935" i="2"/>
  <c r="M935" i="2" s="1"/>
  <c r="H936" i="2"/>
  <c r="M936" i="2" s="1"/>
  <c r="H937" i="2"/>
  <c r="M937" i="2" s="1"/>
  <c r="H938" i="2"/>
  <c r="M938" i="2" s="1"/>
  <c r="H939" i="2"/>
  <c r="M939" i="2" s="1"/>
  <c r="H940" i="2"/>
  <c r="M940" i="2" s="1"/>
  <c r="H941" i="2"/>
  <c r="M941" i="2" s="1"/>
  <c r="H942" i="2"/>
  <c r="M942" i="2" s="1"/>
  <c r="H943" i="2"/>
  <c r="M943" i="2" s="1"/>
  <c r="H944" i="2"/>
  <c r="M944" i="2" s="1"/>
  <c r="H945" i="2"/>
  <c r="M945" i="2" s="1"/>
  <c r="H946" i="2"/>
  <c r="M946" i="2" s="1"/>
  <c r="H947" i="2"/>
  <c r="M947" i="2" s="1"/>
  <c r="H948" i="2"/>
  <c r="M948" i="2" s="1"/>
  <c r="H949" i="2"/>
  <c r="M949" i="2" s="1"/>
  <c r="H950" i="2"/>
  <c r="M950" i="2" s="1"/>
  <c r="H951" i="2"/>
  <c r="M951" i="2" s="1"/>
  <c r="H952" i="2"/>
  <c r="M952" i="2" s="1"/>
  <c r="H953" i="2"/>
  <c r="M953" i="2" s="1"/>
  <c r="H954" i="2"/>
  <c r="M954" i="2" s="1"/>
  <c r="H955" i="2"/>
  <c r="M955" i="2" s="1"/>
  <c r="H956" i="2"/>
  <c r="M956" i="2" s="1"/>
  <c r="H957" i="2"/>
  <c r="M957" i="2" s="1"/>
  <c r="H958" i="2"/>
  <c r="M958" i="2" s="1"/>
  <c r="H959" i="2"/>
  <c r="M959" i="2" s="1"/>
  <c r="H960" i="2"/>
  <c r="M960" i="2" s="1"/>
  <c r="H961" i="2"/>
  <c r="M961" i="2" s="1"/>
  <c r="H962" i="2"/>
  <c r="M962" i="2" s="1"/>
  <c r="H963" i="2"/>
  <c r="M963" i="2" s="1"/>
  <c r="H964" i="2"/>
  <c r="M964" i="2" s="1"/>
  <c r="H965" i="2"/>
  <c r="M965" i="2" s="1"/>
  <c r="H966" i="2"/>
  <c r="M966" i="2" s="1"/>
  <c r="H967" i="2"/>
  <c r="M967" i="2" s="1"/>
  <c r="H968" i="2"/>
  <c r="M968" i="2" s="1"/>
  <c r="H969" i="2"/>
  <c r="M969" i="2" s="1"/>
  <c r="H970" i="2"/>
  <c r="M970" i="2" s="1"/>
  <c r="H971" i="2"/>
  <c r="M971" i="2" s="1"/>
  <c r="H972" i="2"/>
  <c r="M972" i="2" s="1"/>
  <c r="H973" i="2"/>
  <c r="M973" i="2" s="1"/>
  <c r="H974" i="2"/>
  <c r="M974" i="2" s="1"/>
  <c r="H975" i="2"/>
  <c r="M975" i="2" s="1"/>
  <c r="H976" i="2"/>
  <c r="M976" i="2" s="1"/>
  <c r="H977" i="2"/>
  <c r="M977" i="2" s="1"/>
  <c r="H978" i="2"/>
  <c r="M978" i="2" s="1"/>
  <c r="H979" i="2"/>
  <c r="M979" i="2" s="1"/>
  <c r="H980" i="2"/>
  <c r="M980" i="2" s="1"/>
  <c r="H981" i="2"/>
  <c r="M981" i="2" s="1"/>
  <c r="H982" i="2"/>
  <c r="M982" i="2" s="1"/>
  <c r="H983" i="2"/>
  <c r="M983" i="2" s="1"/>
  <c r="H984" i="2"/>
  <c r="M984" i="2" s="1"/>
  <c r="H985" i="2"/>
  <c r="M985" i="2" s="1"/>
  <c r="H986" i="2"/>
  <c r="M986" i="2" s="1"/>
  <c r="H987" i="2"/>
  <c r="M987" i="2" s="1"/>
  <c r="H988" i="2"/>
  <c r="M988" i="2" s="1"/>
  <c r="H989" i="2"/>
  <c r="M989" i="2" s="1"/>
  <c r="H990" i="2"/>
  <c r="M990" i="2" s="1"/>
  <c r="H991" i="2"/>
  <c r="M991" i="2" s="1"/>
  <c r="H992" i="2"/>
  <c r="M992" i="2" s="1"/>
  <c r="H993" i="2"/>
  <c r="M993" i="2" s="1"/>
  <c r="H994" i="2"/>
  <c r="M994" i="2" s="1"/>
  <c r="H995" i="2"/>
  <c r="M995" i="2" s="1"/>
  <c r="H996" i="2"/>
  <c r="M996" i="2" s="1"/>
  <c r="H997" i="2"/>
  <c r="M997" i="2" s="1"/>
  <c r="H998" i="2"/>
  <c r="M998" i="2" s="1"/>
  <c r="H999" i="2"/>
  <c r="M999" i="2" s="1"/>
  <c r="H1000" i="2"/>
  <c r="M1000" i="2" s="1"/>
  <c r="H1001" i="2"/>
  <c r="M1001" i="2" s="1"/>
  <c r="G3" i="2"/>
  <c r="K3" i="2" s="1"/>
  <c r="G4" i="2"/>
  <c r="K4" i="2" s="1"/>
  <c r="G5" i="2"/>
  <c r="K5" i="2" s="1"/>
  <c r="G6" i="2"/>
  <c r="K6" i="2" s="1"/>
  <c r="G7" i="2"/>
  <c r="K7" i="2" s="1"/>
  <c r="G8" i="2"/>
  <c r="K8" i="2" s="1"/>
  <c r="G9" i="2"/>
  <c r="K9" i="2" s="1"/>
  <c r="G10" i="2"/>
  <c r="K10" i="2" s="1"/>
  <c r="G11" i="2"/>
  <c r="K11" i="2" s="1"/>
  <c r="G12" i="2"/>
  <c r="K12" i="2" s="1"/>
  <c r="G13" i="2"/>
  <c r="K13" i="2" s="1"/>
  <c r="G14" i="2"/>
  <c r="K14" i="2" s="1"/>
  <c r="G15" i="2"/>
  <c r="K15" i="2" s="1"/>
  <c r="G16" i="2"/>
  <c r="K16" i="2" s="1"/>
  <c r="G17" i="2"/>
  <c r="K17" i="2" s="1"/>
  <c r="G18" i="2"/>
  <c r="K18" i="2" s="1"/>
  <c r="G19" i="2"/>
  <c r="K19" i="2" s="1"/>
  <c r="G20" i="2"/>
  <c r="K20" i="2" s="1"/>
  <c r="G21" i="2"/>
  <c r="K21" i="2" s="1"/>
  <c r="G22" i="2"/>
  <c r="K22" i="2" s="1"/>
  <c r="G23" i="2"/>
  <c r="K23" i="2" s="1"/>
  <c r="G24" i="2"/>
  <c r="K24" i="2" s="1"/>
  <c r="G25" i="2"/>
  <c r="K25" i="2" s="1"/>
  <c r="G26" i="2"/>
  <c r="K26" i="2" s="1"/>
  <c r="G27" i="2"/>
  <c r="K27" i="2" s="1"/>
  <c r="G28" i="2"/>
  <c r="K28" i="2" s="1"/>
  <c r="G29" i="2"/>
  <c r="K29" i="2" s="1"/>
  <c r="G30" i="2"/>
  <c r="K30" i="2" s="1"/>
  <c r="G31" i="2"/>
  <c r="K31" i="2" s="1"/>
  <c r="G32" i="2"/>
  <c r="K32" i="2" s="1"/>
  <c r="G33" i="2"/>
  <c r="K33" i="2" s="1"/>
  <c r="G34" i="2"/>
  <c r="K34" i="2" s="1"/>
  <c r="G35" i="2"/>
  <c r="K35" i="2" s="1"/>
  <c r="G36" i="2"/>
  <c r="K36" i="2" s="1"/>
  <c r="G37" i="2"/>
  <c r="K37" i="2" s="1"/>
  <c r="G38" i="2"/>
  <c r="K38" i="2" s="1"/>
  <c r="G39" i="2"/>
  <c r="K39" i="2" s="1"/>
  <c r="G40" i="2"/>
  <c r="K40" i="2" s="1"/>
  <c r="G41" i="2"/>
  <c r="K41" i="2" s="1"/>
  <c r="G42" i="2"/>
  <c r="K42" i="2" s="1"/>
  <c r="G43" i="2"/>
  <c r="K43" i="2" s="1"/>
  <c r="G44" i="2"/>
  <c r="K44" i="2" s="1"/>
  <c r="G45" i="2"/>
  <c r="K45" i="2" s="1"/>
  <c r="G46" i="2"/>
  <c r="K46" i="2" s="1"/>
  <c r="G47" i="2"/>
  <c r="K47" i="2" s="1"/>
  <c r="G48" i="2"/>
  <c r="K48" i="2" s="1"/>
  <c r="G49" i="2"/>
  <c r="K49" i="2" s="1"/>
  <c r="G50" i="2"/>
  <c r="K50" i="2" s="1"/>
  <c r="G51" i="2"/>
  <c r="K51" i="2" s="1"/>
  <c r="G52" i="2"/>
  <c r="K52" i="2" s="1"/>
  <c r="G53" i="2"/>
  <c r="K53" i="2" s="1"/>
  <c r="G54" i="2"/>
  <c r="K54" i="2" s="1"/>
  <c r="G55" i="2"/>
  <c r="K55" i="2" s="1"/>
  <c r="G56" i="2"/>
  <c r="K56" i="2" s="1"/>
  <c r="G57" i="2"/>
  <c r="K57" i="2" s="1"/>
  <c r="G58" i="2"/>
  <c r="K58" i="2" s="1"/>
  <c r="G59" i="2"/>
  <c r="K59" i="2" s="1"/>
  <c r="G60" i="2"/>
  <c r="K60" i="2" s="1"/>
  <c r="G61" i="2"/>
  <c r="K61" i="2" s="1"/>
  <c r="G62" i="2"/>
  <c r="K62" i="2" s="1"/>
  <c r="G63" i="2"/>
  <c r="K63" i="2" s="1"/>
  <c r="G64" i="2"/>
  <c r="K64" i="2" s="1"/>
  <c r="G65" i="2"/>
  <c r="K65" i="2" s="1"/>
  <c r="G66" i="2"/>
  <c r="K66" i="2" s="1"/>
  <c r="G67" i="2"/>
  <c r="K67" i="2" s="1"/>
  <c r="G68" i="2"/>
  <c r="K68" i="2" s="1"/>
  <c r="G69" i="2"/>
  <c r="K69" i="2" s="1"/>
  <c r="G70" i="2"/>
  <c r="K70" i="2" s="1"/>
  <c r="G71" i="2"/>
  <c r="K71" i="2" s="1"/>
  <c r="G72" i="2"/>
  <c r="K72" i="2" s="1"/>
  <c r="G73" i="2"/>
  <c r="K73" i="2" s="1"/>
  <c r="G74" i="2"/>
  <c r="K74" i="2" s="1"/>
  <c r="G75" i="2"/>
  <c r="K75" i="2" s="1"/>
  <c r="G76" i="2"/>
  <c r="K76" i="2" s="1"/>
  <c r="G77" i="2"/>
  <c r="K77" i="2" s="1"/>
  <c r="G78" i="2"/>
  <c r="K78" i="2" s="1"/>
  <c r="G79" i="2"/>
  <c r="K79" i="2" s="1"/>
  <c r="G80" i="2"/>
  <c r="K80" i="2" s="1"/>
  <c r="G81" i="2"/>
  <c r="K81" i="2" s="1"/>
  <c r="G82" i="2"/>
  <c r="K82" i="2" s="1"/>
  <c r="G83" i="2"/>
  <c r="K83" i="2" s="1"/>
  <c r="G84" i="2"/>
  <c r="K84" i="2" s="1"/>
  <c r="G85" i="2"/>
  <c r="K85" i="2" s="1"/>
  <c r="G86" i="2"/>
  <c r="K86" i="2" s="1"/>
  <c r="G87" i="2"/>
  <c r="K87" i="2" s="1"/>
  <c r="G88" i="2"/>
  <c r="K88" i="2" s="1"/>
  <c r="G89" i="2"/>
  <c r="K89" i="2" s="1"/>
  <c r="G90" i="2"/>
  <c r="K90" i="2" s="1"/>
  <c r="G91" i="2"/>
  <c r="K91" i="2" s="1"/>
  <c r="G92" i="2"/>
  <c r="K92" i="2" s="1"/>
  <c r="G93" i="2"/>
  <c r="K93" i="2" s="1"/>
  <c r="G94" i="2"/>
  <c r="K94" i="2" s="1"/>
  <c r="G95" i="2"/>
  <c r="K95" i="2" s="1"/>
  <c r="G96" i="2"/>
  <c r="K96" i="2" s="1"/>
  <c r="G97" i="2"/>
  <c r="K97" i="2" s="1"/>
  <c r="G98" i="2"/>
  <c r="K98" i="2" s="1"/>
  <c r="G99" i="2"/>
  <c r="K99" i="2" s="1"/>
  <c r="G100" i="2"/>
  <c r="K100" i="2" s="1"/>
  <c r="G101" i="2"/>
  <c r="K101" i="2" s="1"/>
  <c r="G102" i="2"/>
  <c r="K102" i="2" s="1"/>
  <c r="G103" i="2"/>
  <c r="K103" i="2" s="1"/>
  <c r="G104" i="2"/>
  <c r="K104" i="2" s="1"/>
  <c r="G105" i="2"/>
  <c r="K105" i="2" s="1"/>
  <c r="G106" i="2"/>
  <c r="K106" i="2" s="1"/>
  <c r="G107" i="2"/>
  <c r="K107" i="2" s="1"/>
  <c r="G108" i="2"/>
  <c r="K108" i="2" s="1"/>
  <c r="G109" i="2"/>
  <c r="K109" i="2" s="1"/>
  <c r="G110" i="2"/>
  <c r="K110" i="2" s="1"/>
  <c r="G111" i="2"/>
  <c r="K111" i="2" s="1"/>
  <c r="G112" i="2"/>
  <c r="K112" i="2" s="1"/>
  <c r="G113" i="2"/>
  <c r="K113" i="2" s="1"/>
  <c r="G114" i="2"/>
  <c r="K114" i="2" s="1"/>
  <c r="G115" i="2"/>
  <c r="K115" i="2" s="1"/>
  <c r="G116" i="2"/>
  <c r="K116" i="2" s="1"/>
  <c r="G117" i="2"/>
  <c r="K117" i="2" s="1"/>
  <c r="G118" i="2"/>
  <c r="K118" i="2" s="1"/>
  <c r="G119" i="2"/>
  <c r="K119" i="2" s="1"/>
  <c r="G120" i="2"/>
  <c r="K120" i="2" s="1"/>
  <c r="G121" i="2"/>
  <c r="K121" i="2" s="1"/>
  <c r="G122" i="2"/>
  <c r="K122" i="2" s="1"/>
  <c r="G123" i="2"/>
  <c r="K123" i="2" s="1"/>
  <c r="G124" i="2"/>
  <c r="K124" i="2" s="1"/>
  <c r="G125" i="2"/>
  <c r="K125" i="2" s="1"/>
  <c r="G126" i="2"/>
  <c r="K126" i="2" s="1"/>
  <c r="G127" i="2"/>
  <c r="K127" i="2" s="1"/>
  <c r="G128" i="2"/>
  <c r="K128" i="2" s="1"/>
  <c r="G129" i="2"/>
  <c r="K129" i="2" s="1"/>
  <c r="G130" i="2"/>
  <c r="K130" i="2" s="1"/>
  <c r="G131" i="2"/>
  <c r="K131" i="2" s="1"/>
  <c r="G132" i="2"/>
  <c r="K132" i="2" s="1"/>
  <c r="G133" i="2"/>
  <c r="K133" i="2" s="1"/>
  <c r="G134" i="2"/>
  <c r="K134" i="2" s="1"/>
  <c r="G135" i="2"/>
  <c r="K135" i="2" s="1"/>
  <c r="G136" i="2"/>
  <c r="K136" i="2" s="1"/>
  <c r="G137" i="2"/>
  <c r="K137" i="2" s="1"/>
  <c r="G138" i="2"/>
  <c r="K138" i="2" s="1"/>
  <c r="G139" i="2"/>
  <c r="K139" i="2" s="1"/>
  <c r="G140" i="2"/>
  <c r="K140" i="2" s="1"/>
  <c r="G141" i="2"/>
  <c r="K141" i="2" s="1"/>
  <c r="G142" i="2"/>
  <c r="K142" i="2" s="1"/>
  <c r="G143" i="2"/>
  <c r="K143" i="2" s="1"/>
  <c r="G144" i="2"/>
  <c r="K144" i="2" s="1"/>
  <c r="G145" i="2"/>
  <c r="K145" i="2" s="1"/>
  <c r="G146" i="2"/>
  <c r="K146" i="2" s="1"/>
  <c r="G147" i="2"/>
  <c r="K147" i="2" s="1"/>
  <c r="G148" i="2"/>
  <c r="K148" i="2" s="1"/>
  <c r="G149" i="2"/>
  <c r="K149" i="2" s="1"/>
  <c r="G150" i="2"/>
  <c r="K150" i="2" s="1"/>
  <c r="G151" i="2"/>
  <c r="K151" i="2" s="1"/>
  <c r="G152" i="2"/>
  <c r="K152" i="2" s="1"/>
  <c r="G153" i="2"/>
  <c r="K153" i="2" s="1"/>
  <c r="G154" i="2"/>
  <c r="K154" i="2" s="1"/>
  <c r="G155" i="2"/>
  <c r="K155" i="2" s="1"/>
  <c r="G156" i="2"/>
  <c r="K156" i="2" s="1"/>
  <c r="G157" i="2"/>
  <c r="K157" i="2" s="1"/>
  <c r="G158" i="2"/>
  <c r="K158" i="2" s="1"/>
  <c r="G159" i="2"/>
  <c r="K159" i="2" s="1"/>
  <c r="G160" i="2"/>
  <c r="K160" i="2" s="1"/>
  <c r="G161" i="2"/>
  <c r="K161" i="2" s="1"/>
  <c r="G162" i="2"/>
  <c r="K162" i="2" s="1"/>
  <c r="G163" i="2"/>
  <c r="K163" i="2" s="1"/>
  <c r="G164" i="2"/>
  <c r="K164" i="2" s="1"/>
  <c r="G165" i="2"/>
  <c r="K165" i="2" s="1"/>
  <c r="G166" i="2"/>
  <c r="K166" i="2" s="1"/>
  <c r="G167" i="2"/>
  <c r="K167" i="2" s="1"/>
  <c r="G168" i="2"/>
  <c r="K168" i="2" s="1"/>
  <c r="G169" i="2"/>
  <c r="K169" i="2" s="1"/>
  <c r="G170" i="2"/>
  <c r="K170" i="2" s="1"/>
  <c r="G171" i="2"/>
  <c r="K171" i="2" s="1"/>
  <c r="G172" i="2"/>
  <c r="K172" i="2" s="1"/>
  <c r="G173" i="2"/>
  <c r="K173" i="2" s="1"/>
  <c r="G174" i="2"/>
  <c r="K174" i="2" s="1"/>
  <c r="G175" i="2"/>
  <c r="K175" i="2" s="1"/>
  <c r="G176" i="2"/>
  <c r="K176" i="2" s="1"/>
  <c r="G177" i="2"/>
  <c r="K177" i="2" s="1"/>
  <c r="G178" i="2"/>
  <c r="K178" i="2" s="1"/>
  <c r="G179" i="2"/>
  <c r="K179" i="2" s="1"/>
  <c r="G180" i="2"/>
  <c r="K180" i="2" s="1"/>
  <c r="G181" i="2"/>
  <c r="K181" i="2" s="1"/>
  <c r="G182" i="2"/>
  <c r="K182" i="2" s="1"/>
  <c r="G183" i="2"/>
  <c r="K183" i="2" s="1"/>
  <c r="G184" i="2"/>
  <c r="K184" i="2" s="1"/>
  <c r="G185" i="2"/>
  <c r="K185" i="2" s="1"/>
  <c r="G186" i="2"/>
  <c r="K186" i="2" s="1"/>
  <c r="G187" i="2"/>
  <c r="K187" i="2" s="1"/>
  <c r="G188" i="2"/>
  <c r="K188" i="2" s="1"/>
  <c r="G189" i="2"/>
  <c r="K189" i="2" s="1"/>
  <c r="G190" i="2"/>
  <c r="K190" i="2" s="1"/>
  <c r="G191" i="2"/>
  <c r="K191" i="2" s="1"/>
  <c r="G192" i="2"/>
  <c r="K192" i="2" s="1"/>
  <c r="G193" i="2"/>
  <c r="K193" i="2" s="1"/>
  <c r="G194" i="2"/>
  <c r="K194" i="2" s="1"/>
  <c r="G195" i="2"/>
  <c r="K195" i="2" s="1"/>
  <c r="G196" i="2"/>
  <c r="K196" i="2" s="1"/>
  <c r="G197" i="2"/>
  <c r="K197" i="2" s="1"/>
  <c r="G198" i="2"/>
  <c r="K198" i="2" s="1"/>
  <c r="G199" i="2"/>
  <c r="K199" i="2" s="1"/>
  <c r="G200" i="2"/>
  <c r="K200" i="2" s="1"/>
  <c r="G201" i="2"/>
  <c r="K201" i="2" s="1"/>
  <c r="G202" i="2"/>
  <c r="K202" i="2" s="1"/>
  <c r="G203" i="2"/>
  <c r="K203" i="2" s="1"/>
  <c r="G204" i="2"/>
  <c r="K204" i="2" s="1"/>
  <c r="G205" i="2"/>
  <c r="K205" i="2" s="1"/>
  <c r="G206" i="2"/>
  <c r="K206" i="2" s="1"/>
  <c r="G207" i="2"/>
  <c r="K207" i="2" s="1"/>
  <c r="G208" i="2"/>
  <c r="K208" i="2" s="1"/>
  <c r="G209" i="2"/>
  <c r="K209" i="2" s="1"/>
  <c r="G210" i="2"/>
  <c r="K210" i="2" s="1"/>
  <c r="G211" i="2"/>
  <c r="K211" i="2" s="1"/>
  <c r="G212" i="2"/>
  <c r="K212" i="2" s="1"/>
  <c r="G213" i="2"/>
  <c r="K213" i="2" s="1"/>
  <c r="G214" i="2"/>
  <c r="K214" i="2" s="1"/>
  <c r="G215" i="2"/>
  <c r="K215" i="2" s="1"/>
  <c r="G216" i="2"/>
  <c r="K216" i="2" s="1"/>
  <c r="G217" i="2"/>
  <c r="K217" i="2" s="1"/>
  <c r="G218" i="2"/>
  <c r="K218" i="2" s="1"/>
  <c r="G219" i="2"/>
  <c r="K219" i="2" s="1"/>
  <c r="G220" i="2"/>
  <c r="K220" i="2" s="1"/>
  <c r="G221" i="2"/>
  <c r="K221" i="2" s="1"/>
  <c r="G222" i="2"/>
  <c r="K222" i="2" s="1"/>
  <c r="G223" i="2"/>
  <c r="K223" i="2" s="1"/>
  <c r="G224" i="2"/>
  <c r="K224" i="2" s="1"/>
  <c r="G225" i="2"/>
  <c r="K225" i="2" s="1"/>
  <c r="G226" i="2"/>
  <c r="K226" i="2" s="1"/>
  <c r="G227" i="2"/>
  <c r="K227" i="2" s="1"/>
  <c r="G228" i="2"/>
  <c r="K228" i="2" s="1"/>
  <c r="G229" i="2"/>
  <c r="K229" i="2" s="1"/>
  <c r="G230" i="2"/>
  <c r="K230" i="2" s="1"/>
  <c r="G231" i="2"/>
  <c r="K231" i="2" s="1"/>
  <c r="G232" i="2"/>
  <c r="K232" i="2" s="1"/>
  <c r="G233" i="2"/>
  <c r="K233" i="2" s="1"/>
  <c r="G234" i="2"/>
  <c r="K234" i="2" s="1"/>
  <c r="G235" i="2"/>
  <c r="K235" i="2" s="1"/>
  <c r="G236" i="2"/>
  <c r="K236" i="2" s="1"/>
  <c r="G237" i="2"/>
  <c r="K237" i="2" s="1"/>
  <c r="G238" i="2"/>
  <c r="K238" i="2" s="1"/>
  <c r="G239" i="2"/>
  <c r="K239" i="2" s="1"/>
  <c r="G240" i="2"/>
  <c r="K240" i="2" s="1"/>
  <c r="G241" i="2"/>
  <c r="K241" i="2" s="1"/>
  <c r="G242" i="2"/>
  <c r="K242" i="2" s="1"/>
  <c r="G243" i="2"/>
  <c r="K243" i="2" s="1"/>
  <c r="G244" i="2"/>
  <c r="K244" i="2" s="1"/>
  <c r="G245" i="2"/>
  <c r="K245" i="2" s="1"/>
  <c r="G246" i="2"/>
  <c r="K246" i="2" s="1"/>
  <c r="G247" i="2"/>
  <c r="K247" i="2" s="1"/>
  <c r="G248" i="2"/>
  <c r="K248" i="2" s="1"/>
  <c r="G249" i="2"/>
  <c r="K249" i="2" s="1"/>
  <c r="G250" i="2"/>
  <c r="K250" i="2" s="1"/>
  <c r="G251" i="2"/>
  <c r="K251" i="2" s="1"/>
  <c r="G252" i="2"/>
  <c r="K252" i="2" s="1"/>
  <c r="G253" i="2"/>
  <c r="K253" i="2" s="1"/>
  <c r="G254" i="2"/>
  <c r="K254" i="2" s="1"/>
  <c r="G255" i="2"/>
  <c r="K255" i="2" s="1"/>
  <c r="G256" i="2"/>
  <c r="K256" i="2" s="1"/>
  <c r="G257" i="2"/>
  <c r="K257" i="2" s="1"/>
  <c r="G258" i="2"/>
  <c r="K258" i="2" s="1"/>
  <c r="G259" i="2"/>
  <c r="K259" i="2" s="1"/>
  <c r="G260" i="2"/>
  <c r="K260" i="2" s="1"/>
  <c r="G261" i="2"/>
  <c r="K261" i="2" s="1"/>
  <c r="G262" i="2"/>
  <c r="K262" i="2" s="1"/>
  <c r="G263" i="2"/>
  <c r="K263" i="2" s="1"/>
  <c r="G264" i="2"/>
  <c r="K264" i="2" s="1"/>
  <c r="G265" i="2"/>
  <c r="K265" i="2" s="1"/>
  <c r="G266" i="2"/>
  <c r="K266" i="2" s="1"/>
  <c r="G267" i="2"/>
  <c r="K267" i="2" s="1"/>
  <c r="G268" i="2"/>
  <c r="K268" i="2" s="1"/>
  <c r="G269" i="2"/>
  <c r="K269" i="2" s="1"/>
  <c r="G270" i="2"/>
  <c r="K270" i="2" s="1"/>
  <c r="G271" i="2"/>
  <c r="K271" i="2" s="1"/>
  <c r="G272" i="2"/>
  <c r="K272" i="2" s="1"/>
  <c r="G273" i="2"/>
  <c r="K273" i="2" s="1"/>
  <c r="G274" i="2"/>
  <c r="K274" i="2" s="1"/>
  <c r="G275" i="2"/>
  <c r="K275" i="2" s="1"/>
  <c r="G276" i="2"/>
  <c r="K276" i="2" s="1"/>
  <c r="G277" i="2"/>
  <c r="K277" i="2" s="1"/>
  <c r="G278" i="2"/>
  <c r="K278" i="2" s="1"/>
  <c r="G279" i="2"/>
  <c r="K279" i="2" s="1"/>
  <c r="G280" i="2"/>
  <c r="K280" i="2" s="1"/>
  <c r="G281" i="2"/>
  <c r="K281" i="2" s="1"/>
  <c r="G282" i="2"/>
  <c r="K282" i="2" s="1"/>
  <c r="G283" i="2"/>
  <c r="K283" i="2" s="1"/>
  <c r="G284" i="2"/>
  <c r="K284" i="2" s="1"/>
  <c r="G285" i="2"/>
  <c r="K285" i="2" s="1"/>
  <c r="G286" i="2"/>
  <c r="K286" i="2" s="1"/>
  <c r="G287" i="2"/>
  <c r="K287" i="2" s="1"/>
  <c r="G288" i="2"/>
  <c r="K288" i="2" s="1"/>
  <c r="G289" i="2"/>
  <c r="K289" i="2" s="1"/>
  <c r="G290" i="2"/>
  <c r="K290" i="2" s="1"/>
  <c r="G291" i="2"/>
  <c r="K291" i="2" s="1"/>
  <c r="G292" i="2"/>
  <c r="K292" i="2" s="1"/>
  <c r="G293" i="2"/>
  <c r="K293" i="2" s="1"/>
  <c r="G294" i="2"/>
  <c r="K294" i="2" s="1"/>
  <c r="G295" i="2"/>
  <c r="K295" i="2" s="1"/>
  <c r="G296" i="2"/>
  <c r="K296" i="2" s="1"/>
  <c r="G297" i="2"/>
  <c r="K297" i="2" s="1"/>
  <c r="G298" i="2"/>
  <c r="K298" i="2" s="1"/>
  <c r="G299" i="2"/>
  <c r="K299" i="2" s="1"/>
  <c r="G300" i="2"/>
  <c r="K300" i="2" s="1"/>
  <c r="G301" i="2"/>
  <c r="K301" i="2" s="1"/>
  <c r="G302" i="2"/>
  <c r="K302" i="2" s="1"/>
  <c r="G303" i="2"/>
  <c r="K303" i="2" s="1"/>
  <c r="G304" i="2"/>
  <c r="K304" i="2" s="1"/>
  <c r="G305" i="2"/>
  <c r="K305" i="2" s="1"/>
  <c r="G306" i="2"/>
  <c r="K306" i="2" s="1"/>
  <c r="G307" i="2"/>
  <c r="K307" i="2" s="1"/>
  <c r="G308" i="2"/>
  <c r="K308" i="2" s="1"/>
  <c r="G309" i="2"/>
  <c r="K309" i="2" s="1"/>
  <c r="G310" i="2"/>
  <c r="K310" i="2" s="1"/>
  <c r="G311" i="2"/>
  <c r="K311" i="2" s="1"/>
  <c r="G312" i="2"/>
  <c r="K312" i="2" s="1"/>
  <c r="G313" i="2"/>
  <c r="K313" i="2" s="1"/>
  <c r="G314" i="2"/>
  <c r="K314" i="2" s="1"/>
  <c r="G315" i="2"/>
  <c r="K315" i="2" s="1"/>
  <c r="G316" i="2"/>
  <c r="K316" i="2" s="1"/>
  <c r="G317" i="2"/>
  <c r="K317" i="2" s="1"/>
  <c r="G318" i="2"/>
  <c r="K318" i="2" s="1"/>
  <c r="G319" i="2"/>
  <c r="K319" i="2" s="1"/>
  <c r="G320" i="2"/>
  <c r="K320" i="2" s="1"/>
  <c r="G321" i="2"/>
  <c r="K321" i="2" s="1"/>
  <c r="G322" i="2"/>
  <c r="K322" i="2" s="1"/>
  <c r="G323" i="2"/>
  <c r="K323" i="2" s="1"/>
  <c r="G324" i="2"/>
  <c r="K324" i="2" s="1"/>
  <c r="G325" i="2"/>
  <c r="K325" i="2" s="1"/>
  <c r="G326" i="2"/>
  <c r="K326" i="2" s="1"/>
  <c r="G327" i="2"/>
  <c r="K327" i="2" s="1"/>
  <c r="G328" i="2"/>
  <c r="K328" i="2" s="1"/>
  <c r="G329" i="2"/>
  <c r="K329" i="2" s="1"/>
  <c r="G330" i="2"/>
  <c r="K330" i="2" s="1"/>
  <c r="G331" i="2"/>
  <c r="K331" i="2" s="1"/>
  <c r="G332" i="2"/>
  <c r="K332" i="2" s="1"/>
  <c r="G333" i="2"/>
  <c r="K333" i="2" s="1"/>
  <c r="G334" i="2"/>
  <c r="K334" i="2" s="1"/>
  <c r="G335" i="2"/>
  <c r="K335" i="2" s="1"/>
  <c r="G336" i="2"/>
  <c r="K336" i="2" s="1"/>
  <c r="G337" i="2"/>
  <c r="K337" i="2" s="1"/>
  <c r="G338" i="2"/>
  <c r="K338" i="2" s="1"/>
  <c r="G339" i="2"/>
  <c r="K339" i="2" s="1"/>
  <c r="G340" i="2"/>
  <c r="K340" i="2" s="1"/>
  <c r="G341" i="2"/>
  <c r="K341" i="2" s="1"/>
  <c r="G342" i="2"/>
  <c r="K342" i="2" s="1"/>
  <c r="G343" i="2"/>
  <c r="K343" i="2" s="1"/>
  <c r="G344" i="2"/>
  <c r="K344" i="2" s="1"/>
  <c r="G345" i="2"/>
  <c r="K345" i="2" s="1"/>
  <c r="G346" i="2"/>
  <c r="K346" i="2" s="1"/>
  <c r="G347" i="2"/>
  <c r="K347" i="2" s="1"/>
  <c r="G348" i="2"/>
  <c r="K348" i="2" s="1"/>
  <c r="G349" i="2"/>
  <c r="K349" i="2" s="1"/>
  <c r="G350" i="2"/>
  <c r="K350" i="2" s="1"/>
  <c r="G351" i="2"/>
  <c r="K351" i="2" s="1"/>
  <c r="G352" i="2"/>
  <c r="K352" i="2" s="1"/>
  <c r="G353" i="2"/>
  <c r="K353" i="2" s="1"/>
  <c r="G354" i="2"/>
  <c r="K354" i="2" s="1"/>
  <c r="G355" i="2"/>
  <c r="K355" i="2" s="1"/>
  <c r="G356" i="2"/>
  <c r="K356" i="2" s="1"/>
  <c r="G357" i="2"/>
  <c r="K357" i="2" s="1"/>
  <c r="G358" i="2"/>
  <c r="K358" i="2" s="1"/>
  <c r="G359" i="2"/>
  <c r="K359" i="2" s="1"/>
  <c r="G360" i="2"/>
  <c r="K360" i="2" s="1"/>
  <c r="G361" i="2"/>
  <c r="K361" i="2" s="1"/>
  <c r="G362" i="2"/>
  <c r="K362" i="2" s="1"/>
  <c r="G363" i="2"/>
  <c r="K363" i="2" s="1"/>
  <c r="G364" i="2"/>
  <c r="K364" i="2" s="1"/>
  <c r="G365" i="2"/>
  <c r="K365" i="2" s="1"/>
  <c r="G366" i="2"/>
  <c r="K366" i="2" s="1"/>
  <c r="G367" i="2"/>
  <c r="K367" i="2" s="1"/>
  <c r="G368" i="2"/>
  <c r="K368" i="2" s="1"/>
  <c r="G369" i="2"/>
  <c r="K369" i="2" s="1"/>
  <c r="G370" i="2"/>
  <c r="K370" i="2" s="1"/>
  <c r="G371" i="2"/>
  <c r="K371" i="2" s="1"/>
  <c r="G372" i="2"/>
  <c r="K372" i="2" s="1"/>
  <c r="G373" i="2"/>
  <c r="K373" i="2" s="1"/>
  <c r="G374" i="2"/>
  <c r="K374" i="2" s="1"/>
  <c r="G375" i="2"/>
  <c r="K375" i="2" s="1"/>
  <c r="G376" i="2"/>
  <c r="K376" i="2" s="1"/>
  <c r="G377" i="2"/>
  <c r="K377" i="2" s="1"/>
  <c r="G378" i="2"/>
  <c r="K378" i="2" s="1"/>
  <c r="G379" i="2"/>
  <c r="K379" i="2" s="1"/>
  <c r="G380" i="2"/>
  <c r="K380" i="2" s="1"/>
  <c r="G381" i="2"/>
  <c r="K381" i="2" s="1"/>
  <c r="G382" i="2"/>
  <c r="K382" i="2" s="1"/>
  <c r="G383" i="2"/>
  <c r="K383" i="2" s="1"/>
  <c r="G384" i="2"/>
  <c r="K384" i="2" s="1"/>
  <c r="G385" i="2"/>
  <c r="K385" i="2" s="1"/>
  <c r="G386" i="2"/>
  <c r="K386" i="2" s="1"/>
  <c r="G387" i="2"/>
  <c r="K387" i="2" s="1"/>
  <c r="G388" i="2"/>
  <c r="K388" i="2" s="1"/>
  <c r="G389" i="2"/>
  <c r="K389" i="2" s="1"/>
  <c r="G390" i="2"/>
  <c r="K390" i="2" s="1"/>
  <c r="G391" i="2"/>
  <c r="K391" i="2" s="1"/>
  <c r="G392" i="2"/>
  <c r="K392" i="2" s="1"/>
  <c r="G393" i="2"/>
  <c r="K393" i="2" s="1"/>
  <c r="G394" i="2"/>
  <c r="K394" i="2" s="1"/>
  <c r="G395" i="2"/>
  <c r="K395" i="2" s="1"/>
  <c r="G396" i="2"/>
  <c r="K396" i="2" s="1"/>
  <c r="G397" i="2"/>
  <c r="K397" i="2" s="1"/>
  <c r="G398" i="2"/>
  <c r="K398" i="2" s="1"/>
  <c r="G399" i="2"/>
  <c r="K399" i="2" s="1"/>
  <c r="G400" i="2"/>
  <c r="K400" i="2" s="1"/>
  <c r="G401" i="2"/>
  <c r="K401" i="2" s="1"/>
  <c r="G402" i="2"/>
  <c r="K402" i="2" s="1"/>
  <c r="G403" i="2"/>
  <c r="K403" i="2" s="1"/>
  <c r="G404" i="2"/>
  <c r="K404" i="2" s="1"/>
  <c r="G405" i="2"/>
  <c r="K405" i="2" s="1"/>
  <c r="G406" i="2"/>
  <c r="K406" i="2" s="1"/>
  <c r="G407" i="2"/>
  <c r="K407" i="2" s="1"/>
  <c r="G408" i="2"/>
  <c r="K408" i="2" s="1"/>
  <c r="G409" i="2"/>
  <c r="K409" i="2" s="1"/>
  <c r="G410" i="2"/>
  <c r="K410" i="2" s="1"/>
  <c r="G411" i="2"/>
  <c r="K411" i="2" s="1"/>
  <c r="G412" i="2"/>
  <c r="K412" i="2" s="1"/>
  <c r="G413" i="2"/>
  <c r="K413" i="2" s="1"/>
  <c r="G414" i="2"/>
  <c r="K414" i="2" s="1"/>
  <c r="G415" i="2"/>
  <c r="K415" i="2" s="1"/>
  <c r="G416" i="2"/>
  <c r="K416" i="2" s="1"/>
  <c r="G417" i="2"/>
  <c r="K417" i="2" s="1"/>
  <c r="G418" i="2"/>
  <c r="K418" i="2" s="1"/>
  <c r="G419" i="2"/>
  <c r="K419" i="2" s="1"/>
  <c r="G420" i="2"/>
  <c r="K420" i="2" s="1"/>
  <c r="G421" i="2"/>
  <c r="K421" i="2" s="1"/>
  <c r="G422" i="2"/>
  <c r="K422" i="2" s="1"/>
  <c r="G423" i="2"/>
  <c r="K423" i="2" s="1"/>
  <c r="G424" i="2"/>
  <c r="K424" i="2" s="1"/>
  <c r="G425" i="2"/>
  <c r="K425" i="2" s="1"/>
  <c r="G426" i="2"/>
  <c r="K426" i="2" s="1"/>
  <c r="G427" i="2"/>
  <c r="K427" i="2" s="1"/>
  <c r="G428" i="2"/>
  <c r="K428" i="2" s="1"/>
  <c r="G429" i="2"/>
  <c r="K429" i="2" s="1"/>
  <c r="G430" i="2"/>
  <c r="K430" i="2" s="1"/>
  <c r="G431" i="2"/>
  <c r="K431" i="2" s="1"/>
  <c r="G432" i="2"/>
  <c r="K432" i="2" s="1"/>
  <c r="G433" i="2"/>
  <c r="K433" i="2" s="1"/>
  <c r="G434" i="2"/>
  <c r="K434" i="2" s="1"/>
  <c r="G435" i="2"/>
  <c r="K435" i="2" s="1"/>
  <c r="G436" i="2"/>
  <c r="K436" i="2" s="1"/>
  <c r="G437" i="2"/>
  <c r="K437" i="2" s="1"/>
  <c r="G438" i="2"/>
  <c r="K438" i="2" s="1"/>
  <c r="G439" i="2"/>
  <c r="K439" i="2" s="1"/>
  <c r="G440" i="2"/>
  <c r="K440" i="2" s="1"/>
  <c r="G441" i="2"/>
  <c r="K441" i="2" s="1"/>
  <c r="G442" i="2"/>
  <c r="K442" i="2" s="1"/>
  <c r="G443" i="2"/>
  <c r="K443" i="2" s="1"/>
  <c r="G444" i="2"/>
  <c r="K444" i="2" s="1"/>
  <c r="G445" i="2"/>
  <c r="K445" i="2" s="1"/>
  <c r="G446" i="2"/>
  <c r="K446" i="2" s="1"/>
  <c r="G447" i="2"/>
  <c r="K447" i="2" s="1"/>
  <c r="G448" i="2"/>
  <c r="K448" i="2" s="1"/>
  <c r="G449" i="2"/>
  <c r="K449" i="2" s="1"/>
  <c r="G450" i="2"/>
  <c r="K450" i="2" s="1"/>
  <c r="G451" i="2"/>
  <c r="K451" i="2" s="1"/>
  <c r="G452" i="2"/>
  <c r="K452" i="2" s="1"/>
  <c r="G453" i="2"/>
  <c r="K453" i="2" s="1"/>
  <c r="G454" i="2"/>
  <c r="K454" i="2" s="1"/>
  <c r="G455" i="2"/>
  <c r="K455" i="2" s="1"/>
  <c r="G456" i="2"/>
  <c r="K456" i="2" s="1"/>
  <c r="G457" i="2"/>
  <c r="K457" i="2" s="1"/>
  <c r="G458" i="2"/>
  <c r="K458" i="2" s="1"/>
  <c r="G459" i="2"/>
  <c r="K459" i="2" s="1"/>
  <c r="G460" i="2"/>
  <c r="K460" i="2" s="1"/>
  <c r="G461" i="2"/>
  <c r="K461" i="2" s="1"/>
  <c r="G462" i="2"/>
  <c r="K462" i="2" s="1"/>
  <c r="G463" i="2"/>
  <c r="K463" i="2" s="1"/>
  <c r="G464" i="2"/>
  <c r="K464" i="2" s="1"/>
  <c r="G465" i="2"/>
  <c r="K465" i="2" s="1"/>
  <c r="G466" i="2"/>
  <c r="K466" i="2" s="1"/>
  <c r="G467" i="2"/>
  <c r="K467" i="2" s="1"/>
  <c r="G468" i="2"/>
  <c r="K468" i="2" s="1"/>
  <c r="G469" i="2"/>
  <c r="K469" i="2" s="1"/>
  <c r="G470" i="2"/>
  <c r="K470" i="2" s="1"/>
  <c r="G471" i="2"/>
  <c r="K471" i="2" s="1"/>
  <c r="G472" i="2"/>
  <c r="K472" i="2" s="1"/>
  <c r="G473" i="2"/>
  <c r="K473" i="2" s="1"/>
  <c r="G474" i="2"/>
  <c r="K474" i="2" s="1"/>
  <c r="G475" i="2"/>
  <c r="K475" i="2" s="1"/>
  <c r="G476" i="2"/>
  <c r="K476" i="2" s="1"/>
  <c r="G477" i="2"/>
  <c r="K477" i="2" s="1"/>
  <c r="G478" i="2"/>
  <c r="K478" i="2" s="1"/>
  <c r="G479" i="2"/>
  <c r="K479" i="2" s="1"/>
  <c r="G480" i="2"/>
  <c r="K480" i="2" s="1"/>
  <c r="G481" i="2"/>
  <c r="K481" i="2" s="1"/>
  <c r="G482" i="2"/>
  <c r="K482" i="2" s="1"/>
  <c r="G483" i="2"/>
  <c r="K483" i="2" s="1"/>
  <c r="G484" i="2"/>
  <c r="K484" i="2" s="1"/>
  <c r="G485" i="2"/>
  <c r="K485" i="2" s="1"/>
  <c r="G486" i="2"/>
  <c r="K486" i="2" s="1"/>
  <c r="G487" i="2"/>
  <c r="K487" i="2" s="1"/>
  <c r="G488" i="2"/>
  <c r="K488" i="2" s="1"/>
  <c r="G489" i="2"/>
  <c r="K489" i="2" s="1"/>
  <c r="G490" i="2"/>
  <c r="K490" i="2" s="1"/>
  <c r="G491" i="2"/>
  <c r="K491" i="2" s="1"/>
  <c r="G492" i="2"/>
  <c r="K492" i="2" s="1"/>
  <c r="G493" i="2"/>
  <c r="K493" i="2" s="1"/>
  <c r="G494" i="2"/>
  <c r="K494" i="2" s="1"/>
  <c r="G495" i="2"/>
  <c r="K495" i="2" s="1"/>
  <c r="G496" i="2"/>
  <c r="K496" i="2" s="1"/>
  <c r="G497" i="2"/>
  <c r="K497" i="2" s="1"/>
  <c r="G498" i="2"/>
  <c r="K498" i="2" s="1"/>
  <c r="G499" i="2"/>
  <c r="K499" i="2" s="1"/>
  <c r="G500" i="2"/>
  <c r="K500" i="2" s="1"/>
  <c r="G501" i="2"/>
  <c r="K501" i="2" s="1"/>
  <c r="G502" i="2"/>
  <c r="K502" i="2" s="1"/>
  <c r="G503" i="2"/>
  <c r="K503" i="2" s="1"/>
  <c r="G504" i="2"/>
  <c r="K504" i="2" s="1"/>
  <c r="G505" i="2"/>
  <c r="K505" i="2" s="1"/>
  <c r="G506" i="2"/>
  <c r="K506" i="2" s="1"/>
  <c r="G507" i="2"/>
  <c r="K507" i="2" s="1"/>
  <c r="G508" i="2"/>
  <c r="K508" i="2" s="1"/>
  <c r="G509" i="2"/>
  <c r="K509" i="2" s="1"/>
  <c r="G510" i="2"/>
  <c r="K510" i="2" s="1"/>
  <c r="G511" i="2"/>
  <c r="K511" i="2" s="1"/>
  <c r="G512" i="2"/>
  <c r="K512" i="2" s="1"/>
  <c r="G513" i="2"/>
  <c r="K513" i="2" s="1"/>
  <c r="G514" i="2"/>
  <c r="K514" i="2" s="1"/>
  <c r="G515" i="2"/>
  <c r="K515" i="2" s="1"/>
  <c r="G516" i="2"/>
  <c r="K516" i="2" s="1"/>
  <c r="G517" i="2"/>
  <c r="K517" i="2" s="1"/>
  <c r="G518" i="2"/>
  <c r="K518" i="2" s="1"/>
  <c r="G519" i="2"/>
  <c r="K519" i="2" s="1"/>
  <c r="G520" i="2"/>
  <c r="K520" i="2" s="1"/>
  <c r="G521" i="2"/>
  <c r="K521" i="2" s="1"/>
  <c r="G522" i="2"/>
  <c r="K522" i="2" s="1"/>
  <c r="G523" i="2"/>
  <c r="K523" i="2" s="1"/>
  <c r="G524" i="2"/>
  <c r="K524" i="2" s="1"/>
  <c r="G525" i="2"/>
  <c r="K525" i="2" s="1"/>
  <c r="G526" i="2"/>
  <c r="K526" i="2" s="1"/>
  <c r="G527" i="2"/>
  <c r="K527" i="2" s="1"/>
  <c r="G528" i="2"/>
  <c r="K528" i="2" s="1"/>
  <c r="G529" i="2"/>
  <c r="K529" i="2" s="1"/>
  <c r="G530" i="2"/>
  <c r="K530" i="2" s="1"/>
  <c r="G531" i="2"/>
  <c r="K531" i="2" s="1"/>
  <c r="G532" i="2"/>
  <c r="K532" i="2" s="1"/>
  <c r="G533" i="2"/>
  <c r="K533" i="2" s="1"/>
  <c r="G534" i="2"/>
  <c r="K534" i="2" s="1"/>
  <c r="G535" i="2"/>
  <c r="K535" i="2" s="1"/>
  <c r="G536" i="2"/>
  <c r="K536" i="2" s="1"/>
  <c r="G537" i="2"/>
  <c r="K537" i="2" s="1"/>
  <c r="G538" i="2"/>
  <c r="K538" i="2" s="1"/>
  <c r="G539" i="2"/>
  <c r="K539" i="2" s="1"/>
  <c r="G540" i="2"/>
  <c r="K540" i="2" s="1"/>
  <c r="G541" i="2"/>
  <c r="K541" i="2" s="1"/>
  <c r="G542" i="2"/>
  <c r="K542" i="2" s="1"/>
  <c r="G543" i="2"/>
  <c r="K543" i="2" s="1"/>
  <c r="G544" i="2"/>
  <c r="K544" i="2" s="1"/>
  <c r="G545" i="2"/>
  <c r="K545" i="2" s="1"/>
  <c r="G546" i="2"/>
  <c r="K546" i="2" s="1"/>
  <c r="G547" i="2"/>
  <c r="K547" i="2" s="1"/>
  <c r="G548" i="2"/>
  <c r="K548" i="2" s="1"/>
  <c r="G549" i="2"/>
  <c r="K549" i="2" s="1"/>
  <c r="G550" i="2"/>
  <c r="K550" i="2" s="1"/>
  <c r="G551" i="2"/>
  <c r="K551" i="2" s="1"/>
  <c r="G552" i="2"/>
  <c r="K552" i="2" s="1"/>
  <c r="G553" i="2"/>
  <c r="K553" i="2" s="1"/>
  <c r="G554" i="2"/>
  <c r="K554" i="2" s="1"/>
  <c r="G555" i="2"/>
  <c r="K555" i="2" s="1"/>
  <c r="G556" i="2"/>
  <c r="K556" i="2" s="1"/>
  <c r="G557" i="2"/>
  <c r="K557" i="2" s="1"/>
  <c r="G558" i="2"/>
  <c r="K558" i="2" s="1"/>
  <c r="G559" i="2"/>
  <c r="K559" i="2" s="1"/>
  <c r="G560" i="2"/>
  <c r="K560" i="2" s="1"/>
  <c r="G561" i="2"/>
  <c r="K561" i="2" s="1"/>
  <c r="G562" i="2"/>
  <c r="K562" i="2" s="1"/>
  <c r="G563" i="2"/>
  <c r="K563" i="2" s="1"/>
  <c r="G564" i="2"/>
  <c r="K564" i="2" s="1"/>
  <c r="G565" i="2"/>
  <c r="K565" i="2" s="1"/>
  <c r="G566" i="2"/>
  <c r="K566" i="2" s="1"/>
  <c r="G567" i="2"/>
  <c r="K567" i="2" s="1"/>
  <c r="G568" i="2"/>
  <c r="K568" i="2" s="1"/>
  <c r="G569" i="2"/>
  <c r="K569" i="2" s="1"/>
  <c r="G570" i="2"/>
  <c r="K570" i="2" s="1"/>
  <c r="G571" i="2"/>
  <c r="K571" i="2" s="1"/>
  <c r="G572" i="2"/>
  <c r="K572" i="2" s="1"/>
  <c r="G573" i="2"/>
  <c r="K573" i="2" s="1"/>
  <c r="G574" i="2"/>
  <c r="K574" i="2" s="1"/>
  <c r="G575" i="2"/>
  <c r="K575" i="2" s="1"/>
  <c r="G576" i="2"/>
  <c r="K576" i="2" s="1"/>
  <c r="G577" i="2"/>
  <c r="K577" i="2" s="1"/>
  <c r="G578" i="2"/>
  <c r="K578" i="2" s="1"/>
  <c r="G579" i="2"/>
  <c r="K579" i="2" s="1"/>
  <c r="G580" i="2"/>
  <c r="K580" i="2" s="1"/>
  <c r="G581" i="2"/>
  <c r="K581" i="2" s="1"/>
  <c r="G582" i="2"/>
  <c r="K582" i="2" s="1"/>
  <c r="G583" i="2"/>
  <c r="K583" i="2" s="1"/>
  <c r="G584" i="2"/>
  <c r="K584" i="2" s="1"/>
  <c r="G585" i="2"/>
  <c r="K585" i="2" s="1"/>
  <c r="G586" i="2"/>
  <c r="K586" i="2" s="1"/>
  <c r="G587" i="2"/>
  <c r="K587" i="2" s="1"/>
  <c r="G588" i="2"/>
  <c r="K588" i="2" s="1"/>
  <c r="G589" i="2"/>
  <c r="K589" i="2" s="1"/>
  <c r="G590" i="2"/>
  <c r="K590" i="2" s="1"/>
  <c r="G591" i="2"/>
  <c r="K591" i="2" s="1"/>
  <c r="G592" i="2"/>
  <c r="K592" i="2" s="1"/>
  <c r="G593" i="2"/>
  <c r="K593" i="2" s="1"/>
  <c r="G594" i="2"/>
  <c r="K594" i="2" s="1"/>
  <c r="G595" i="2"/>
  <c r="K595" i="2" s="1"/>
  <c r="G596" i="2"/>
  <c r="K596" i="2" s="1"/>
  <c r="G597" i="2"/>
  <c r="K597" i="2" s="1"/>
  <c r="G598" i="2"/>
  <c r="K598" i="2" s="1"/>
  <c r="G599" i="2"/>
  <c r="K599" i="2" s="1"/>
  <c r="G600" i="2"/>
  <c r="K600" i="2" s="1"/>
  <c r="G601" i="2"/>
  <c r="K601" i="2" s="1"/>
  <c r="G602" i="2"/>
  <c r="K602" i="2" s="1"/>
  <c r="G603" i="2"/>
  <c r="K603" i="2" s="1"/>
  <c r="G604" i="2"/>
  <c r="K604" i="2" s="1"/>
  <c r="G605" i="2"/>
  <c r="K605" i="2" s="1"/>
  <c r="G606" i="2"/>
  <c r="K606" i="2" s="1"/>
  <c r="G607" i="2"/>
  <c r="K607" i="2" s="1"/>
  <c r="G608" i="2"/>
  <c r="K608" i="2" s="1"/>
  <c r="G609" i="2"/>
  <c r="K609" i="2" s="1"/>
  <c r="G610" i="2"/>
  <c r="K610" i="2" s="1"/>
  <c r="G611" i="2"/>
  <c r="K611" i="2" s="1"/>
  <c r="G612" i="2"/>
  <c r="K612" i="2" s="1"/>
  <c r="G613" i="2"/>
  <c r="K613" i="2" s="1"/>
  <c r="G614" i="2"/>
  <c r="K614" i="2" s="1"/>
  <c r="G615" i="2"/>
  <c r="K615" i="2" s="1"/>
  <c r="G616" i="2"/>
  <c r="K616" i="2" s="1"/>
  <c r="G617" i="2"/>
  <c r="K617" i="2" s="1"/>
  <c r="G618" i="2"/>
  <c r="K618" i="2" s="1"/>
  <c r="G619" i="2"/>
  <c r="K619" i="2" s="1"/>
  <c r="G620" i="2"/>
  <c r="K620" i="2" s="1"/>
  <c r="G621" i="2"/>
  <c r="K621" i="2" s="1"/>
  <c r="G622" i="2"/>
  <c r="K622" i="2" s="1"/>
  <c r="G623" i="2"/>
  <c r="K623" i="2" s="1"/>
  <c r="G624" i="2"/>
  <c r="K624" i="2" s="1"/>
  <c r="G625" i="2"/>
  <c r="K625" i="2" s="1"/>
  <c r="G626" i="2"/>
  <c r="K626" i="2" s="1"/>
  <c r="G627" i="2"/>
  <c r="K627" i="2" s="1"/>
  <c r="G628" i="2"/>
  <c r="K628" i="2" s="1"/>
  <c r="G629" i="2"/>
  <c r="K629" i="2" s="1"/>
  <c r="G630" i="2"/>
  <c r="K630" i="2" s="1"/>
  <c r="G631" i="2"/>
  <c r="K631" i="2" s="1"/>
  <c r="G632" i="2"/>
  <c r="K632" i="2" s="1"/>
  <c r="G633" i="2"/>
  <c r="K633" i="2" s="1"/>
  <c r="G634" i="2"/>
  <c r="K634" i="2" s="1"/>
  <c r="G635" i="2"/>
  <c r="K635" i="2" s="1"/>
  <c r="G636" i="2"/>
  <c r="K636" i="2" s="1"/>
  <c r="G637" i="2"/>
  <c r="K637" i="2" s="1"/>
  <c r="G638" i="2"/>
  <c r="K638" i="2" s="1"/>
  <c r="G639" i="2"/>
  <c r="K639" i="2" s="1"/>
  <c r="G640" i="2"/>
  <c r="K640" i="2" s="1"/>
  <c r="G641" i="2"/>
  <c r="K641" i="2" s="1"/>
  <c r="G642" i="2"/>
  <c r="K642" i="2" s="1"/>
  <c r="G643" i="2"/>
  <c r="K643" i="2" s="1"/>
  <c r="G644" i="2"/>
  <c r="K644" i="2" s="1"/>
  <c r="G645" i="2"/>
  <c r="K645" i="2" s="1"/>
  <c r="G646" i="2"/>
  <c r="K646" i="2" s="1"/>
  <c r="G647" i="2"/>
  <c r="K647" i="2" s="1"/>
  <c r="G648" i="2"/>
  <c r="K648" i="2" s="1"/>
  <c r="G649" i="2"/>
  <c r="K649" i="2" s="1"/>
  <c r="G650" i="2"/>
  <c r="K650" i="2" s="1"/>
  <c r="G651" i="2"/>
  <c r="K651" i="2" s="1"/>
  <c r="G652" i="2"/>
  <c r="K652" i="2" s="1"/>
  <c r="G653" i="2"/>
  <c r="K653" i="2" s="1"/>
  <c r="G654" i="2"/>
  <c r="K654" i="2" s="1"/>
  <c r="G655" i="2"/>
  <c r="K655" i="2" s="1"/>
  <c r="G656" i="2"/>
  <c r="K656" i="2" s="1"/>
  <c r="G657" i="2"/>
  <c r="K657" i="2" s="1"/>
  <c r="G658" i="2"/>
  <c r="K658" i="2" s="1"/>
  <c r="G659" i="2"/>
  <c r="K659" i="2" s="1"/>
  <c r="G660" i="2"/>
  <c r="K660" i="2" s="1"/>
  <c r="G661" i="2"/>
  <c r="K661" i="2" s="1"/>
  <c r="G662" i="2"/>
  <c r="K662" i="2" s="1"/>
  <c r="G663" i="2"/>
  <c r="K663" i="2" s="1"/>
  <c r="G664" i="2"/>
  <c r="K664" i="2" s="1"/>
  <c r="G665" i="2"/>
  <c r="K665" i="2" s="1"/>
  <c r="G666" i="2"/>
  <c r="K666" i="2" s="1"/>
  <c r="G667" i="2"/>
  <c r="K667" i="2" s="1"/>
  <c r="G668" i="2"/>
  <c r="K668" i="2" s="1"/>
  <c r="G669" i="2"/>
  <c r="K669" i="2" s="1"/>
  <c r="G670" i="2"/>
  <c r="K670" i="2" s="1"/>
  <c r="G671" i="2"/>
  <c r="K671" i="2" s="1"/>
  <c r="G672" i="2"/>
  <c r="K672" i="2" s="1"/>
  <c r="G673" i="2"/>
  <c r="K673" i="2" s="1"/>
  <c r="G674" i="2"/>
  <c r="K674" i="2" s="1"/>
  <c r="G675" i="2"/>
  <c r="K675" i="2" s="1"/>
  <c r="G676" i="2"/>
  <c r="K676" i="2" s="1"/>
  <c r="G677" i="2"/>
  <c r="K677" i="2" s="1"/>
  <c r="G678" i="2"/>
  <c r="K678" i="2" s="1"/>
  <c r="G679" i="2"/>
  <c r="K679" i="2" s="1"/>
  <c r="G680" i="2"/>
  <c r="K680" i="2" s="1"/>
  <c r="G681" i="2"/>
  <c r="K681" i="2" s="1"/>
  <c r="G682" i="2"/>
  <c r="K682" i="2" s="1"/>
  <c r="G683" i="2"/>
  <c r="K683" i="2" s="1"/>
  <c r="G684" i="2"/>
  <c r="K684" i="2" s="1"/>
  <c r="G685" i="2"/>
  <c r="K685" i="2" s="1"/>
  <c r="G686" i="2"/>
  <c r="K686" i="2" s="1"/>
  <c r="G687" i="2"/>
  <c r="K687" i="2" s="1"/>
  <c r="G688" i="2"/>
  <c r="K688" i="2" s="1"/>
  <c r="G689" i="2"/>
  <c r="K689" i="2" s="1"/>
  <c r="G690" i="2"/>
  <c r="K690" i="2" s="1"/>
  <c r="G691" i="2"/>
  <c r="K691" i="2" s="1"/>
  <c r="G692" i="2"/>
  <c r="K692" i="2" s="1"/>
  <c r="G693" i="2"/>
  <c r="K693" i="2" s="1"/>
  <c r="G694" i="2"/>
  <c r="K694" i="2" s="1"/>
  <c r="G695" i="2"/>
  <c r="K695" i="2" s="1"/>
  <c r="G696" i="2"/>
  <c r="K696" i="2" s="1"/>
  <c r="G697" i="2"/>
  <c r="K697" i="2" s="1"/>
  <c r="G698" i="2"/>
  <c r="K698" i="2" s="1"/>
  <c r="G699" i="2"/>
  <c r="K699" i="2" s="1"/>
  <c r="G700" i="2"/>
  <c r="K700" i="2" s="1"/>
  <c r="G701" i="2"/>
  <c r="K701" i="2" s="1"/>
  <c r="G702" i="2"/>
  <c r="K702" i="2" s="1"/>
  <c r="G703" i="2"/>
  <c r="K703" i="2" s="1"/>
  <c r="G704" i="2"/>
  <c r="K704" i="2" s="1"/>
  <c r="G705" i="2"/>
  <c r="K705" i="2" s="1"/>
  <c r="G706" i="2"/>
  <c r="K706" i="2" s="1"/>
  <c r="G707" i="2"/>
  <c r="K707" i="2" s="1"/>
  <c r="G708" i="2"/>
  <c r="K708" i="2" s="1"/>
  <c r="G709" i="2"/>
  <c r="K709" i="2" s="1"/>
  <c r="G710" i="2"/>
  <c r="K710" i="2" s="1"/>
  <c r="G711" i="2"/>
  <c r="K711" i="2" s="1"/>
  <c r="G712" i="2"/>
  <c r="K712" i="2" s="1"/>
  <c r="G713" i="2"/>
  <c r="K713" i="2" s="1"/>
  <c r="G714" i="2"/>
  <c r="K714" i="2" s="1"/>
  <c r="G715" i="2"/>
  <c r="K715" i="2" s="1"/>
  <c r="G716" i="2"/>
  <c r="K716" i="2" s="1"/>
  <c r="G717" i="2"/>
  <c r="K717" i="2" s="1"/>
  <c r="G718" i="2"/>
  <c r="K718" i="2" s="1"/>
  <c r="G719" i="2"/>
  <c r="K719" i="2" s="1"/>
  <c r="G720" i="2"/>
  <c r="K720" i="2" s="1"/>
  <c r="G721" i="2"/>
  <c r="K721" i="2" s="1"/>
  <c r="G722" i="2"/>
  <c r="K722" i="2" s="1"/>
  <c r="G723" i="2"/>
  <c r="K723" i="2" s="1"/>
  <c r="G724" i="2"/>
  <c r="K724" i="2" s="1"/>
  <c r="G725" i="2"/>
  <c r="K725" i="2" s="1"/>
  <c r="G726" i="2"/>
  <c r="K726" i="2" s="1"/>
  <c r="G727" i="2"/>
  <c r="K727" i="2" s="1"/>
  <c r="G728" i="2"/>
  <c r="K728" i="2" s="1"/>
  <c r="G729" i="2"/>
  <c r="K729" i="2" s="1"/>
  <c r="G730" i="2"/>
  <c r="K730" i="2" s="1"/>
  <c r="G731" i="2"/>
  <c r="K731" i="2" s="1"/>
  <c r="G732" i="2"/>
  <c r="K732" i="2" s="1"/>
  <c r="G733" i="2"/>
  <c r="K733" i="2" s="1"/>
  <c r="G734" i="2"/>
  <c r="K734" i="2" s="1"/>
  <c r="G735" i="2"/>
  <c r="K735" i="2" s="1"/>
  <c r="G736" i="2"/>
  <c r="K736" i="2" s="1"/>
  <c r="G737" i="2"/>
  <c r="K737" i="2" s="1"/>
  <c r="G738" i="2"/>
  <c r="K738" i="2" s="1"/>
  <c r="G739" i="2"/>
  <c r="K739" i="2" s="1"/>
  <c r="G740" i="2"/>
  <c r="K740" i="2" s="1"/>
  <c r="G741" i="2"/>
  <c r="K741" i="2" s="1"/>
  <c r="G742" i="2"/>
  <c r="K742" i="2" s="1"/>
  <c r="G743" i="2"/>
  <c r="K743" i="2" s="1"/>
  <c r="G744" i="2"/>
  <c r="K744" i="2" s="1"/>
  <c r="G745" i="2"/>
  <c r="K745" i="2" s="1"/>
  <c r="G746" i="2"/>
  <c r="K746" i="2" s="1"/>
  <c r="G747" i="2"/>
  <c r="K747" i="2" s="1"/>
  <c r="G748" i="2"/>
  <c r="K748" i="2" s="1"/>
  <c r="G749" i="2"/>
  <c r="K749" i="2" s="1"/>
  <c r="G750" i="2"/>
  <c r="K750" i="2" s="1"/>
  <c r="G751" i="2"/>
  <c r="K751" i="2" s="1"/>
  <c r="G752" i="2"/>
  <c r="K752" i="2" s="1"/>
  <c r="G753" i="2"/>
  <c r="K753" i="2" s="1"/>
  <c r="G754" i="2"/>
  <c r="K754" i="2" s="1"/>
  <c r="G755" i="2"/>
  <c r="K755" i="2" s="1"/>
  <c r="G756" i="2"/>
  <c r="K756" i="2" s="1"/>
  <c r="G757" i="2"/>
  <c r="K757" i="2" s="1"/>
  <c r="G758" i="2"/>
  <c r="K758" i="2" s="1"/>
  <c r="G759" i="2"/>
  <c r="K759" i="2" s="1"/>
  <c r="G760" i="2"/>
  <c r="K760" i="2" s="1"/>
  <c r="G761" i="2"/>
  <c r="K761" i="2" s="1"/>
  <c r="G762" i="2"/>
  <c r="K762" i="2" s="1"/>
  <c r="G763" i="2"/>
  <c r="K763" i="2" s="1"/>
  <c r="G764" i="2"/>
  <c r="K764" i="2" s="1"/>
  <c r="G765" i="2"/>
  <c r="K765" i="2" s="1"/>
  <c r="G766" i="2"/>
  <c r="K766" i="2" s="1"/>
  <c r="G767" i="2"/>
  <c r="K767" i="2" s="1"/>
  <c r="G768" i="2"/>
  <c r="K768" i="2" s="1"/>
  <c r="G769" i="2"/>
  <c r="K769" i="2" s="1"/>
  <c r="G770" i="2"/>
  <c r="K770" i="2" s="1"/>
  <c r="G771" i="2"/>
  <c r="K771" i="2" s="1"/>
  <c r="G772" i="2"/>
  <c r="K772" i="2" s="1"/>
  <c r="G773" i="2"/>
  <c r="K773" i="2" s="1"/>
  <c r="G774" i="2"/>
  <c r="K774" i="2" s="1"/>
  <c r="G775" i="2"/>
  <c r="K775" i="2" s="1"/>
  <c r="G776" i="2"/>
  <c r="K776" i="2" s="1"/>
  <c r="G777" i="2"/>
  <c r="K777" i="2" s="1"/>
  <c r="G778" i="2"/>
  <c r="K778" i="2" s="1"/>
  <c r="G779" i="2"/>
  <c r="K779" i="2" s="1"/>
  <c r="G780" i="2"/>
  <c r="K780" i="2" s="1"/>
  <c r="G781" i="2"/>
  <c r="K781" i="2" s="1"/>
  <c r="G782" i="2"/>
  <c r="K782" i="2" s="1"/>
  <c r="G783" i="2"/>
  <c r="K783" i="2" s="1"/>
  <c r="G784" i="2"/>
  <c r="K784" i="2" s="1"/>
  <c r="G785" i="2"/>
  <c r="K785" i="2" s="1"/>
  <c r="G786" i="2"/>
  <c r="K786" i="2" s="1"/>
  <c r="G787" i="2"/>
  <c r="K787" i="2" s="1"/>
  <c r="G788" i="2"/>
  <c r="K788" i="2" s="1"/>
  <c r="G789" i="2"/>
  <c r="K789" i="2" s="1"/>
  <c r="G790" i="2"/>
  <c r="K790" i="2" s="1"/>
  <c r="G791" i="2"/>
  <c r="K791" i="2" s="1"/>
  <c r="G792" i="2"/>
  <c r="K792" i="2" s="1"/>
  <c r="G793" i="2"/>
  <c r="K793" i="2" s="1"/>
  <c r="G794" i="2"/>
  <c r="K794" i="2" s="1"/>
  <c r="G795" i="2"/>
  <c r="K795" i="2" s="1"/>
  <c r="G796" i="2"/>
  <c r="K796" i="2" s="1"/>
  <c r="G797" i="2"/>
  <c r="K797" i="2" s="1"/>
  <c r="G798" i="2"/>
  <c r="K798" i="2" s="1"/>
  <c r="G799" i="2"/>
  <c r="K799" i="2" s="1"/>
  <c r="G800" i="2"/>
  <c r="K800" i="2" s="1"/>
  <c r="G801" i="2"/>
  <c r="K801" i="2" s="1"/>
  <c r="G802" i="2"/>
  <c r="K802" i="2" s="1"/>
  <c r="G803" i="2"/>
  <c r="K803" i="2" s="1"/>
  <c r="G804" i="2"/>
  <c r="K804" i="2" s="1"/>
  <c r="G805" i="2"/>
  <c r="K805" i="2" s="1"/>
  <c r="G806" i="2"/>
  <c r="K806" i="2" s="1"/>
  <c r="G807" i="2"/>
  <c r="K807" i="2" s="1"/>
  <c r="G808" i="2"/>
  <c r="K808" i="2" s="1"/>
  <c r="G809" i="2"/>
  <c r="K809" i="2" s="1"/>
  <c r="G810" i="2"/>
  <c r="K810" i="2" s="1"/>
  <c r="G811" i="2"/>
  <c r="K811" i="2" s="1"/>
  <c r="G812" i="2"/>
  <c r="K812" i="2" s="1"/>
  <c r="G813" i="2"/>
  <c r="K813" i="2" s="1"/>
  <c r="G814" i="2"/>
  <c r="K814" i="2" s="1"/>
  <c r="G815" i="2"/>
  <c r="K815" i="2" s="1"/>
  <c r="G816" i="2"/>
  <c r="K816" i="2" s="1"/>
  <c r="G817" i="2"/>
  <c r="K817" i="2" s="1"/>
  <c r="G818" i="2"/>
  <c r="K818" i="2" s="1"/>
  <c r="G819" i="2"/>
  <c r="K819" i="2" s="1"/>
  <c r="G820" i="2"/>
  <c r="K820" i="2" s="1"/>
  <c r="G821" i="2"/>
  <c r="K821" i="2" s="1"/>
  <c r="G822" i="2"/>
  <c r="K822" i="2" s="1"/>
  <c r="G823" i="2"/>
  <c r="K823" i="2" s="1"/>
  <c r="G824" i="2"/>
  <c r="K824" i="2" s="1"/>
  <c r="G825" i="2"/>
  <c r="K825" i="2" s="1"/>
  <c r="G826" i="2"/>
  <c r="K826" i="2" s="1"/>
  <c r="G827" i="2"/>
  <c r="K827" i="2" s="1"/>
  <c r="G828" i="2"/>
  <c r="K828" i="2" s="1"/>
  <c r="G829" i="2"/>
  <c r="K829" i="2" s="1"/>
  <c r="G830" i="2"/>
  <c r="K830" i="2" s="1"/>
  <c r="G831" i="2"/>
  <c r="K831" i="2" s="1"/>
  <c r="G832" i="2"/>
  <c r="K832" i="2" s="1"/>
  <c r="G833" i="2"/>
  <c r="K833" i="2" s="1"/>
  <c r="G834" i="2"/>
  <c r="K834" i="2" s="1"/>
  <c r="G835" i="2"/>
  <c r="K835" i="2" s="1"/>
  <c r="G836" i="2"/>
  <c r="K836" i="2" s="1"/>
  <c r="G837" i="2"/>
  <c r="K837" i="2" s="1"/>
  <c r="G838" i="2"/>
  <c r="K838" i="2" s="1"/>
  <c r="G839" i="2"/>
  <c r="K839" i="2" s="1"/>
  <c r="G840" i="2"/>
  <c r="K840" i="2" s="1"/>
  <c r="G841" i="2"/>
  <c r="K841" i="2" s="1"/>
  <c r="G842" i="2"/>
  <c r="K842" i="2" s="1"/>
  <c r="G843" i="2"/>
  <c r="K843" i="2" s="1"/>
  <c r="G844" i="2"/>
  <c r="K844" i="2" s="1"/>
  <c r="G845" i="2"/>
  <c r="K845" i="2" s="1"/>
  <c r="G846" i="2"/>
  <c r="K846" i="2" s="1"/>
  <c r="G847" i="2"/>
  <c r="K847" i="2" s="1"/>
  <c r="G848" i="2"/>
  <c r="K848" i="2" s="1"/>
  <c r="G849" i="2"/>
  <c r="K849" i="2" s="1"/>
  <c r="G850" i="2"/>
  <c r="K850" i="2" s="1"/>
  <c r="G851" i="2"/>
  <c r="K851" i="2" s="1"/>
  <c r="G852" i="2"/>
  <c r="K852" i="2" s="1"/>
  <c r="G853" i="2"/>
  <c r="K853" i="2" s="1"/>
  <c r="G854" i="2"/>
  <c r="K854" i="2" s="1"/>
  <c r="G855" i="2"/>
  <c r="K855" i="2" s="1"/>
  <c r="G856" i="2"/>
  <c r="K856" i="2" s="1"/>
  <c r="G857" i="2"/>
  <c r="K857" i="2" s="1"/>
  <c r="G858" i="2"/>
  <c r="K858" i="2" s="1"/>
  <c r="G859" i="2"/>
  <c r="K859" i="2" s="1"/>
  <c r="G860" i="2"/>
  <c r="K860" i="2" s="1"/>
  <c r="G861" i="2"/>
  <c r="K861" i="2" s="1"/>
  <c r="G862" i="2"/>
  <c r="K862" i="2" s="1"/>
  <c r="G863" i="2"/>
  <c r="K863" i="2" s="1"/>
  <c r="G864" i="2"/>
  <c r="K864" i="2" s="1"/>
  <c r="G865" i="2"/>
  <c r="K865" i="2" s="1"/>
  <c r="G866" i="2"/>
  <c r="K866" i="2" s="1"/>
  <c r="G867" i="2"/>
  <c r="K867" i="2" s="1"/>
  <c r="G868" i="2"/>
  <c r="K868" i="2" s="1"/>
  <c r="G869" i="2"/>
  <c r="K869" i="2" s="1"/>
  <c r="G870" i="2"/>
  <c r="K870" i="2" s="1"/>
  <c r="G871" i="2"/>
  <c r="K871" i="2" s="1"/>
  <c r="G872" i="2"/>
  <c r="K872" i="2" s="1"/>
  <c r="G873" i="2"/>
  <c r="K873" i="2" s="1"/>
  <c r="G874" i="2"/>
  <c r="K874" i="2" s="1"/>
  <c r="G875" i="2"/>
  <c r="K875" i="2" s="1"/>
  <c r="G876" i="2"/>
  <c r="K876" i="2" s="1"/>
  <c r="G877" i="2"/>
  <c r="K877" i="2" s="1"/>
  <c r="G878" i="2"/>
  <c r="K878" i="2" s="1"/>
  <c r="G879" i="2"/>
  <c r="K879" i="2" s="1"/>
  <c r="G880" i="2"/>
  <c r="K880" i="2" s="1"/>
  <c r="G881" i="2"/>
  <c r="K881" i="2" s="1"/>
  <c r="G882" i="2"/>
  <c r="K882" i="2" s="1"/>
  <c r="G883" i="2"/>
  <c r="K883" i="2" s="1"/>
  <c r="G884" i="2"/>
  <c r="K884" i="2" s="1"/>
  <c r="G885" i="2"/>
  <c r="K885" i="2" s="1"/>
  <c r="G886" i="2"/>
  <c r="K886" i="2" s="1"/>
  <c r="G887" i="2"/>
  <c r="K887" i="2" s="1"/>
  <c r="G888" i="2"/>
  <c r="K888" i="2" s="1"/>
  <c r="G889" i="2"/>
  <c r="K889" i="2" s="1"/>
  <c r="G890" i="2"/>
  <c r="K890" i="2" s="1"/>
  <c r="G891" i="2"/>
  <c r="K891" i="2" s="1"/>
  <c r="G892" i="2"/>
  <c r="K892" i="2" s="1"/>
  <c r="G893" i="2"/>
  <c r="K893" i="2" s="1"/>
  <c r="G894" i="2"/>
  <c r="K894" i="2" s="1"/>
  <c r="G895" i="2"/>
  <c r="K895" i="2" s="1"/>
  <c r="G896" i="2"/>
  <c r="K896" i="2" s="1"/>
  <c r="G897" i="2"/>
  <c r="K897" i="2" s="1"/>
  <c r="G898" i="2"/>
  <c r="K898" i="2" s="1"/>
  <c r="G899" i="2"/>
  <c r="K899" i="2" s="1"/>
  <c r="G900" i="2"/>
  <c r="K900" i="2" s="1"/>
  <c r="G901" i="2"/>
  <c r="K901" i="2" s="1"/>
  <c r="G902" i="2"/>
  <c r="K902" i="2" s="1"/>
  <c r="G903" i="2"/>
  <c r="K903" i="2" s="1"/>
  <c r="G904" i="2"/>
  <c r="K904" i="2" s="1"/>
  <c r="G905" i="2"/>
  <c r="K905" i="2" s="1"/>
  <c r="G906" i="2"/>
  <c r="K906" i="2" s="1"/>
  <c r="G907" i="2"/>
  <c r="K907" i="2" s="1"/>
  <c r="G908" i="2"/>
  <c r="K908" i="2" s="1"/>
  <c r="G909" i="2"/>
  <c r="K909" i="2" s="1"/>
  <c r="G910" i="2"/>
  <c r="K910" i="2" s="1"/>
  <c r="G911" i="2"/>
  <c r="K911" i="2" s="1"/>
  <c r="G912" i="2"/>
  <c r="K912" i="2" s="1"/>
  <c r="G913" i="2"/>
  <c r="K913" i="2" s="1"/>
  <c r="G914" i="2"/>
  <c r="K914" i="2" s="1"/>
  <c r="G915" i="2"/>
  <c r="K915" i="2" s="1"/>
  <c r="G916" i="2"/>
  <c r="K916" i="2" s="1"/>
  <c r="G917" i="2"/>
  <c r="K917" i="2" s="1"/>
  <c r="G918" i="2"/>
  <c r="K918" i="2" s="1"/>
  <c r="G919" i="2"/>
  <c r="K919" i="2" s="1"/>
  <c r="G920" i="2"/>
  <c r="K920" i="2" s="1"/>
  <c r="G921" i="2"/>
  <c r="K921" i="2" s="1"/>
  <c r="G922" i="2"/>
  <c r="K922" i="2" s="1"/>
  <c r="G923" i="2"/>
  <c r="K923" i="2" s="1"/>
  <c r="G924" i="2"/>
  <c r="K924" i="2" s="1"/>
  <c r="G925" i="2"/>
  <c r="K925" i="2" s="1"/>
  <c r="G926" i="2"/>
  <c r="K926" i="2" s="1"/>
  <c r="G927" i="2"/>
  <c r="K927" i="2" s="1"/>
  <c r="G928" i="2"/>
  <c r="K928" i="2" s="1"/>
  <c r="G929" i="2"/>
  <c r="K929" i="2" s="1"/>
  <c r="G930" i="2"/>
  <c r="K930" i="2" s="1"/>
  <c r="G931" i="2"/>
  <c r="K931" i="2" s="1"/>
  <c r="G932" i="2"/>
  <c r="K932" i="2" s="1"/>
  <c r="G933" i="2"/>
  <c r="K933" i="2" s="1"/>
  <c r="G934" i="2"/>
  <c r="K934" i="2" s="1"/>
  <c r="G935" i="2"/>
  <c r="K935" i="2" s="1"/>
  <c r="G936" i="2"/>
  <c r="K936" i="2" s="1"/>
  <c r="G937" i="2"/>
  <c r="K937" i="2" s="1"/>
  <c r="G938" i="2"/>
  <c r="K938" i="2" s="1"/>
  <c r="G939" i="2"/>
  <c r="K939" i="2" s="1"/>
  <c r="G940" i="2"/>
  <c r="K940" i="2" s="1"/>
  <c r="G941" i="2"/>
  <c r="K941" i="2" s="1"/>
  <c r="G942" i="2"/>
  <c r="K942" i="2" s="1"/>
  <c r="G943" i="2"/>
  <c r="K943" i="2" s="1"/>
  <c r="G944" i="2"/>
  <c r="K944" i="2" s="1"/>
  <c r="G945" i="2"/>
  <c r="K945" i="2" s="1"/>
  <c r="G946" i="2"/>
  <c r="K946" i="2" s="1"/>
  <c r="G947" i="2"/>
  <c r="K947" i="2" s="1"/>
  <c r="G948" i="2"/>
  <c r="K948" i="2" s="1"/>
  <c r="G949" i="2"/>
  <c r="K949" i="2" s="1"/>
  <c r="G950" i="2"/>
  <c r="K950" i="2" s="1"/>
  <c r="G951" i="2"/>
  <c r="K951" i="2" s="1"/>
  <c r="G952" i="2"/>
  <c r="K952" i="2" s="1"/>
  <c r="G953" i="2"/>
  <c r="K953" i="2" s="1"/>
  <c r="G954" i="2"/>
  <c r="K954" i="2" s="1"/>
  <c r="G955" i="2"/>
  <c r="K955" i="2" s="1"/>
  <c r="G956" i="2"/>
  <c r="K956" i="2" s="1"/>
  <c r="G957" i="2"/>
  <c r="K957" i="2" s="1"/>
  <c r="G958" i="2"/>
  <c r="K958" i="2" s="1"/>
  <c r="G959" i="2"/>
  <c r="K959" i="2" s="1"/>
  <c r="G960" i="2"/>
  <c r="K960" i="2" s="1"/>
  <c r="G961" i="2"/>
  <c r="K961" i="2" s="1"/>
  <c r="G962" i="2"/>
  <c r="K962" i="2" s="1"/>
  <c r="G963" i="2"/>
  <c r="K963" i="2" s="1"/>
  <c r="G964" i="2"/>
  <c r="K964" i="2" s="1"/>
  <c r="G965" i="2"/>
  <c r="K965" i="2" s="1"/>
  <c r="G966" i="2"/>
  <c r="K966" i="2" s="1"/>
  <c r="G967" i="2"/>
  <c r="K967" i="2" s="1"/>
  <c r="G968" i="2"/>
  <c r="K968" i="2" s="1"/>
  <c r="G969" i="2"/>
  <c r="K969" i="2" s="1"/>
  <c r="G970" i="2"/>
  <c r="K970" i="2" s="1"/>
  <c r="G971" i="2"/>
  <c r="K971" i="2" s="1"/>
  <c r="G972" i="2"/>
  <c r="K972" i="2" s="1"/>
  <c r="G973" i="2"/>
  <c r="K973" i="2" s="1"/>
  <c r="G974" i="2"/>
  <c r="K974" i="2" s="1"/>
  <c r="G975" i="2"/>
  <c r="K975" i="2" s="1"/>
  <c r="G976" i="2"/>
  <c r="K976" i="2" s="1"/>
  <c r="G977" i="2"/>
  <c r="K977" i="2" s="1"/>
  <c r="G978" i="2"/>
  <c r="K978" i="2" s="1"/>
  <c r="G979" i="2"/>
  <c r="K979" i="2" s="1"/>
  <c r="G980" i="2"/>
  <c r="K980" i="2" s="1"/>
  <c r="G981" i="2"/>
  <c r="K981" i="2" s="1"/>
  <c r="G982" i="2"/>
  <c r="K982" i="2" s="1"/>
  <c r="G983" i="2"/>
  <c r="K983" i="2" s="1"/>
  <c r="G984" i="2"/>
  <c r="K984" i="2" s="1"/>
  <c r="G985" i="2"/>
  <c r="K985" i="2" s="1"/>
  <c r="G986" i="2"/>
  <c r="K986" i="2" s="1"/>
  <c r="G987" i="2"/>
  <c r="K987" i="2" s="1"/>
  <c r="G988" i="2"/>
  <c r="K988" i="2" s="1"/>
  <c r="G989" i="2"/>
  <c r="K989" i="2" s="1"/>
  <c r="G990" i="2"/>
  <c r="K990" i="2" s="1"/>
  <c r="G991" i="2"/>
  <c r="K991" i="2" s="1"/>
  <c r="G992" i="2"/>
  <c r="K992" i="2" s="1"/>
  <c r="G993" i="2"/>
  <c r="K993" i="2" s="1"/>
  <c r="G994" i="2"/>
  <c r="K994" i="2" s="1"/>
  <c r="G995" i="2"/>
  <c r="K995" i="2" s="1"/>
  <c r="G996" i="2"/>
  <c r="K996" i="2" s="1"/>
  <c r="G997" i="2"/>
  <c r="K997" i="2" s="1"/>
  <c r="G998" i="2"/>
  <c r="K998" i="2" s="1"/>
  <c r="G999" i="2"/>
  <c r="K999" i="2" s="1"/>
  <c r="G1000" i="2"/>
  <c r="K1000" i="2" s="1"/>
  <c r="G1001" i="2"/>
  <c r="K1001" i="2" s="1"/>
  <c r="G2" i="2"/>
  <c r="K2" i="2" s="1"/>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3" i="2"/>
  <c r="F4" i="2"/>
  <c r="F5" i="2"/>
  <c r="F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2" i="2"/>
  <c r="C3" i="2"/>
  <c r="L3" i="2" s="1"/>
  <c r="C4" i="2"/>
  <c r="L4" i="2" s="1"/>
  <c r="C5" i="2"/>
  <c r="L5" i="2" s="1"/>
  <c r="C6" i="2"/>
  <c r="L6" i="2" s="1"/>
  <c r="C7" i="2"/>
  <c r="L7" i="2" s="1"/>
  <c r="C8" i="2"/>
  <c r="L8" i="2" s="1"/>
  <c r="C9" i="2"/>
  <c r="L9" i="2" s="1"/>
  <c r="C10" i="2"/>
  <c r="L10" i="2" s="1"/>
  <c r="C11" i="2"/>
  <c r="L11" i="2" s="1"/>
  <c r="C12" i="2"/>
  <c r="L12" i="2" s="1"/>
  <c r="C13" i="2"/>
  <c r="L13" i="2" s="1"/>
  <c r="C14" i="2"/>
  <c r="L14" i="2" s="1"/>
  <c r="C15" i="2"/>
  <c r="L15" i="2" s="1"/>
  <c r="C16" i="2"/>
  <c r="L16" i="2" s="1"/>
  <c r="C17" i="2"/>
  <c r="L17" i="2" s="1"/>
  <c r="C18" i="2"/>
  <c r="L18" i="2" s="1"/>
  <c r="C19" i="2"/>
  <c r="L19" i="2" s="1"/>
  <c r="C20" i="2"/>
  <c r="L20" i="2" s="1"/>
  <c r="C21" i="2"/>
  <c r="L21" i="2" s="1"/>
  <c r="C22" i="2"/>
  <c r="L22" i="2" s="1"/>
  <c r="C23" i="2"/>
  <c r="L23" i="2" s="1"/>
  <c r="C24" i="2"/>
  <c r="L24" i="2" s="1"/>
  <c r="C25" i="2"/>
  <c r="L25" i="2" s="1"/>
  <c r="C26" i="2"/>
  <c r="L26" i="2" s="1"/>
  <c r="C27" i="2"/>
  <c r="L27" i="2" s="1"/>
  <c r="C28" i="2"/>
  <c r="L28" i="2" s="1"/>
  <c r="C29" i="2"/>
  <c r="L29" i="2" s="1"/>
  <c r="C30" i="2"/>
  <c r="L30" i="2" s="1"/>
  <c r="C31" i="2"/>
  <c r="L31" i="2" s="1"/>
  <c r="C32" i="2"/>
  <c r="L32" i="2" s="1"/>
  <c r="C33" i="2"/>
  <c r="L33" i="2" s="1"/>
  <c r="C34" i="2"/>
  <c r="L34" i="2" s="1"/>
  <c r="C35" i="2"/>
  <c r="L35" i="2" s="1"/>
  <c r="C36" i="2"/>
  <c r="L36" i="2" s="1"/>
  <c r="C37" i="2"/>
  <c r="L37" i="2" s="1"/>
  <c r="C38" i="2"/>
  <c r="L38" i="2" s="1"/>
  <c r="C39" i="2"/>
  <c r="L39" i="2" s="1"/>
  <c r="C40" i="2"/>
  <c r="L40" i="2" s="1"/>
  <c r="C41" i="2"/>
  <c r="L41" i="2" s="1"/>
  <c r="C42" i="2"/>
  <c r="L42" i="2" s="1"/>
  <c r="C43" i="2"/>
  <c r="L43" i="2" s="1"/>
  <c r="C44" i="2"/>
  <c r="L44" i="2" s="1"/>
  <c r="C45" i="2"/>
  <c r="L45" i="2" s="1"/>
  <c r="C46" i="2"/>
  <c r="L46" i="2" s="1"/>
  <c r="C47" i="2"/>
  <c r="L47" i="2" s="1"/>
  <c r="C48" i="2"/>
  <c r="L48" i="2" s="1"/>
  <c r="C49" i="2"/>
  <c r="L49" i="2" s="1"/>
  <c r="C50" i="2"/>
  <c r="L50" i="2" s="1"/>
  <c r="C51" i="2"/>
  <c r="L51" i="2" s="1"/>
  <c r="C52" i="2"/>
  <c r="L52" i="2" s="1"/>
  <c r="C53" i="2"/>
  <c r="L53" i="2" s="1"/>
  <c r="C54" i="2"/>
  <c r="L54" i="2" s="1"/>
  <c r="C55" i="2"/>
  <c r="L55" i="2" s="1"/>
  <c r="C56" i="2"/>
  <c r="L56" i="2" s="1"/>
  <c r="C57" i="2"/>
  <c r="L57" i="2" s="1"/>
  <c r="C58" i="2"/>
  <c r="L58" i="2" s="1"/>
  <c r="C59" i="2"/>
  <c r="L59" i="2" s="1"/>
  <c r="C60" i="2"/>
  <c r="L60" i="2" s="1"/>
  <c r="C61" i="2"/>
  <c r="L61" i="2" s="1"/>
  <c r="C62" i="2"/>
  <c r="L62" i="2" s="1"/>
  <c r="C63" i="2"/>
  <c r="L63" i="2" s="1"/>
  <c r="C64" i="2"/>
  <c r="L64" i="2" s="1"/>
  <c r="C65" i="2"/>
  <c r="L65" i="2" s="1"/>
  <c r="C66" i="2"/>
  <c r="L66" i="2" s="1"/>
  <c r="C67" i="2"/>
  <c r="L67" i="2" s="1"/>
  <c r="C68" i="2"/>
  <c r="L68" i="2" s="1"/>
  <c r="C69" i="2"/>
  <c r="L69" i="2" s="1"/>
  <c r="C70" i="2"/>
  <c r="L70" i="2" s="1"/>
  <c r="C71" i="2"/>
  <c r="L71" i="2" s="1"/>
  <c r="C72" i="2"/>
  <c r="L72" i="2" s="1"/>
  <c r="C73" i="2"/>
  <c r="L73" i="2" s="1"/>
  <c r="C74" i="2"/>
  <c r="L74" i="2" s="1"/>
  <c r="C75" i="2"/>
  <c r="L75" i="2" s="1"/>
  <c r="C76" i="2"/>
  <c r="L76" i="2" s="1"/>
  <c r="C77" i="2"/>
  <c r="L77" i="2" s="1"/>
  <c r="C78" i="2"/>
  <c r="L78" i="2" s="1"/>
  <c r="C79" i="2"/>
  <c r="L79" i="2" s="1"/>
  <c r="C80" i="2"/>
  <c r="L80" i="2" s="1"/>
  <c r="C81" i="2"/>
  <c r="L81" i="2" s="1"/>
  <c r="C82" i="2"/>
  <c r="L82" i="2" s="1"/>
  <c r="C83" i="2"/>
  <c r="L83" i="2" s="1"/>
  <c r="C84" i="2"/>
  <c r="L84" i="2" s="1"/>
  <c r="C85" i="2"/>
  <c r="L85" i="2" s="1"/>
  <c r="C86" i="2"/>
  <c r="L86" i="2" s="1"/>
  <c r="C87" i="2"/>
  <c r="L87" i="2" s="1"/>
  <c r="C88" i="2"/>
  <c r="L88" i="2" s="1"/>
  <c r="C89" i="2"/>
  <c r="L89" i="2" s="1"/>
  <c r="C90" i="2"/>
  <c r="L90" i="2" s="1"/>
  <c r="C91" i="2"/>
  <c r="L91" i="2" s="1"/>
  <c r="C92" i="2"/>
  <c r="L92" i="2" s="1"/>
  <c r="C93" i="2"/>
  <c r="L93" i="2" s="1"/>
  <c r="C94" i="2"/>
  <c r="L94" i="2" s="1"/>
  <c r="C95" i="2"/>
  <c r="L95" i="2" s="1"/>
  <c r="C96" i="2"/>
  <c r="L96" i="2" s="1"/>
  <c r="C97" i="2"/>
  <c r="L97" i="2" s="1"/>
  <c r="C98" i="2"/>
  <c r="L98" i="2" s="1"/>
  <c r="C99" i="2"/>
  <c r="L99" i="2" s="1"/>
  <c r="C100" i="2"/>
  <c r="L100" i="2" s="1"/>
  <c r="C101" i="2"/>
  <c r="L101" i="2" s="1"/>
  <c r="C102" i="2"/>
  <c r="L102" i="2" s="1"/>
  <c r="C103" i="2"/>
  <c r="L103" i="2" s="1"/>
  <c r="C104" i="2"/>
  <c r="L104" i="2" s="1"/>
  <c r="C105" i="2"/>
  <c r="L105" i="2" s="1"/>
  <c r="C106" i="2"/>
  <c r="L106" i="2" s="1"/>
  <c r="C107" i="2"/>
  <c r="L107" i="2" s="1"/>
  <c r="C108" i="2"/>
  <c r="L108" i="2" s="1"/>
  <c r="C109" i="2"/>
  <c r="L109" i="2" s="1"/>
  <c r="C110" i="2"/>
  <c r="L110" i="2" s="1"/>
  <c r="C111" i="2"/>
  <c r="L111" i="2" s="1"/>
  <c r="C112" i="2"/>
  <c r="L112" i="2" s="1"/>
  <c r="C113" i="2"/>
  <c r="L113" i="2" s="1"/>
  <c r="C114" i="2"/>
  <c r="L114" i="2" s="1"/>
  <c r="C115" i="2"/>
  <c r="L115" i="2" s="1"/>
  <c r="C116" i="2"/>
  <c r="L116" i="2" s="1"/>
  <c r="C117" i="2"/>
  <c r="L117" i="2" s="1"/>
  <c r="C118" i="2"/>
  <c r="L118" i="2" s="1"/>
  <c r="C119" i="2"/>
  <c r="L119" i="2" s="1"/>
  <c r="C120" i="2"/>
  <c r="L120" i="2" s="1"/>
  <c r="C121" i="2"/>
  <c r="L121" i="2" s="1"/>
  <c r="C122" i="2"/>
  <c r="L122" i="2" s="1"/>
  <c r="C123" i="2"/>
  <c r="L123" i="2" s="1"/>
  <c r="C124" i="2"/>
  <c r="L124" i="2" s="1"/>
  <c r="C125" i="2"/>
  <c r="L125" i="2" s="1"/>
  <c r="C126" i="2"/>
  <c r="L126" i="2" s="1"/>
  <c r="C127" i="2"/>
  <c r="L127" i="2" s="1"/>
  <c r="C128" i="2"/>
  <c r="L128" i="2" s="1"/>
  <c r="C129" i="2"/>
  <c r="L129" i="2" s="1"/>
  <c r="C130" i="2"/>
  <c r="L130" i="2" s="1"/>
  <c r="C131" i="2"/>
  <c r="L131" i="2" s="1"/>
  <c r="C132" i="2"/>
  <c r="L132" i="2" s="1"/>
  <c r="C133" i="2"/>
  <c r="L133" i="2" s="1"/>
  <c r="C134" i="2"/>
  <c r="L134" i="2" s="1"/>
  <c r="C135" i="2"/>
  <c r="L135" i="2" s="1"/>
  <c r="C136" i="2"/>
  <c r="L136" i="2" s="1"/>
  <c r="C137" i="2"/>
  <c r="L137" i="2" s="1"/>
  <c r="C138" i="2"/>
  <c r="L138" i="2" s="1"/>
  <c r="C139" i="2"/>
  <c r="L139" i="2" s="1"/>
  <c r="C140" i="2"/>
  <c r="L140" i="2" s="1"/>
  <c r="C141" i="2"/>
  <c r="L141" i="2" s="1"/>
  <c r="C142" i="2"/>
  <c r="L142" i="2" s="1"/>
  <c r="C143" i="2"/>
  <c r="L143" i="2" s="1"/>
  <c r="C144" i="2"/>
  <c r="L144" i="2" s="1"/>
  <c r="C145" i="2"/>
  <c r="L145" i="2" s="1"/>
  <c r="C146" i="2"/>
  <c r="L146" i="2" s="1"/>
  <c r="C147" i="2"/>
  <c r="L147" i="2" s="1"/>
  <c r="C148" i="2"/>
  <c r="L148" i="2" s="1"/>
  <c r="C149" i="2"/>
  <c r="L149" i="2" s="1"/>
  <c r="C150" i="2"/>
  <c r="L150" i="2" s="1"/>
  <c r="C151" i="2"/>
  <c r="L151" i="2" s="1"/>
  <c r="C152" i="2"/>
  <c r="L152" i="2" s="1"/>
  <c r="C153" i="2"/>
  <c r="L153" i="2" s="1"/>
  <c r="C154" i="2"/>
  <c r="L154" i="2" s="1"/>
  <c r="C155" i="2"/>
  <c r="L155" i="2" s="1"/>
  <c r="C156" i="2"/>
  <c r="L156" i="2" s="1"/>
  <c r="C157" i="2"/>
  <c r="L157" i="2" s="1"/>
  <c r="C158" i="2"/>
  <c r="L158" i="2" s="1"/>
  <c r="C159" i="2"/>
  <c r="L159" i="2" s="1"/>
  <c r="C160" i="2"/>
  <c r="L160" i="2" s="1"/>
  <c r="C161" i="2"/>
  <c r="L161" i="2" s="1"/>
  <c r="C162" i="2"/>
  <c r="L162" i="2" s="1"/>
  <c r="C163" i="2"/>
  <c r="L163" i="2" s="1"/>
  <c r="C164" i="2"/>
  <c r="L164" i="2" s="1"/>
  <c r="C165" i="2"/>
  <c r="L165" i="2" s="1"/>
  <c r="C166" i="2"/>
  <c r="L166" i="2" s="1"/>
  <c r="C167" i="2"/>
  <c r="L167" i="2" s="1"/>
  <c r="C168" i="2"/>
  <c r="L168" i="2" s="1"/>
  <c r="C169" i="2"/>
  <c r="L169" i="2" s="1"/>
  <c r="C170" i="2"/>
  <c r="L170" i="2" s="1"/>
  <c r="C171" i="2"/>
  <c r="L171" i="2" s="1"/>
  <c r="C172" i="2"/>
  <c r="L172" i="2" s="1"/>
  <c r="C173" i="2"/>
  <c r="L173" i="2" s="1"/>
  <c r="C174" i="2"/>
  <c r="L174" i="2" s="1"/>
  <c r="C175" i="2"/>
  <c r="L175" i="2" s="1"/>
  <c r="C176" i="2"/>
  <c r="L176" i="2" s="1"/>
  <c r="C177" i="2"/>
  <c r="L177" i="2" s="1"/>
  <c r="C178" i="2"/>
  <c r="L178" i="2" s="1"/>
  <c r="C179" i="2"/>
  <c r="L179" i="2" s="1"/>
  <c r="C180" i="2"/>
  <c r="L180" i="2" s="1"/>
  <c r="C181" i="2"/>
  <c r="L181" i="2" s="1"/>
  <c r="C182" i="2"/>
  <c r="L182" i="2" s="1"/>
  <c r="C183" i="2"/>
  <c r="L183" i="2" s="1"/>
  <c r="C184" i="2"/>
  <c r="L184" i="2" s="1"/>
  <c r="C185" i="2"/>
  <c r="L185" i="2" s="1"/>
  <c r="C186" i="2"/>
  <c r="L186" i="2" s="1"/>
  <c r="C187" i="2"/>
  <c r="L187" i="2" s="1"/>
  <c r="C188" i="2"/>
  <c r="L188" i="2" s="1"/>
  <c r="C189" i="2"/>
  <c r="L189" i="2" s="1"/>
  <c r="C190" i="2"/>
  <c r="L190" i="2" s="1"/>
  <c r="C191" i="2"/>
  <c r="L191" i="2" s="1"/>
  <c r="C192" i="2"/>
  <c r="L192" i="2" s="1"/>
  <c r="C193" i="2"/>
  <c r="L193" i="2" s="1"/>
  <c r="C194" i="2"/>
  <c r="L194" i="2" s="1"/>
  <c r="C195" i="2"/>
  <c r="L195" i="2" s="1"/>
  <c r="C196" i="2"/>
  <c r="L196" i="2" s="1"/>
  <c r="C197" i="2"/>
  <c r="L197" i="2" s="1"/>
  <c r="C198" i="2"/>
  <c r="L198" i="2" s="1"/>
  <c r="C199" i="2"/>
  <c r="L199" i="2" s="1"/>
  <c r="C200" i="2"/>
  <c r="L200" i="2" s="1"/>
  <c r="C201" i="2"/>
  <c r="L201" i="2" s="1"/>
  <c r="C202" i="2"/>
  <c r="L202" i="2" s="1"/>
  <c r="C203" i="2"/>
  <c r="L203" i="2" s="1"/>
  <c r="C204" i="2"/>
  <c r="L204" i="2" s="1"/>
  <c r="C205" i="2"/>
  <c r="L205" i="2" s="1"/>
  <c r="C206" i="2"/>
  <c r="L206" i="2" s="1"/>
  <c r="C207" i="2"/>
  <c r="L207" i="2" s="1"/>
  <c r="C208" i="2"/>
  <c r="L208" i="2" s="1"/>
  <c r="C209" i="2"/>
  <c r="L209" i="2" s="1"/>
  <c r="C210" i="2"/>
  <c r="L210" i="2" s="1"/>
  <c r="C211" i="2"/>
  <c r="L211" i="2" s="1"/>
  <c r="C212" i="2"/>
  <c r="L212" i="2" s="1"/>
  <c r="C213" i="2"/>
  <c r="L213" i="2" s="1"/>
  <c r="C214" i="2"/>
  <c r="L214" i="2" s="1"/>
  <c r="C215" i="2"/>
  <c r="L215" i="2" s="1"/>
  <c r="C216" i="2"/>
  <c r="L216" i="2" s="1"/>
  <c r="C217" i="2"/>
  <c r="L217" i="2" s="1"/>
  <c r="C218" i="2"/>
  <c r="L218" i="2" s="1"/>
  <c r="C219" i="2"/>
  <c r="L219" i="2" s="1"/>
  <c r="C220" i="2"/>
  <c r="L220" i="2" s="1"/>
  <c r="C221" i="2"/>
  <c r="L221" i="2" s="1"/>
  <c r="C222" i="2"/>
  <c r="L222" i="2" s="1"/>
  <c r="C223" i="2"/>
  <c r="L223" i="2" s="1"/>
  <c r="C224" i="2"/>
  <c r="L224" i="2" s="1"/>
  <c r="C225" i="2"/>
  <c r="L225" i="2" s="1"/>
  <c r="C226" i="2"/>
  <c r="L226" i="2" s="1"/>
  <c r="C227" i="2"/>
  <c r="L227" i="2" s="1"/>
  <c r="C228" i="2"/>
  <c r="L228" i="2" s="1"/>
  <c r="C229" i="2"/>
  <c r="L229" i="2" s="1"/>
  <c r="C230" i="2"/>
  <c r="L230" i="2" s="1"/>
  <c r="C231" i="2"/>
  <c r="L231" i="2" s="1"/>
  <c r="C232" i="2"/>
  <c r="L232" i="2" s="1"/>
  <c r="C233" i="2"/>
  <c r="L233" i="2" s="1"/>
  <c r="C234" i="2"/>
  <c r="L234" i="2" s="1"/>
  <c r="C235" i="2"/>
  <c r="L235" i="2" s="1"/>
  <c r="C236" i="2"/>
  <c r="L236" i="2" s="1"/>
  <c r="C237" i="2"/>
  <c r="L237" i="2" s="1"/>
  <c r="C238" i="2"/>
  <c r="L238" i="2" s="1"/>
  <c r="C239" i="2"/>
  <c r="L239" i="2" s="1"/>
  <c r="C240" i="2"/>
  <c r="L240" i="2" s="1"/>
  <c r="C241" i="2"/>
  <c r="L241" i="2" s="1"/>
  <c r="C242" i="2"/>
  <c r="L242" i="2" s="1"/>
  <c r="C243" i="2"/>
  <c r="L243" i="2" s="1"/>
  <c r="C244" i="2"/>
  <c r="L244" i="2" s="1"/>
  <c r="C245" i="2"/>
  <c r="L245" i="2" s="1"/>
  <c r="C246" i="2"/>
  <c r="L246" i="2" s="1"/>
  <c r="C247" i="2"/>
  <c r="L247" i="2" s="1"/>
  <c r="C248" i="2"/>
  <c r="L248" i="2" s="1"/>
  <c r="C249" i="2"/>
  <c r="L249" i="2" s="1"/>
  <c r="C250" i="2"/>
  <c r="L250" i="2" s="1"/>
  <c r="C251" i="2"/>
  <c r="L251" i="2" s="1"/>
  <c r="C252" i="2"/>
  <c r="L252" i="2" s="1"/>
  <c r="C253" i="2"/>
  <c r="L253" i="2" s="1"/>
  <c r="C254" i="2"/>
  <c r="L254" i="2" s="1"/>
  <c r="C255" i="2"/>
  <c r="L255" i="2" s="1"/>
  <c r="C256" i="2"/>
  <c r="L256" i="2" s="1"/>
  <c r="C257" i="2"/>
  <c r="L257" i="2" s="1"/>
  <c r="C258" i="2"/>
  <c r="L258" i="2" s="1"/>
  <c r="C259" i="2"/>
  <c r="L259" i="2" s="1"/>
  <c r="C260" i="2"/>
  <c r="L260" i="2" s="1"/>
  <c r="C261" i="2"/>
  <c r="L261" i="2" s="1"/>
  <c r="C262" i="2"/>
  <c r="L262" i="2" s="1"/>
  <c r="C263" i="2"/>
  <c r="L263" i="2" s="1"/>
  <c r="C264" i="2"/>
  <c r="L264" i="2" s="1"/>
  <c r="C265" i="2"/>
  <c r="L265" i="2" s="1"/>
  <c r="C266" i="2"/>
  <c r="L266" i="2" s="1"/>
  <c r="C267" i="2"/>
  <c r="L267" i="2" s="1"/>
  <c r="C268" i="2"/>
  <c r="L268" i="2" s="1"/>
  <c r="C269" i="2"/>
  <c r="L269" i="2" s="1"/>
  <c r="C270" i="2"/>
  <c r="L270" i="2" s="1"/>
  <c r="C271" i="2"/>
  <c r="L271" i="2" s="1"/>
  <c r="C272" i="2"/>
  <c r="L272" i="2" s="1"/>
  <c r="C273" i="2"/>
  <c r="L273" i="2" s="1"/>
  <c r="C274" i="2"/>
  <c r="L274" i="2" s="1"/>
  <c r="C275" i="2"/>
  <c r="L275" i="2" s="1"/>
  <c r="C276" i="2"/>
  <c r="L276" i="2" s="1"/>
  <c r="C277" i="2"/>
  <c r="L277" i="2" s="1"/>
  <c r="C278" i="2"/>
  <c r="L278" i="2" s="1"/>
  <c r="C279" i="2"/>
  <c r="L279" i="2" s="1"/>
  <c r="C280" i="2"/>
  <c r="L280" i="2" s="1"/>
  <c r="C281" i="2"/>
  <c r="L281" i="2" s="1"/>
  <c r="C282" i="2"/>
  <c r="L282" i="2" s="1"/>
  <c r="C283" i="2"/>
  <c r="L283" i="2" s="1"/>
  <c r="C284" i="2"/>
  <c r="L284" i="2" s="1"/>
  <c r="C285" i="2"/>
  <c r="L285" i="2" s="1"/>
  <c r="C286" i="2"/>
  <c r="L286" i="2" s="1"/>
  <c r="C287" i="2"/>
  <c r="L287" i="2" s="1"/>
  <c r="C288" i="2"/>
  <c r="L288" i="2" s="1"/>
  <c r="C289" i="2"/>
  <c r="L289" i="2" s="1"/>
  <c r="C290" i="2"/>
  <c r="L290" i="2" s="1"/>
  <c r="C291" i="2"/>
  <c r="L291" i="2" s="1"/>
  <c r="C292" i="2"/>
  <c r="L292" i="2" s="1"/>
  <c r="C293" i="2"/>
  <c r="L293" i="2" s="1"/>
  <c r="C294" i="2"/>
  <c r="L294" i="2" s="1"/>
  <c r="C295" i="2"/>
  <c r="L295" i="2" s="1"/>
  <c r="C296" i="2"/>
  <c r="L296" i="2" s="1"/>
  <c r="C297" i="2"/>
  <c r="L297" i="2" s="1"/>
  <c r="C298" i="2"/>
  <c r="L298" i="2" s="1"/>
  <c r="C299" i="2"/>
  <c r="L299" i="2" s="1"/>
  <c r="C300" i="2"/>
  <c r="L300" i="2" s="1"/>
  <c r="C301" i="2"/>
  <c r="L301" i="2" s="1"/>
  <c r="C302" i="2"/>
  <c r="L302" i="2" s="1"/>
  <c r="C303" i="2"/>
  <c r="L303" i="2" s="1"/>
  <c r="C304" i="2"/>
  <c r="L304" i="2" s="1"/>
  <c r="C305" i="2"/>
  <c r="L305" i="2" s="1"/>
  <c r="C306" i="2"/>
  <c r="L306" i="2" s="1"/>
  <c r="C307" i="2"/>
  <c r="L307" i="2" s="1"/>
  <c r="C308" i="2"/>
  <c r="L308" i="2" s="1"/>
  <c r="C309" i="2"/>
  <c r="L309" i="2" s="1"/>
  <c r="C310" i="2"/>
  <c r="L310" i="2" s="1"/>
  <c r="C311" i="2"/>
  <c r="L311" i="2" s="1"/>
  <c r="C312" i="2"/>
  <c r="L312" i="2" s="1"/>
  <c r="C313" i="2"/>
  <c r="L313" i="2" s="1"/>
  <c r="C314" i="2"/>
  <c r="L314" i="2" s="1"/>
  <c r="C315" i="2"/>
  <c r="L315" i="2" s="1"/>
  <c r="C316" i="2"/>
  <c r="L316" i="2" s="1"/>
  <c r="C317" i="2"/>
  <c r="L317" i="2" s="1"/>
  <c r="C318" i="2"/>
  <c r="L318" i="2" s="1"/>
  <c r="C319" i="2"/>
  <c r="L319" i="2" s="1"/>
  <c r="C320" i="2"/>
  <c r="L320" i="2" s="1"/>
  <c r="C321" i="2"/>
  <c r="L321" i="2" s="1"/>
  <c r="C322" i="2"/>
  <c r="L322" i="2" s="1"/>
  <c r="C323" i="2"/>
  <c r="L323" i="2" s="1"/>
  <c r="C324" i="2"/>
  <c r="L324" i="2" s="1"/>
  <c r="C325" i="2"/>
  <c r="L325" i="2" s="1"/>
  <c r="C326" i="2"/>
  <c r="L326" i="2" s="1"/>
  <c r="C327" i="2"/>
  <c r="L327" i="2" s="1"/>
  <c r="C328" i="2"/>
  <c r="L328" i="2" s="1"/>
  <c r="C329" i="2"/>
  <c r="L329" i="2" s="1"/>
  <c r="C330" i="2"/>
  <c r="L330" i="2" s="1"/>
  <c r="C331" i="2"/>
  <c r="L331" i="2" s="1"/>
  <c r="C332" i="2"/>
  <c r="L332" i="2" s="1"/>
  <c r="C333" i="2"/>
  <c r="L333" i="2" s="1"/>
  <c r="C334" i="2"/>
  <c r="L334" i="2" s="1"/>
  <c r="C335" i="2"/>
  <c r="L335" i="2" s="1"/>
  <c r="C336" i="2"/>
  <c r="L336" i="2" s="1"/>
  <c r="C337" i="2"/>
  <c r="L337" i="2" s="1"/>
  <c r="C338" i="2"/>
  <c r="L338" i="2" s="1"/>
  <c r="C339" i="2"/>
  <c r="L339" i="2" s="1"/>
  <c r="C340" i="2"/>
  <c r="L340" i="2" s="1"/>
  <c r="C341" i="2"/>
  <c r="L341" i="2" s="1"/>
  <c r="C342" i="2"/>
  <c r="L342" i="2" s="1"/>
  <c r="C343" i="2"/>
  <c r="L343" i="2" s="1"/>
  <c r="C344" i="2"/>
  <c r="L344" i="2" s="1"/>
  <c r="C345" i="2"/>
  <c r="L345" i="2" s="1"/>
  <c r="C346" i="2"/>
  <c r="L346" i="2" s="1"/>
  <c r="C347" i="2"/>
  <c r="L347" i="2" s="1"/>
  <c r="C348" i="2"/>
  <c r="L348" i="2" s="1"/>
  <c r="C349" i="2"/>
  <c r="L349" i="2" s="1"/>
  <c r="C350" i="2"/>
  <c r="L350" i="2" s="1"/>
  <c r="C351" i="2"/>
  <c r="L351" i="2" s="1"/>
  <c r="C352" i="2"/>
  <c r="L352" i="2" s="1"/>
  <c r="C353" i="2"/>
  <c r="L353" i="2" s="1"/>
  <c r="C354" i="2"/>
  <c r="L354" i="2" s="1"/>
  <c r="C355" i="2"/>
  <c r="L355" i="2" s="1"/>
  <c r="C356" i="2"/>
  <c r="L356" i="2" s="1"/>
  <c r="C357" i="2"/>
  <c r="L357" i="2" s="1"/>
  <c r="C358" i="2"/>
  <c r="L358" i="2" s="1"/>
  <c r="C359" i="2"/>
  <c r="L359" i="2" s="1"/>
  <c r="C360" i="2"/>
  <c r="L360" i="2" s="1"/>
  <c r="C361" i="2"/>
  <c r="L361" i="2" s="1"/>
  <c r="C362" i="2"/>
  <c r="L362" i="2" s="1"/>
  <c r="C363" i="2"/>
  <c r="L363" i="2" s="1"/>
  <c r="C364" i="2"/>
  <c r="L364" i="2" s="1"/>
  <c r="C365" i="2"/>
  <c r="L365" i="2" s="1"/>
  <c r="C366" i="2"/>
  <c r="L366" i="2" s="1"/>
  <c r="C367" i="2"/>
  <c r="L367" i="2" s="1"/>
  <c r="C368" i="2"/>
  <c r="L368" i="2" s="1"/>
  <c r="C369" i="2"/>
  <c r="L369" i="2" s="1"/>
  <c r="C370" i="2"/>
  <c r="L370" i="2" s="1"/>
  <c r="C371" i="2"/>
  <c r="L371" i="2" s="1"/>
  <c r="C372" i="2"/>
  <c r="L372" i="2" s="1"/>
  <c r="C373" i="2"/>
  <c r="L373" i="2" s="1"/>
  <c r="C374" i="2"/>
  <c r="L374" i="2" s="1"/>
  <c r="C375" i="2"/>
  <c r="L375" i="2" s="1"/>
  <c r="C376" i="2"/>
  <c r="L376" i="2" s="1"/>
  <c r="C377" i="2"/>
  <c r="L377" i="2" s="1"/>
  <c r="C378" i="2"/>
  <c r="L378" i="2" s="1"/>
  <c r="C379" i="2"/>
  <c r="L379" i="2" s="1"/>
  <c r="C380" i="2"/>
  <c r="L380" i="2" s="1"/>
  <c r="C381" i="2"/>
  <c r="L381" i="2" s="1"/>
  <c r="C382" i="2"/>
  <c r="L382" i="2" s="1"/>
  <c r="C383" i="2"/>
  <c r="L383" i="2" s="1"/>
  <c r="C384" i="2"/>
  <c r="L384" i="2" s="1"/>
  <c r="C385" i="2"/>
  <c r="L385" i="2" s="1"/>
  <c r="C386" i="2"/>
  <c r="L386" i="2" s="1"/>
  <c r="C387" i="2"/>
  <c r="L387" i="2" s="1"/>
  <c r="C388" i="2"/>
  <c r="L388" i="2" s="1"/>
  <c r="C389" i="2"/>
  <c r="L389" i="2" s="1"/>
  <c r="C390" i="2"/>
  <c r="L390" i="2" s="1"/>
  <c r="C391" i="2"/>
  <c r="L391" i="2" s="1"/>
  <c r="C392" i="2"/>
  <c r="L392" i="2" s="1"/>
  <c r="C393" i="2"/>
  <c r="L393" i="2" s="1"/>
  <c r="C394" i="2"/>
  <c r="L394" i="2" s="1"/>
  <c r="C395" i="2"/>
  <c r="L395" i="2" s="1"/>
  <c r="C396" i="2"/>
  <c r="L396" i="2" s="1"/>
  <c r="C397" i="2"/>
  <c r="L397" i="2" s="1"/>
  <c r="C398" i="2"/>
  <c r="L398" i="2" s="1"/>
  <c r="C399" i="2"/>
  <c r="L399" i="2" s="1"/>
  <c r="C400" i="2"/>
  <c r="L400" i="2" s="1"/>
  <c r="C401" i="2"/>
  <c r="L401" i="2" s="1"/>
  <c r="C402" i="2"/>
  <c r="L402" i="2" s="1"/>
  <c r="C403" i="2"/>
  <c r="L403" i="2" s="1"/>
  <c r="C404" i="2"/>
  <c r="L404" i="2" s="1"/>
  <c r="C405" i="2"/>
  <c r="L405" i="2" s="1"/>
  <c r="C406" i="2"/>
  <c r="L406" i="2" s="1"/>
  <c r="C407" i="2"/>
  <c r="L407" i="2" s="1"/>
  <c r="C408" i="2"/>
  <c r="L408" i="2" s="1"/>
  <c r="C409" i="2"/>
  <c r="L409" i="2" s="1"/>
  <c r="C410" i="2"/>
  <c r="L410" i="2" s="1"/>
  <c r="C411" i="2"/>
  <c r="L411" i="2" s="1"/>
  <c r="C412" i="2"/>
  <c r="L412" i="2" s="1"/>
  <c r="C413" i="2"/>
  <c r="L413" i="2" s="1"/>
  <c r="C414" i="2"/>
  <c r="L414" i="2" s="1"/>
  <c r="C415" i="2"/>
  <c r="L415" i="2" s="1"/>
  <c r="C416" i="2"/>
  <c r="L416" i="2" s="1"/>
  <c r="C417" i="2"/>
  <c r="L417" i="2" s="1"/>
  <c r="C418" i="2"/>
  <c r="L418" i="2" s="1"/>
  <c r="C419" i="2"/>
  <c r="L419" i="2" s="1"/>
  <c r="C420" i="2"/>
  <c r="L420" i="2" s="1"/>
  <c r="C421" i="2"/>
  <c r="L421" i="2" s="1"/>
  <c r="C422" i="2"/>
  <c r="L422" i="2" s="1"/>
  <c r="C423" i="2"/>
  <c r="L423" i="2" s="1"/>
  <c r="C424" i="2"/>
  <c r="L424" i="2" s="1"/>
  <c r="C425" i="2"/>
  <c r="L425" i="2" s="1"/>
  <c r="C426" i="2"/>
  <c r="L426" i="2" s="1"/>
  <c r="C427" i="2"/>
  <c r="L427" i="2" s="1"/>
  <c r="C428" i="2"/>
  <c r="L428" i="2" s="1"/>
  <c r="C429" i="2"/>
  <c r="L429" i="2" s="1"/>
  <c r="C430" i="2"/>
  <c r="L430" i="2" s="1"/>
  <c r="C431" i="2"/>
  <c r="L431" i="2" s="1"/>
  <c r="C432" i="2"/>
  <c r="L432" i="2" s="1"/>
  <c r="C433" i="2"/>
  <c r="L433" i="2" s="1"/>
  <c r="C434" i="2"/>
  <c r="L434" i="2" s="1"/>
  <c r="C435" i="2"/>
  <c r="L435" i="2" s="1"/>
  <c r="C436" i="2"/>
  <c r="L436" i="2" s="1"/>
  <c r="C437" i="2"/>
  <c r="L437" i="2" s="1"/>
  <c r="C438" i="2"/>
  <c r="L438" i="2" s="1"/>
  <c r="C439" i="2"/>
  <c r="L439" i="2" s="1"/>
  <c r="C440" i="2"/>
  <c r="L440" i="2" s="1"/>
  <c r="C441" i="2"/>
  <c r="L441" i="2" s="1"/>
  <c r="C442" i="2"/>
  <c r="L442" i="2" s="1"/>
  <c r="C443" i="2"/>
  <c r="L443" i="2" s="1"/>
  <c r="C444" i="2"/>
  <c r="L444" i="2" s="1"/>
  <c r="C445" i="2"/>
  <c r="L445" i="2" s="1"/>
  <c r="C446" i="2"/>
  <c r="L446" i="2" s="1"/>
  <c r="C447" i="2"/>
  <c r="L447" i="2" s="1"/>
  <c r="C448" i="2"/>
  <c r="L448" i="2" s="1"/>
  <c r="C449" i="2"/>
  <c r="L449" i="2" s="1"/>
  <c r="C450" i="2"/>
  <c r="L450" i="2" s="1"/>
  <c r="C451" i="2"/>
  <c r="L451" i="2" s="1"/>
  <c r="C452" i="2"/>
  <c r="L452" i="2" s="1"/>
  <c r="C453" i="2"/>
  <c r="L453" i="2" s="1"/>
  <c r="C454" i="2"/>
  <c r="L454" i="2" s="1"/>
  <c r="C455" i="2"/>
  <c r="L455" i="2" s="1"/>
  <c r="C456" i="2"/>
  <c r="L456" i="2" s="1"/>
  <c r="C457" i="2"/>
  <c r="L457" i="2" s="1"/>
  <c r="C458" i="2"/>
  <c r="L458" i="2" s="1"/>
  <c r="C459" i="2"/>
  <c r="L459" i="2" s="1"/>
  <c r="C460" i="2"/>
  <c r="L460" i="2" s="1"/>
  <c r="C461" i="2"/>
  <c r="L461" i="2" s="1"/>
  <c r="C462" i="2"/>
  <c r="L462" i="2" s="1"/>
  <c r="C463" i="2"/>
  <c r="L463" i="2" s="1"/>
  <c r="C464" i="2"/>
  <c r="L464" i="2" s="1"/>
  <c r="C465" i="2"/>
  <c r="L465" i="2" s="1"/>
  <c r="C466" i="2"/>
  <c r="L466" i="2" s="1"/>
  <c r="C467" i="2"/>
  <c r="L467" i="2" s="1"/>
  <c r="C468" i="2"/>
  <c r="L468" i="2" s="1"/>
  <c r="C469" i="2"/>
  <c r="L469" i="2" s="1"/>
  <c r="C470" i="2"/>
  <c r="L470" i="2" s="1"/>
  <c r="C471" i="2"/>
  <c r="L471" i="2" s="1"/>
  <c r="C472" i="2"/>
  <c r="L472" i="2" s="1"/>
  <c r="C473" i="2"/>
  <c r="L473" i="2" s="1"/>
  <c r="C474" i="2"/>
  <c r="L474" i="2" s="1"/>
  <c r="C475" i="2"/>
  <c r="L475" i="2" s="1"/>
  <c r="C476" i="2"/>
  <c r="L476" i="2" s="1"/>
  <c r="C477" i="2"/>
  <c r="L477" i="2" s="1"/>
  <c r="C478" i="2"/>
  <c r="L478" i="2" s="1"/>
  <c r="C479" i="2"/>
  <c r="L479" i="2" s="1"/>
  <c r="C480" i="2"/>
  <c r="L480" i="2" s="1"/>
  <c r="C481" i="2"/>
  <c r="L481" i="2" s="1"/>
  <c r="C482" i="2"/>
  <c r="L482" i="2" s="1"/>
  <c r="C483" i="2"/>
  <c r="L483" i="2" s="1"/>
  <c r="C484" i="2"/>
  <c r="L484" i="2" s="1"/>
  <c r="C485" i="2"/>
  <c r="L485" i="2" s="1"/>
  <c r="C486" i="2"/>
  <c r="L486" i="2" s="1"/>
  <c r="C487" i="2"/>
  <c r="L487" i="2" s="1"/>
  <c r="C488" i="2"/>
  <c r="L488" i="2" s="1"/>
  <c r="C489" i="2"/>
  <c r="L489" i="2" s="1"/>
  <c r="C490" i="2"/>
  <c r="L490" i="2" s="1"/>
  <c r="C491" i="2"/>
  <c r="L491" i="2" s="1"/>
  <c r="C492" i="2"/>
  <c r="L492" i="2" s="1"/>
  <c r="C493" i="2"/>
  <c r="L493" i="2" s="1"/>
  <c r="C494" i="2"/>
  <c r="L494" i="2" s="1"/>
  <c r="C495" i="2"/>
  <c r="L495" i="2" s="1"/>
  <c r="C496" i="2"/>
  <c r="L496" i="2" s="1"/>
  <c r="C497" i="2"/>
  <c r="L497" i="2" s="1"/>
  <c r="C498" i="2"/>
  <c r="L498" i="2" s="1"/>
  <c r="C499" i="2"/>
  <c r="L499" i="2" s="1"/>
  <c r="C500" i="2"/>
  <c r="L500" i="2" s="1"/>
  <c r="C501" i="2"/>
  <c r="L501" i="2" s="1"/>
  <c r="C502" i="2"/>
  <c r="L502" i="2" s="1"/>
  <c r="C503" i="2"/>
  <c r="L503" i="2" s="1"/>
  <c r="C504" i="2"/>
  <c r="L504" i="2" s="1"/>
  <c r="C505" i="2"/>
  <c r="L505" i="2" s="1"/>
  <c r="C506" i="2"/>
  <c r="L506" i="2" s="1"/>
  <c r="C507" i="2"/>
  <c r="L507" i="2" s="1"/>
  <c r="C508" i="2"/>
  <c r="L508" i="2" s="1"/>
  <c r="C509" i="2"/>
  <c r="L509" i="2" s="1"/>
  <c r="C510" i="2"/>
  <c r="L510" i="2" s="1"/>
  <c r="C511" i="2"/>
  <c r="L511" i="2" s="1"/>
  <c r="C512" i="2"/>
  <c r="L512" i="2" s="1"/>
  <c r="C513" i="2"/>
  <c r="L513" i="2" s="1"/>
  <c r="C514" i="2"/>
  <c r="L514" i="2" s="1"/>
  <c r="C515" i="2"/>
  <c r="L515" i="2" s="1"/>
  <c r="C516" i="2"/>
  <c r="L516" i="2" s="1"/>
  <c r="C517" i="2"/>
  <c r="L517" i="2" s="1"/>
  <c r="C518" i="2"/>
  <c r="L518" i="2" s="1"/>
  <c r="C519" i="2"/>
  <c r="L519" i="2" s="1"/>
  <c r="C520" i="2"/>
  <c r="L520" i="2" s="1"/>
  <c r="C521" i="2"/>
  <c r="L521" i="2" s="1"/>
  <c r="C522" i="2"/>
  <c r="L522" i="2" s="1"/>
  <c r="C523" i="2"/>
  <c r="L523" i="2" s="1"/>
  <c r="C524" i="2"/>
  <c r="L524" i="2" s="1"/>
  <c r="C525" i="2"/>
  <c r="L525" i="2" s="1"/>
  <c r="C526" i="2"/>
  <c r="L526" i="2" s="1"/>
  <c r="C527" i="2"/>
  <c r="L527" i="2" s="1"/>
  <c r="C528" i="2"/>
  <c r="L528" i="2" s="1"/>
  <c r="C529" i="2"/>
  <c r="L529" i="2" s="1"/>
  <c r="C530" i="2"/>
  <c r="L530" i="2" s="1"/>
  <c r="C531" i="2"/>
  <c r="L531" i="2" s="1"/>
  <c r="C532" i="2"/>
  <c r="L532" i="2" s="1"/>
  <c r="C533" i="2"/>
  <c r="L533" i="2" s="1"/>
  <c r="C534" i="2"/>
  <c r="L534" i="2" s="1"/>
  <c r="C535" i="2"/>
  <c r="L535" i="2" s="1"/>
  <c r="C536" i="2"/>
  <c r="L536" i="2" s="1"/>
  <c r="C537" i="2"/>
  <c r="L537" i="2" s="1"/>
  <c r="C538" i="2"/>
  <c r="L538" i="2" s="1"/>
  <c r="C539" i="2"/>
  <c r="L539" i="2" s="1"/>
  <c r="C540" i="2"/>
  <c r="L540" i="2" s="1"/>
  <c r="C541" i="2"/>
  <c r="L541" i="2" s="1"/>
  <c r="C542" i="2"/>
  <c r="L542" i="2" s="1"/>
  <c r="C543" i="2"/>
  <c r="L543" i="2" s="1"/>
  <c r="C544" i="2"/>
  <c r="L544" i="2" s="1"/>
  <c r="C545" i="2"/>
  <c r="L545" i="2" s="1"/>
  <c r="C546" i="2"/>
  <c r="L546" i="2" s="1"/>
  <c r="C547" i="2"/>
  <c r="L547" i="2" s="1"/>
  <c r="C548" i="2"/>
  <c r="L548" i="2" s="1"/>
  <c r="C549" i="2"/>
  <c r="L549" i="2" s="1"/>
  <c r="C550" i="2"/>
  <c r="L550" i="2" s="1"/>
  <c r="C551" i="2"/>
  <c r="L551" i="2" s="1"/>
  <c r="C552" i="2"/>
  <c r="L552" i="2" s="1"/>
  <c r="C553" i="2"/>
  <c r="L553" i="2" s="1"/>
  <c r="C554" i="2"/>
  <c r="L554" i="2" s="1"/>
  <c r="C555" i="2"/>
  <c r="L555" i="2" s="1"/>
  <c r="C556" i="2"/>
  <c r="L556" i="2" s="1"/>
  <c r="C557" i="2"/>
  <c r="L557" i="2" s="1"/>
  <c r="C558" i="2"/>
  <c r="L558" i="2" s="1"/>
  <c r="C559" i="2"/>
  <c r="L559" i="2" s="1"/>
  <c r="C560" i="2"/>
  <c r="L560" i="2" s="1"/>
  <c r="C561" i="2"/>
  <c r="L561" i="2" s="1"/>
  <c r="C562" i="2"/>
  <c r="L562" i="2" s="1"/>
  <c r="C563" i="2"/>
  <c r="L563" i="2" s="1"/>
  <c r="C564" i="2"/>
  <c r="L564" i="2" s="1"/>
  <c r="C565" i="2"/>
  <c r="L565" i="2" s="1"/>
  <c r="C566" i="2"/>
  <c r="L566" i="2" s="1"/>
  <c r="C567" i="2"/>
  <c r="L567" i="2" s="1"/>
  <c r="C568" i="2"/>
  <c r="L568" i="2" s="1"/>
  <c r="C569" i="2"/>
  <c r="L569" i="2" s="1"/>
  <c r="C570" i="2"/>
  <c r="L570" i="2" s="1"/>
  <c r="C571" i="2"/>
  <c r="L571" i="2" s="1"/>
  <c r="C572" i="2"/>
  <c r="L572" i="2" s="1"/>
  <c r="C573" i="2"/>
  <c r="L573" i="2" s="1"/>
  <c r="C574" i="2"/>
  <c r="L574" i="2" s="1"/>
  <c r="C575" i="2"/>
  <c r="L575" i="2" s="1"/>
  <c r="C576" i="2"/>
  <c r="L576" i="2" s="1"/>
  <c r="C577" i="2"/>
  <c r="L577" i="2" s="1"/>
  <c r="C578" i="2"/>
  <c r="L578" i="2" s="1"/>
  <c r="C579" i="2"/>
  <c r="L579" i="2" s="1"/>
  <c r="C580" i="2"/>
  <c r="L580" i="2" s="1"/>
  <c r="C581" i="2"/>
  <c r="L581" i="2" s="1"/>
  <c r="C582" i="2"/>
  <c r="L582" i="2" s="1"/>
  <c r="C583" i="2"/>
  <c r="L583" i="2" s="1"/>
  <c r="C584" i="2"/>
  <c r="L584" i="2" s="1"/>
  <c r="C585" i="2"/>
  <c r="L585" i="2" s="1"/>
  <c r="C586" i="2"/>
  <c r="L586" i="2" s="1"/>
  <c r="C587" i="2"/>
  <c r="L587" i="2" s="1"/>
  <c r="C588" i="2"/>
  <c r="L588" i="2" s="1"/>
  <c r="C589" i="2"/>
  <c r="L589" i="2" s="1"/>
  <c r="C590" i="2"/>
  <c r="L590" i="2" s="1"/>
  <c r="C591" i="2"/>
  <c r="L591" i="2" s="1"/>
  <c r="C592" i="2"/>
  <c r="L592" i="2" s="1"/>
  <c r="C593" i="2"/>
  <c r="L593" i="2" s="1"/>
  <c r="C594" i="2"/>
  <c r="L594" i="2" s="1"/>
  <c r="C595" i="2"/>
  <c r="L595" i="2" s="1"/>
  <c r="C596" i="2"/>
  <c r="L596" i="2" s="1"/>
  <c r="C597" i="2"/>
  <c r="L597" i="2" s="1"/>
  <c r="C598" i="2"/>
  <c r="L598" i="2" s="1"/>
  <c r="C599" i="2"/>
  <c r="L599" i="2" s="1"/>
  <c r="C600" i="2"/>
  <c r="L600" i="2" s="1"/>
  <c r="C601" i="2"/>
  <c r="L601" i="2" s="1"/>
  <c r="C602" i="2"/>
  <c r="L602" i="2" s="1"/>
  <c r="C603" i="2"/>
  <c r="L603" i="2" s="1"/>
  <c r="C604" i="2"/>
  <c r="L604" i="2" s="1"/>
  <c r="C605" i="2"/>
  <c r="L605" i="2" s="1"/>
  <c r="C606" i="2"/>
  <c r="L606" i="2" s="1"/>
  <c r="C607" i="2"/>
  <c r="L607" i="2" s="1"/>
  <c r="C608" i="2"/>
  <c r="L608" i="2" s="1"/>
  <c r="C609" i="2"/>
  <c r="L609" i="2" s="1"/>
  <c r="C610" i="2"/>
  <c r="L610" i="2" s="1"/>
  <c r="C611" i="2"/>
  <c r="L611" i="2" s="1"/>
  <c r="C612" i="2"/>
  <c r="L612" i="2" s="1"/>
  <c r="C613" i="2"/>
  <c r="L613" i="2" s="1"/>
  <c r="C614" i="2"/>
  <c r="L614" i="2" s="1"/>
  <c r="C615" i="2"/>
  <c r="L615" i="2" s="1"/>
  <c r="C616" i="2"/>
  <c r="L616" i="2" s="1"/>
  <c r="C617" i="2"/>
  <c r="L617" i="2" s="1"/>
  <c r="C618" i="2"/>
  <c r="L618" i="2" s="1"/>
  <c r="C619" i="2"/>
  <c r="L619" i="2" s="1"/>
  <c r="C620" i="2"/>
  <c r="L620" i="2" s="1"/>
  <c r="C621" i="2"/>
  <c r="L621" i="2" s="1"/>
  <c r="C622" i="2"/>
  <c r="L622" i="2" s="1"/>
  <c r="C623" i="2"/>
  <c r="L623" i="2" s="1"/>
  <c r="C624" i="2"/>
  <c r="L624" i="2" s="1"/>
  <c r="C625" i="2"/>
  <c r="L625" i="2" s="1"/>
  <c r="C626" i="2"/>
  <c r="L626" i="2" s="1"/>
  <c r="C627" i="2"/>
  <c r="L627" i="2" s="1"/>
  <c r="C628" i="2"/>
  <c r="L628" i="2" s="1"/>
  <c r="C629" i="2"/>
  <c r="L629" i="2" s="1"/>
  <c r="C630" i="2"/>
  <c r="L630" i="2" s="1"/>
  <c r="C631" i="2"/>
  <c r="L631" i="2" s="1"/>
  <c r="C632" i="2"/>
  <c r="L632" i="2" s="1"/>
  <c r="C633" i="2"/>
  <c r="L633" i="2" s="1"/>
  <c r="C634" i="2"/>
  <c r="L634" i="2" s="1"/>
  <c r="C635" i="2"/>
  <c r="L635" i="2" s="1"/>
  <c r="C636" i="2"/>
  <c r="L636" i="2" s="1"/>
  <c r="C637" i="2"/>
  <c r="L637" i="2" s="1"/>
  <c r="C638" i="2"/>
  <c r="L638" i="2" s="1"/>
  <c r="C639" i="2"/>
  <c r="L639" i="2" s="1"/>
  <c r="C640" i="2"/>
  <c r="L640" i="2" s="1"/>
  <c r="C641" i="2"/>
  <c r="L641" i="2" s="1"/>
  <c r="C642" i="2"/>
  <c r="L642" i="2" s="1"/>
  <c r="C643" i="2"/>
  <c r="L643" i="2" s="1"/>
  <c r="C644" i="2"/>
  <c r="L644" i="2" s="1"/>
  <c r="C645" i="2"/>
  <c r="L645" i="2" s="1"/>
  <c r="C646" i="2"/>
  <c r="L646" i="2" s="1"/>
  <c r="C647" i="2"/>
  <c r="L647" i="2" s="1"/>
  <c r="C648" i="2"/>
  <c r="L648" i="2" s="1"/>
  <c r="C649" i="2"/>
  <c r="L649" i="2" s="1"/>
  <c r="C650" i="2"/>
  <c r="L650" i="2" s="1"/>
  <c r="C651" i="2"/>
  <c r="L651" i="2" s="1"/>
  <c r="C652" i="2"/>
  <c r="L652" i="2" s="1"/>
  <c r="C653" i="2"/>
  <c r="L653" i="2" s="1"/>
  <c r="C654" i="2"/>
  <c r="L654" i="2" s="1"/>
  <c r="C655" i="2"/>
  <c r="L655" i="2" s="1"/>
  <c r="C656" i="2"/>
  <c r="L656" i="2" s="1"/>
  <c r="C657" i="2"/>
  <c r="L657" i="2" s="1"/>
  <c r="C658" i="2"/>
  <c r="L658" i="2" s="1"/>
  <c r="C659" i="2"/>
  <c r="L659" i="2" s="1"/>
  <c r="C660" i="2"/>
  <c r="L660" i="2" s="1"/>
  <c r="C661" i="2"/>
  <c r="L661" i="2" s="1"/>
  <c r="C662" i="2"/>
  <c r="L662" i="2" s="1"/>
  <c r="C663" i="2"/>
  <c r="L663" i="2" s="1"/>
  <c r="C664" i="2"/>
  <c r="L664" i="2" s="1"/>
  <c r="C665" i="2"/>
  <c r="L665" i="2" s="1"/>
  <c r="C666" i="2"/>
  <c r="L666" i="2" s="1"/>
  <c r="C667" i="2"/>
  <c r="L667" i="2" s="1"/>
  <c r="C668" i="2"/>
  <c r="L668" i="2" s="1"/>
  <c r="C669" i="2"/>
  <c r="L669" i="2" s="1"/>
  <c r="C670" i="2"/>
  <c r="L670" i="2" s="1"/>
  <c r="C671" i="2"/>
  <c r="L671" i="2" s="1"/>
  <c r="C672" i="2"/>
  <c r="L672" i="2" s="1"/>
  <c r="C673" i="2"/>
  <c r="L673" i="2" s="1"/>
  <c r="C674" i="2"/>
  <c r="L674" i="2" s="1"/>
  <c r="C675" i="2"/>
  <c r="L675" i="2" s="1"/>
  <c r="C676" i="2"/>
  <c r="L676" i="2" s="1"/>
  <c r="C677" i="2"/>
  <c r="L677" i="2" s="1"/>
  <c r="C678" i="2"/>
  <c r="L678" i="2" s="1"/>
  <c r="C679" i="2"/>
  <c r="L679" i="2" s="1"/>
  <c r="C680" i="2"/>
  <c r="L680" i="2" s="1"/>
  <c r="C681" i="2"/>
  <c r="L681" i="2" s="1"/>
  <c r="C682" i="2"/>
  <c r="L682" i="2" s="1"/>
  <c r="C683" i="2"/>
  <c r="L683" i="2" s="1"/>
  <c r="C684" i="2"/>
  <c r="L684" i="2" s="1"/>
  <c r="C685" i="2"/>
  <c r="L685" i="2" s="1"/>
  <c r="C686" i="2"/>
  <c r="L686" i="2" s="1"/>
  <c r="C687" i="2"/>
  <c r="L687" i="2" s="1"/>
  <c r="C688" i="2"/>
  <c r="L688" i="2" s="1"/>
  <c r="C689" i="2"/>
  <c r="L689" i="2" s="1"/>
  <c r="C690" i="2"/>
  <c r="L690" i="2" s="1"/>
  <c r="C691" i="2"/>
  <c r="L691" i="2" s="1"/>
  <c r="C692" i="2"/>
  <c r="L692" i="2" s="1"/>
  <c r="C693" i="2"/>
  <c r="L693" i="2" s="1"/>
  <c r="C694" i="2"/>
  <c r="L694" i="2" s="1"/>
  <c r="C695" i="2"/>
  <c r="L695" i="2" s="1"/>
  <c r="C696" i="2"/>
  <c r="L696" i="2" s="1"/>
  <c r="C697" i="2"/>
  <c r="L697" i="2" s="1"/>
  <c r="C698" i="2"/>
  <c r="L698" i="2" s="1"/>
  <c r="C699" i="2"/>
  <c r="L699" i="2" s="1"/>
  <c r="C700" i="2"/>
  <c r="L700" i="2" s="1"/>
  <c r="C701" i="2"/>
  <c r="L701" i="2" s="1"/>
  <c r="C702" i="2"/>
  <c r="L702" i="2" s="1"/>
  <c r="C703" i="2"/>
  <c r="L703" i="2" s="1"/>
  <c r="C704" i="2"/>
  <c r="L704" i="2" s="1"/>
  <c r="C705" i="2"/>
  <c r="L705" i="2" s="1"/>
  <c r="C706" i="2"/>
  <c r="L706" i="2" s="1"/>
  <c r="C707" i="2"/>
  <c r="L707" i="2" s="1"/>
  <c r="C708" i="2"/>
  <c r="L708" i="2" s="1"/>
  <c r="C709" i="2"/>
  <c r="L709" i="2" s="1"/>
  <c r="C710" i="2"/>
  <c r="L710" i="2" s="1"/>
  <c r="C711" i="2"/>
  <c r="L711" i="2" s="1"/>
  <c r="C712" i="2"/>
  <c r="L712" i="2" s="1"/>
  <c r="C713" i="2"/>
  <c r="L713" i="2" s="1"/>
  <c r="C714" i="2"/>
  <c r="L714" i="2" s="1"/>
  <c r="C715" i="2"/>
  <c r="L715" i="2" s="1"/>
  <c r="C716" i="2"/>
  <c r="L716" i="2" s="1"/>
  <c r="C717" i="2"/>
  <c r="L717" i="2" s="1"/>
  <c r="C718" i="2"/>
  <c r="L718" i="2" s="1"/>
  <c r="C719" i="2"/>
  <c r="L719" i="2" s="1"/>
  <c r="C720" i="2"/>
  <c r="L720" i="2" s="1"/>
  <c r="C721" i="2"/>
  <c r="L721" i="2" s="1"/>
  <c r="C722" i="2"/>
  <c r="L722" i="2" s="1"/>
  <c r="C723" i="2"/>
  <c r="L723" i="2" s="1"/>
  <c r="C724" i="2"/>
  <c r="L724" i="2" s="1"/>
  <c r="C725" i="2"/>
  <c r="L725" i="2" s="1"/>
  <c r="C726" i="2"/>
  <c r="L726" i="2" s="1"/>
  <c r="C727" i="2"/>
  <c r="L727" i="2" s="1"/>
  <c r="C728" i="2"/>
  <c r="L728" i="2" s="1"/>
  <c r="C729" i="2"/>
  <c r="L729" i="2" s="1"/>
  <c r="C730" i="2"/>
  <c r="L730" i="2" s="1"/>
  <c r="C731" i="2"/>
  <c r="L731" i="2" s="1"/>
  <c r="C732" i="2"/>
  <c r="L732" i="2" s="1"/>
  <c r="C733" i="2"/>
  <c r="L733" i="2" s="1"/>
  <c r="C734" i="2"/>
  <c r="L734" i="2" s="1"/>
  <c r="C735" i="2"/>
  <c r="L735" i="2" s="1"/>
  <c r="C736" i="2"/>
  <c r="L736" i="2" s="1"/>
  <c r="C737" i="2"/>
  <c r="L737" i="2" s="1"/>
  <c r="C738" i="2"/>
  <c r="L738" i="2" s="1"/>
  <c r="C739" i="2"/>
  <c r="L739" i="2" s="1"/>
  <c r="C740" i="2"/>
  <c r="L740" i="2" s="1"/>
  <c r="C741" i="2"/>
  <c r="L741" i="2" s="1"/>
  <c r="C742" i="2"/>
  <c r="L742" i="2" s="1"/>
  <c r="C743" i="2"/>
  <c r="L743" i="2" s="1"/>
  <c r="C744" i="2"/>
  <c r="L744" i="2" s="1"/>
  <c r="C745" i="2"/>
  <c r="L745" i="2" s="1"/>
  <c r="C746" i="2"/>
  <c r="L746" i="2" s="1"/>
  <c r="C747" i="2"/>
  <c r="L747" i="2" s="1"/>
  <c r="C748" i="2"/>
  <c r="L748" i="2" s="1"/>
  <c r="C749" i="2"/>
  <c r="L749" i="2" s="1"/>
  <c r="C750" i="2"/>
  <c r="L750" i="2" s="1"/>
  <c r="C751" i="2"/>
  <c r="L751" i="2" s="1"/>
  <c r="C752" i="2"/>
  <c r="L752" i="2" s="1"/>
  <c r="C753" i="2"/>
  <c r="L753" i="2" s="1"/>
  <c r="C754" i="2"/>
  <c r="L754" i="2" s="1"/>
  <c r="C755" i="2"/>
  <c r="L755" i="2" s="1"/>
  <c r="C756" i="2"/>
  <c r="L756" i="2" s="1"/>
  <c r="C757" i="2"/>
  <c r="L757" i="2" s="1"/>
  <c r="C758" i="2"/>
  <c r="L758" i="2" s="1"/>
  <c r="C759" i="2"/>
  <c r="L759" i="2" s="1"/>
  <c r="C760" i="2"/>
  <c r="L760" i="2" s="1"/>
  <c r="C761" i="2"/>
  <c r="L761" i="2" s="1"/>
  <c r="C762" i="2"/>
  <c r="L762" i="2" s="1"/>
  <c r="C763" i="2"/>
  <c r="L763" i="2" s="1"/>
  <c r="C764" i="2"/>
  <c r="L764" i="2" s="1"/>
  <c r="C765" i="2"/>
  <c r="L765" i="2" s="1"/>
  <c r="C766" i="2"/>
  <c r="L766" i="2" s="1"/>
  <c r="C767" i="2"/>
  <c r="L767" i="2" s="1"/>
  <c r="C768" i="2"/>
  <c r="L768" i="2" s="1"/>
  <c r="C769" i="2"/>
  <c r="L769" i="2" s="1"/>
  <c r="C770" i="2"/>
  <c r="L770" i="2" s="1"/>
  <c r="C771" i="2"/>
  <c r="L771" i="2" s="1"/>
  <c r="C772" i="2"/>
  <c r="L772" i="2" s="1"/>
  <c r="C773" i="2"/>
  <c r="L773" i="2" s="1"/>
  <c r="C774" i="2"/>
  <c r="L774" i="2" s="1"/>
  <c r="C775" i="2"/>
  <c r="L775" i="2" s="1"/>
  <c r="C776" i="2"/>
  <c r="L776" i="2" s="1"/>
  <c r="C777" i="2"/>
  <c r="L777" i="2" s="1"/>
  <c r="C778" i="2"/>
  <c r="L778" i="2" s="1"/>
  <c r="C779" i="2"/>
  <c r="L779" i="2" s="1"/>
  <c r="C780" i="2"/>
  <c r="L780" i="2" s="1"/>
  <c r="C781" i="2"/>
  <c r="L781" i="2" s="1"/>
  <c r="C782" i="2"/>
  <c r="L782" i="2" s="1"/>
  <c r="C783" i="2"/>
  <c r="L783" i="2" s="1"/>
  <c r="C784" i="2"/>
  <c r="L784" i="2" s="1"/>
  <c r="C785" i="2"/>
  <c r="L785" i="2" s="1"/>
  <c r="C786" i="2"/>
  <c r="L786" i="2" s="1"/>
  <c r="C787" i="2"/>
  <c r="L787" i="2" s="1"/>
  <c r="C788" i="2"/>
  <c r="L788" i="2" s="1"/>
  <c r="C789" i="2"/>
  <c r="L789" i="2" s="1"/>
  <c r="C790" i="2"/>
  <c r="L790" i="2" s="1"/>
  <c r="C791" i="2"/>
  <c r="L791" i="2" s="1"/>
  <c r="C792" i="2"/>
  <c r="L792" i="2" s="1"/>
  <c r="C793" i="2"/>
  <c r="L793" i="2" s="1"/>
  <c r="C794" i="2"/>
  <c r="L794" i="2" s="1"/>
  <c r="C795" i="2"/>
  <c r="L795" i="2" s="1"/>
  <c r="C796" i="2"/>
  <c r="L796" i="2" s="1"/>
  <c r="C797" i="2"/>
  <c r="L797" i="2" s="1"/>
  <c r="C798" i="2"/>
  <c r="L798" i="2" s="1"/>
  <c r="C799" i="2"/>
  <c r="L799" i="2" s="1"/>
  <c r="C800" i="2"/>
  <c r="L800" i="2" s="1"/>
  <c r="C801" i="2"/>
  <c r="L801" i="2" s="1"/>
  <c r="C802" i="2"/>
  <c r="L802" i="2" s="1"/>
  <c r="C803" i="2"/>
  <c r="L803" i="2" s="1"/>
  <c r="C804" i="2"/>
  <c r="L804" i="2" s="1"/>
  <c r="C805" i="2"/>
  <c r="L805" i="2" s="1"/>
  <c r="C806" i="2"/>
  <c r="L806" i="2" s="1"/>
  <c r="C807" i="2"/>
  <c r="L807" i="2" s="1"/>
  <c r="C808" i="2"/>
  <c r="L808" i="2" s="1"/>
  <c r="C809" i="2"/>
  <c r="L809" i="2" s="1"/>
  <c r="C810" i="2"/>
  <c r="L810" i="2" s="1"/>
  <c r="C811" i="2"/>
  <c r="L811" i="2" s="1"/>
  <c r="C812" i="2"/>
  <c r="L812" i="2" s="1"/>
  <c r="C813" i="2"/>
  <c r="L813" i="2" s="1"/>
  <c r="C814" i="2"/>
  <c r="L814" i="2" s="1"/>
  <c r="C815" i="2"/>
  <c r="L815" i="2" s="1"/>
  <c r="C816" i="2"/>
  <c r="L816" i="2" s="1"/>
  <c r="C817" i="2"/>
  <c r="L817" i="2" s="1"/>
  <c r="C818" i="2"/>
  <c r="L818" i="2" s="1"/>
  <c r="C819" i="2"/>
  <c r="L819" i="2" s="1"/>
  <c r="C820" i="2"/>
  <c r="L820" i="2" s="1"/>
  <c r="C821" i="2"/>
  <c r="L821" i="2" s="1"/>
  <c r="C822" i="2"/>
  <c r="L822" i="2" s="1"/>
  <c r="C823" i="2"/>
  <c r="L823" i="2" s="1"/>
  <c r="C824" i="2"/>
  <c r="L824" i="2" s="1"/>
  <c r="C825" i="2"/>
  <c r="L825" i="2" s="1"/>
  <c r="C826" i="2"/>
  <c r="L826" i="2" s="1"/>
  <c r="C827" i="2"/>
  <c r="L827" i="2" s="1"/>
  <c r="C828" i="2"/>
  <c r="L828" i="2" s="1"/>
  <c r="C829" i="2"/>
  <c r="L829" i="2" s="1"/>
  <c r="C830" i="2"/>
  <c r="L830" i="2" s="1"/>
  <c r="C831" i="2"/>
  <c r="L831" i="2" s="1"/>
  <c r="C832" i="2"/>
  <c r="L832" i="2" s="1"/>
  <c r="C833" i="2"/>
  <c r="L833" i="2" s="1"/>
  <c r="C834" i="2"/>
  <c r="L834" i="2" s="1"/>
  <c r="C835" i="2"/>
  <c r="L835" i="2" s="1"/>
  <c r="C836" i="2"/>
  <c r="L836" i="2" s="1"/>
  <c r="C837" i="2"/>
  <c r="L837" i="2" s="1"/>
  <c r="C838" i="2"/>
  <c r="L838" i="2" s="1"/>
  <c r="C839" i="2"/>
  <c r="L839" i="2" s="1"/>
  <c r="C840" i="2"/>
  <c r="L840" i="2" s="1"/>
  <c r="C841" i="2"/>
  <c r="L841" i="2" s="1"/>
  <c r="C842" i="2"/>
  <c r="L842" i="2" s="1"/>
  <c r="C843" i="2"/>
  <c r="L843" i="2" s="1"/>
  <c r="C844" i="2"/>
  <c r="L844" i="2" s="1"/>
  <c r="C845" i="2"/>
  <c r="L845" i="2" s="1"/>
  <c r="C846" i="2"/>
  <c r="L846" i="2" s="1"/>
  <c r="C847" i="2"/>
  <c r="L847" i="2" s="1"/>
  <c r="C848" i="2"/>
  <c r="L848" i="2" s="1"/>
  <c r="C849" i="2"/>
  <c r="L849" i="2" s="1"/>
  <c r="C850" i="2"/>
  <c r="L850" i="2" s="1"/>
  <c r="C851" i="2"/>
  <c r="L851" i="2" s="1"/>
  <c r="C852" i="2"/>
  <c r="L852" i="2" s="1"/>
  <c r="C853" i="2"/>
  <c r="L853" i="2" s="1"/>
  <c r="C854" i="2"/>
  <c r="L854" i="2" s="1"/>
  <c r="C855" i="2"/>
  <c r="L855" i="2" s="1"/>
  <c r="C856" i="2"/>
  <c r="L856" i="2" s="1"/>
  <c r="C857" i="2"/>
  <c r="L857" i="2" s="1"/>
  <c r="C858" i="2"/>
  <c r="L858" i="2" s="1"/>
  <c r="C859" i="2"/>
  <c r="L859" i="2" s="1"/>
  <c r="C860" i="2"/>
  <c r="L860" i="2" s="1"/>
  <c r="C861" i="2"/>
  <c r="L861" i="2" s="1"/>
  <c r="C862" i="2"/>
  <c r="L862" i="2" s="1"/>
  <c r="C863" i="2"/>
  <c r="L863" i="2" s="1"/>
  <c r="C864" i="2"/>
  <c r="L864" i="2" s="1"/>
  <c r="C865" i="2"/>
  <c r="L865" i="2" s="1"/>
  <c r="C866" i="2"/>
  <c r="L866" i="2" s="1"/>
  <c r="C867" i="2"/>
  <c r="L867" i="2" s="1"/>
  <c r="C868" i="2"/>
  <c r="L868" i="2" s="1"/>
  <c r="C869" i="2"/>
  <c r="L869" i="2" s="1"/>
  <c r="C870" i="2"/>
  <c r="L870" i="2" s="1"/>
  <c r="C871" i="2"/>
  <c r="L871" i="2" s="1"/>
  <c r="C872" i="2"/>
  <c r="L872" i="2" s="1"/>
  <c r="C873" i="2"/>
  <c r="L873" i="2" s="1"/>
  <c r="C874" i="2"/>
  <c r="L874" i="2" s="1"/>
  <c r="C875" i="2"/>
  <c r="L875" i="2" s="1"/>
  <c r="C876" i="2"/>
  <c r="L876" i="2" s="1"/>
  <c r="C877" i="2"/>
  <c r="L877" i="2" s="1"/>
  <c r="C878" i="2"/>
  <c r="L878" i="2" s="1"/>
  <c r="C879" i="2"/>
  <c r="L879" i="2" s="1"/>
  <c r="C880" i="2"/>
  <c r="L880" i="2" s="1"/>
  <c r="C881" i="2"/>
  <c r="L881" i="2" s="1"/>
  <c r="C882" i="2"/>
  <c r="L882" i="2" s="1"/>
  <c r="C883" i="2"/>
  <c r="L883" i="2" s="1"/>
  <c r="C884" i="2"/>
  <c r="L884" i="2" s="1"/>
  <c r="C885" i="2"/>
  <c r="L885" i="2" s="1"/>
  <c r="C886" i="2"/>
  <c r="L886" i="2" s="1"/>
  <c r="C887" i="2"/>
  <c r="L887" i="2" s="1"/>
  <c r="C888" i="2"/>
  <c r="L888" i="2" s="1"/>
  <c r="C889" i="2"/>
  <c r="L889" i="2" s="1"/>
  <c r="C890" i="2"/>
  <c r="L890" i="2" s="1"/>
  <c r="C891" i="2"/>
  <c r="L891" i="2" s="1"/>
  <c r="C892" i="2"/>
  <c r="L892" i="2" s="1"/>
  <c r="C893" i="2"/>
  <c r="L893" i="2" s="1"/>
  <c r="C894" i="2"/>
  <c r="L894" i="2" s="1"/>
  <c r="C895" i="2"/>
  <c r="L895" i="2" s="1"/>
  <c r="C896" i="2"/>
  <c r="L896" i="2" s="1"/>
  <c r="C897" i="2"/>
  <c r="L897" i="2" s="1"/>
  <c r="C898" i="2"/>
  <c r="L898" i="2" s="1"/>
  <c r="C899" i="2"/>
  <c r="L899" i="2" s="1"/>
  <c r="C900" i="2"/>
  <c r="L900" i="2" s="1"/>
  <c r="C901" i="2"/>
  <c r="L901" i="2" s="1"/>
  <c r="C902" i="2"/>
  <c r="L902" i="2" s="1"/>
  <c r="C903" i="2"/>
  <c r="L903" i="2" s="1"/>
  <c r="C904" i="2"/>
  <c r="L904" i="2" s="1"/>
  <c r="C905" i="2"/>
  <c r="L905" i="2" s="1"/>
  <c r="C906" i="2"/>
  <c r="L906" i="2" s="1"/>
  <c r="C907" i="2"/>
  <c r="L907" i="2" s="1"/>
  <c r="C908" i="2"/>
  <c r="L908" i="2" s="1"/>
  <c r="C909" i="2"/>
  <c r="L909" i="2" s="1"/>
  <c r="C910" i="2"/>
  <c r="L910" i="2" s="1"/>
  <c r="C911" i="2"/>
  <c r="L911" i="2" s="1"/>
  <c r="C912" i="2"/>
  <c r="L912" i="2" s="1"/>
  <c r="C913" i="2"/>
  <c r="L913" i="2" s="1"/>
  <c r="C914" i="2"/>
  <c r="L914" i="2" s="1"/>
  <c r="C915" i="2"/>
  <c r="L915" i="2" s="1"/>
  <c r="C916" i="2"/>
  <c r="L916" i="2" s="1"/>
  <c r="C917" i="2"/>
  <c r="L917" i="2" s="1"/>
  <c r="C918" i="2"/>
  <c r="L918" i="2" s="1"/>
  <c r="C919" i="2"/>
  <c r="L919" i="2" s="1"/>
  <c r="C920" i="2"/>
  <c r="L920" i="2" s="1"/>
  <c r="C921" i="2"/>
  <c r="L921" i="2" s="1"/>
  <c r="C922" i="2"/>
  <c r="L922" i="2" s="1"/>
  <c r="C923" i="2"/>
  <c r="L923" i="2" s="1"/>
  <c r="C924" i="2"/>
  <c r="L924" i="2" s="1"/>
  <c r="C925" i="2"/>
  <c r="L925" i="2" s="1"/>
  <c r="C926" i="2"/>
  <c r="L926" i="2" s="1"/>
  <c r="C927" i="2"/>
  <c r="L927" i="2" s="1"/>
  <c r="C928" i="2"/>
  <c r="L928" i="2" s="1"/>
  <c r="C929" i="2"/>
  <c r="L929" i="2" s="1"/>
  <c r="C930" i="2"/>
  <c r="L930" i="2" s="1"/>
  <c r="C931" i="2"/>
  <c r="L931" i="2" s="1"/>
  <c r="C932" i="2"/>
  <c r="L932" i="2" s="1"/>
  <c r="C933" i="2"/>
  <c r="L933" i="2" s="1"/>
  <c r="C934" i="2"/>
  <c r="L934" i="2" s="1"/>
  <c r="C935" i="2"/>
  <c r="L935" i="2" s="1"/>
  <c r="C936" i="2"/>
  <c r="L936" i="2" s="1"/>
  <c r="C937" i="2"/>
  <c r="L937" i="2" s="1"/>
  <c r="C938" i="2"/>
  <c r="L938" i="2" s="1"/>
  <c r="C939" i="2"/>
  <c r="L939" i="2" s="1"/>
  <c r="C940" i="2"/>
  <c r="L940" i="2" s="1"/>
  <c r="C941" i="2"/>
  <c r="L941" i="2" s="1"/>
  <c r="C942" i="2"/>
  <c r="L942" i="2" s="1"/>
  <c r="C943" i="2"/>
  <c r="L943" i="2" s="1"/>
  <c r="C944" i="2"/>
  <c r="L944" i="2" s="1"/>
  <c r="C945" i="2"/>
  <c r="L945" i="2" s="1"/>
  <c r="C946" i="2"/>
  <c r="L946" i="2" s="1"/>
  <c r="C947" i="2"/>
  <c r="L947" i="2" s="1"/>
  <c r="C948" i="2"/>
  <c r="L948" i="2" s="1"/>
  <c r="C949" i="2"/>
  <c r="L949" i="2" s="1"/>
  <c r="C950" i="2"/>
  <c r="L950" i="2" s="1"/>
  <c r="C951" i="2"/>
  <c r="L951" i="2" s="1"/>
  <c r="C952" i="2"/>
  <c r="L952" i="2" s="1"/>
  <c r="C953" i="2"/>
  <c r="L953" i="2" s="1"/>
  <c r="C954" i="2"/>
  <c r="L954" i="2" s="1"/>
  <c r="C955" i="2"/>
  <c r="L955" i="2" s="1"/>
  <c r="C956" i="2"/>
  <c r="L956" i="2" s="1"/>
  <c r="C957" i="2"/>
  <c r="L957" i="2" s="1"/>
  <c r="C958" i="2"/>
  <c r="L958" i="2" s="1"/>
  <c r="C959" i="2"/>
  <c r="L959" i="2" s="1"/>
  <c r="C960" i="2"/>
  <c r="L960" i="2" s="1"/>
  <c r="C961" i="2"/>
  <c r="L961" i="2" s="1"/>
  <c r="C962" i="2"/>
  <c r="L962" i="2" s="1"/>
  <c r="C963" i="2"/>
  <c r="L963" i="2" s="1"/>
  <c r="C964" i="2"/>
  <c r="L964" i="2" s="1"/>
  <c r="C965" i="2"/>
  <c r="L965" i="2" s="1"/>
  <c r="C966" i="2"/>
  <c r="L966" i="2" s="1"/>
  <c r="C967" i="2"/>
  <c r="L967" i="2" s="1"/>
  <c r="C968" i="2"/>
  <c r="L968" i="2" s="1"/>
  <c r="C969" i="2"/>
  <c r="L969" i="2" s="1"/>
  <c r="C970" i="2"/>
  <c r="L970" i="2" s="1"/>
  <c r="C971" i="2"/>
  <c r="L971" i="2" s="1"/>
  <c r="C972" i="2"/>
  <c r="L972" i="2" s="1"/>
  <c r="C973" i="2"/>
  <c r="L973" i="2" s="1"/>
  <c r="C974" i="2"/>
  <c r="L974" i="2" s="1"/>
  <c r="C975" i="2"/>
  <c r="L975" i="2" s="1"/>
  <c r="C976" i="2"/>
  <c r="L976" i="2" s="1"/>
  <c r="C977" i="2"/>
  <c r="L977" i="2" s="1"/>
  <c r="C978" i="2"/>
  <c r="L978" i="2" s="1"/>
  <c r="C979" i="2"/>
  <c r="L979" i="2" s="1"/>
  <c r="C980" i="2"/>
  <c r="L980" i="2" s="1"/>
  <c r="C981" i="2"/>
  <c r="L981" i="2" s="1"/>
  <c r="C982" i="2"/>
  <c r="L982" i="2" s="1"/>
  <c r="C983" i="2"/>
  <c r="L983" i="2" s="1"/>
  <c r="C984" i="2"/>
  <c r="L984" i="2" s="1"/>
  <c r="C985" i="2"/>
  <c r="L985" i="2" s="1"/>
  <c r="C986" i="2"/>
  <c r="L986" i="2" s="1"/>
  <c r="C987" i="2"/>
  <c r="L987" i="2" s="1"/>
  <c r="C988" i="2"/>
  <c r="L988" i="2" s="1"/>
  <c r="C989" i="2"/>
  <c r="L989" i="2" s="1"/>
  <c r="C990" i="2"/>
  <c r="L990" i="2" s="1"/>
  <c r="C991" i="2"/>
  <c r="L991" i="2" s="1"/>
  <c r="C992" i="2"/>
  <c r="L992" i="2" s="1"/>
  <c r="C993" i="2"/>
  <c r="L993" i="2" s="1"/>
  <c r="C994" i="2"/>
  <c r="L994" i="2" s="1"/>
  <c r="C995" i="2"/>
  <c r="L995" i="2" s="1"/>
  <c r="C996" i="2"/>
  <c r="L996" i="2" s="1"/>
  <c r="C997" i="2"/>
  <c r="L997" i="2" s="1"/>
  <c r="C998" i="2"/>
  <c r="L998" i="2" s="1"/>
  <c r="C999" i="2"/>
  <c r="L999" i="2" s="1"/>
  <c r="C1000" i="2"/>
  <c r="L1000" i="2" s="1"/>
  <c r="C1001" i="2"/>
  <c r="L1001" i="2" s="1"/>
  <c r="C2" i="2"/>
  <c r="L2" i="2" s="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2"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530" i="2"/>
  <c r="A531" i="2"/>
  <c r="A532" i="2"/>
  <c r="A533" i="2"/>
  <c r="A534" i="2"/>
  <c r="A535" i="2"/>
  <c r="A536" i="2"/>
  <c r="A537" i="2"/>
  <c r="A538" i="2"/>
  <c r="A539" i="2"/>
  <c r="A540" i="2"/>
  <c r="A541" i="2"/>
  <c r="A542" i="2"/>
  <c r="A543" i="2"/>
  <c r="A544" i="2"/>
  <c r="A545" i="2"/>
  <c r="A546" i="2"/>
  <c r="A547" i="2"/>
  <c r="A548" i="2"/>
  <c r="A549" i="2"/>
  <c r="A550" i="2"/>
  <c r="A551" i="2"/>
  <c r="A552" i="2"/>
  <c r="A553" i="2"/>
  <c r="A554" i="2"/>
  <c r="A555" i="2"/>
  <c r="A556" i="2"/>
  <c r="A557" i="2"/>
  <c r="A558" i="2"/>
  <c r="A559" i="2"/>
  <c r="A560" i="2"/>
  <c r="A561" i="2"/>
  <c r="A562" i="2"/>
  <c r="A563" i="2"/>
  <c r="A564" i="2"/>
  <c r="A565" i="2"/>
  <c r="A566" i="2"/>
  <c r="A567" i="2"/>
  <c r="A568" i="2"/>
  <c r="A569" i="2"/>
  <c r="A570" i="2"/>
  <c r="A571" i="2"/>
  <c r="A572" i="2"/>
  <c r="A573" i="2"/>
  <c r="A574" i="2"/>
  <c r="A575" i="2"/>
  <c r="A576" i="2"/>
  <c r="A577" i="2"/>
  <c r="A578" i="2"/>
  <c r="A579" i="2"/>
  <c r="A580" i="2"/>
  <c r="A581" i="2"/>
  <c r="A582" i="2"/>
  <c r="A583" i="2"/>
  <c r="A584" i="2"/>
  <c r="A585" i="2"/>
  <c r="A586" i="2"/>
  <c r="A587" i="2"/>
  <c r="A588" i="2"/>
  <c r="A589" i="2"/>
  <c r="A590" i="2"/>
  <c r="A591" i="2"/>
  <c r="A592" i="2"/>
  <c r="A593" i="2"/>
  <c r="A594" i="2"/>
  <c r="A595" i="2"/>
  <c r="A596" i="2"/>
  <c r="A597" i="2"/>
  <c r="A598" i="2"/>
  <c r="A599" i="2"/>
  <c r="A600" i="2"/>
  <c r="A601" i="2"/>
  <c r="A602" i="2"/>
  <c r="A603" i="2"/>
  <c r="A604" i="2"/>
  <c r="A605" i="2"/>
  <c r="A606" i="2"/>
  <c r="A607" i="2"/>
  <c r="A608" i="2"/>
  <c r="A609" i="2"/>
  <c r="A610" i="2"/>
  <c r="A611" i="2"/>
  <c r="A612" i="2"/>
  <c r="A613" i="2"/>
  <c r="A614" i="2"/>
  <c r="A615" i="2"/>
  <c r="A616" i="2"/>
  <c r="A617" i="2"/>
  <c r="A618" i="2"/>
  <c r="A619" i="2"/>
  <c r="A620" i="2"/>
  <c r="A621" i="2"/>
  <c r="A622" i="2"/>
  <c r="A623" i="2"/>
  <c r="A624" i="2"/>
  <c r="A625" i="2"/>
  <c r="A626" i="2"/>
  <c r="A627" i="2"/>
  <c r="A628" i="2"/>
  <c r="A629" i="2"/>
  <c r="A630" i="2"/>
  <c r="A631" i="2"/>
  <c r="A632" i="2"/>
  <c r="A633" i="2"/>
  <c r="A634" i="2"/>
  <c r="A635" i="2"/>
  <c r="A636" i="2"/>
  <c r="A637" i="2"/>
  <c r="A638" i="2"/>
  <c r="A639" i="2"/>
  <c r="A640" i="2"/>
  <c r="A641" i="2"/>
  <c r="A642" i="2"/>
  <c r="A643" i="2"/>
  <c r="A644" i="2"/>
  <c r="A645" i="2"/>
  <c r="A646" i="2"/>
  <c r="A647" i="2"/>
  <c r="A648" i="2"/>
  <c r="A649" i="2"/>
  <c r="A650" i="2"/>
  <c r="A651" i="2"/>
  <c r="A652" i="2"/>
  <c r="A653" i="2"/>
  <c r="A654" i="2"/>
  <c r="A655" i="2"/>
  <c r="A656" i="2"/>
  <c r="A657" i="2"/>
  <c r="A658" i="2"/>
  <c r="A659" i="2"/>
  <c r="A660" i="2"/>
  <c r="A661" i="2"/>
  <c r="A662" i="2"/>
  <c r="A663" i="2"/>
  <c r="A664" i="2"/>
  <c r="A665" i="2"/>
  <c r="A666" i="2"/>
  <c r="A667" i="2"/>
  <c r="A668" i="2"/>
  <c r="A669" i="2"/>
  <c r="A670" i="2"/>
  <c r="A671" i="2"/>
  <c r="A672" i="2"/>
  <c r="A673" i="2"/>
  <c r="A674" i="2"/>
  <c r="A675" i="2"/>
  <c r="A676" i="2"/>
  <c r="A677" i="2"/>
  <c r="A678" i="2"/>
  <c r="A679" i="2"/>
  <c r="A680" i="2"/>
  <c r="A681" i="2"/>
  <c r="A682" i="2"/>
  <c r="A683" i="2"/>
  <c r="A684" i="2"/>
  <c r="A685" i="2"/>
  <c r="A686" i="2"/>
  <c r="A687" i="2"/>
  <c r="A688" i="2"/>
  <c r="A689" i="2"/>
  <c r="A690" i="2"/>
  <c r="A691" i="2"/>
  <c r="A692" i="2"/>
  <c r="A693" i="2"/>
  <c r="A694" i="2"/>
  <c r="A695" i="2"/>
  <c r="A696" i="2"/>
  <c r="A697" i="2"/>
  <c r="A698" i="2"/>
  <c r="A699" i="2"/>
  <c r="A700" i="2"/>
  <c r="A701" i="2"/>
  <c r="A702" i="2"/>
  <c r="A703" i="2"/>
  <c r="A704" i="2"/>
  <c r="A705" i="2"/>
  <c r="A706" i="2"/>
  <c r="A707" i="2"/>
  <c r="A708" i="2"/>
  <c r="A709" i="2"/>
  <c r="A710" i="2"/>
  <c r="A711" i="2"/>
  <c r="A712" i="2"/>
  <c r="A713" i="2"/>
  <c r="A714" i="2"/>
  <c r="A715" i="2"/>
  <c r="A716" i="2"/>
  <c r="A717" i="2"/>
  <c r="A718" i="2"/>
  <c r="A719" i="2"/>
  <c r="A720" i="2"/>
  <c r="A721" i="2"/>
  <c r="A722" i="2"/>
  <c r="A723" i="2"/>
  <c r="A724" i="2"/>
  <c r="A725" i="2"/>
  <c r="A726" i="2"/>
  <c r="A727" i="2"/>
  <c r="A728" i="2"/>
  <c r="A729" i="2"/>
  <c r="A730" i="2"/>
  <c r="A731" i="2"/>
  <c r="A732" i="2"/>
  <c r="A733" i="2"/>
  <c r="A734" i="2"/>
  <c r="A735" i="2"/>
  <c r="A736" i="2"/>
  <c r="A737" i="2"/>
  <c r="A738" i="2"/>
  <c r="A739" i="2"/>
  <c r="A740" i="2"/>
  <c r="A741" i="2"/>
  <c r="A742" i="2"/>
  <c r="A743" i="2"/>
  <c r="A744" i="2"/>
  <c r="A745" i="2"/>
  <c r="A746" i="2"/>
  <c r="A747" i="2"/>
  <c r="A748" i="2"/>
  <c r="A749" i="2"/>
  <c r="A750" i="2"/>
  <c r="A751" i="2"/>
  <c r="A752" i="2"/>
  <c r="A753" i="2"/>
  <c r="A754" i="2"/>
  <c r="A755" i="2"/>
  <c r="A756" i="2"/>
  <c r="A757" i="2"/>
  <c r="A758" i="2"/>
  <c r="A759" i="2"/>
  <c r="A760" i="2"/>
  <c r="A761" i="2"/>
  <c r="A762" i="2"/>
  <c r="A763" i="2"/>
  <c r="A764" i="2"/>
  <c r="A765" i="2"/>
  <c r="A766" i="2"/>
  <c r="A767" i="2"/>
  <c r="A768" i="2"/>
  <c r="A769" i="2"/>
  <c r="A770" i="2"/>
  <c r="A771" i="2"/>
  <c r="A772" i="2"/>
  <c r="A773" i="2"/>
  <c r="A774" i="2"/>
  <c r="A775" i="2"/>
  <c r="A776" i="2"/>
  <c r="A777" i="2"/>
  <c r="A778" i="2"/>
  <c r="A779" i="2"/>
  <c r="A780" i="2"/>
  <c r="A781" i="2"/>
  <c r="A782" i="2"/>
  <c r="A783" i="2"/>
  <c r="A784" i="2"/>
  <c r="A785" i="2"/>
  <c r="A786" i="2"/>
  <c r="A787" i="2"/>
  <c r="A788" i="2"/>
  <c r="A789" i="2"/>
  <c r="A790" i="2"/>
  <c r="A791" i="2"/>
  <c r="A792" i="2"/>
  <c r="A793" i="2"/>
  <c r="A794" i="2"/>
  <c r="A795" i="2"/>
  <c r="A796" i="2"/>
  <c r="A797" i="2"/>
  <c r="A798" i="2"/>
  <c r="A799" i="2"/>
  <c r="A800" i="2"/>
  <c r="A801" i="2"/>
  <c r="A802" i="2"/>
  <c r="A803" i="2"/>
  <c r="A804" i="2"/>
  <c r="A805" i="2"/>
  <c r="A806" i="2"/>
  <c r="A807" i="2"/>
  <c r="A808" i="2"/>
  <c r="A809" i="2"/>
  <c r="A810" i="2"/>
  <c r="A811" i="2"/>
  <c r="A812" i="2"/>
  <c r="A813" i="2"/>
  <c r="A814" i="2"/>
  <c r="A815" i="2"/>
  <c r="A816" i="2"/>
  <c r="A817" i="2"/>
  <c r="A818" i="2"/>
  <c r="A819" i="2"/>
  <c r="A820" i="2"/>
  <c r="A821" i="2"/>
  <c r="A822" i="2"/>
  <c r="A823" i="2"/>
  <c r="A824" i="2"/>
  <c r="A825" i="2"/>
  <c r="A826" i="2"/>
  <c r="A827" i="2"/>
  <c r="A828" i="2"/>
  <c r="A829" i="2"/>
  <c r="A830" i="2"/>
  <c r="A831" i="2"/>
  <c r="A832" i="2"/>
  <c r="A833" i="2"/>
  <c r="A834" i="2"/>
  <c r="A835" i="2"/>
  <c r="A836" i="2"/>
  <c r="A837" i="2"/>
  <c r="A838" i="2"/>
  <c r="A839" i="2"/>
  <c r="A840" i="2"/>
  <c r="A841" i="2"/>
  <c r="A842" i="2"/>
  <c r="A843" i="2"/>
  <c r="A844" i="2"/>
  <c r="A845" i="2"/>
  <c r="A846" i="2"/>
  <c r="A847" i="2"/>
  <c r="A848" i="2"/>
  <c r="A849" i="2"/>
  <c r="A850" i="2"/>
  <c r="A851" i="2"/>
  <c r="A852" i="2"/>
  <c r="A853" i="2"/>
  <c r="A854" i="2"/>
  <c r="A855" i="2"/>
  <c r="A856" i="2"/>
  <c r="A857" i="2"/>
  <c r="A858" i="2"/>
  <c r="A859" i="2"/>
  <c r="A860" i="2"/>
  <c r="A861" i="2"/>
  <c r="A862" i="2"/>
  <c r="A863" i="2"/>
  <c r="A864" i="2"/>
  <c r="A865" i="2"/>
  <c r="A866" i="2"/>
  <c r="A867" i="2"/>
  <c r="A868" i="2"/>
  <c r="A869" i="2"/>
  <c r="A870" i="2"/>
  <c r="A871" i="2"/>
  <c r="A872" i="2"/>
  <c r="A873" i="2"/>
  <c r="A874" i="2"/>
  <c r="A875" i="2"/>
  <c r="A876" i="2"/>
  <c r="A877" i="2"/>
  <c r="A878" i="2"/>
  <c r="A879" i="2"/>
  <c r="A880" i="2"/>
  <c r="A881" i="2"/>
  <c r="A882" i="2"/>
  <c r="A883" i="2"/>
  <c r="A884" i="2"/>
  <c r="A885" i="2"/>
  <c r="A886" i="2"/>
  <c r="A887" i="2"/>
  <c r="A888" i="2"/>
  <c r="A889" i="2"/>
  <c r="A890" i="2"/>
  <c r="A891" i="2"/>
  <c r="A892" i="2"/>
  <c r="A893" i="2"/>
  <c r="A894" i="2"/>
  <c r="A895" i="2"/>
  <c r="A896" i="2"/>
  <c r="A897" i="2"/>
  <c r="A898" i="2"/>
  <c r="A899" i="2"/>
  <c r="A900" i="2"/>
  <c r="A901" i="2"/>
  <c r="A902" i="2"/>
  <c r="A903" i="2"/>
  <c r="A904" i="2"/>
  <c r="A905" i="2"/>
  <c r="A906" i="2"/>
  <c r="A907" i="2"/>
  <c r="A908" i="2"/>
  <c r="A909" i="2"/>
  <c r="A910" i="2"/>
  <c r="A911" i="2"/>
  <c r="A912" i="2"/>
  <c r="A913" i="2"/>
  <c r="A914" i="2"/>
  <c r="A915" i="2"/>
  <c r="A916" i="2"/>
  <c r="A917" i="2"/>
  <c r="A918" i="2"/>
  <c r="A919" i="2"/>
  <c r="A920" i="2"/>
  <c r="A921" i="2"/>
  <c r="A922" i="2"/>
  <c r="A923" i="2"/>
  <c r="A924" i="2"/>
  <c r="A925" i="2"/>
  <c r="A926" i="2"/>
  <c r="A927" i="2"/>
  <c r="A928" i="2"/>
  <c r="A929" i="2"/>
  <c r="A930" i="2"/>
  <c r="A931" i="2"/>
  <c r="A932" i="2"/>
  <c r="A933" i="2"/>
  <c r="A934" i="2"/>
  <c r="A935" i="2"/>
  <c r="A936" i="2"/>
  <c r="A937" i="2"/>
  <c r="A938" i="2"/>
  <c r="A939" i="2"/>
  <c r="A940" i="2"/>
  <c r="A941" i="2"/>
  <c r="A942" i="2"/>
  <c r="A943" i="2"/>
  <c r="A944" i="2"/>
  <c r="A945" i="2"/>
  <c r="A946" i="2"/>
  <c r="A947" i="2"/>
  <c r="A948" i="2"/>
  <c r="A949" i="2"/>
  <c r="A950" i="2"/>
  <c r="A951" i="2"/>
  <c r="A952" i="2"/>
  <c r="A953" i="2"/>
  <c r="A954" i="2"/>
  <c r="A955" i="2"/>
  <c r="A956" i="2"/>
  <c r="A957" i="2"/>
  <c r="A958" i="2"/>
  <c r="A959" i="2"/>
  <c r="A960" i="2"/>
  <c r="A961" i="2"/>
  <c r="A962" i="2"/>
  <c r="A963" i="2"/>
  <c r="A964" i="2"/>
  <c r="A965" i="2"/>
  <c r="A966" i="2"/>
  <c r="A967" i="2"/>
  <c r="A968" i="2"/>
  <c r="A969" i="2"/>
  <c r="A970" i="2"/>
  <c r="A971" i="2"/>
  <c r="A972" i="2"/>
  <c r="A973" i="2"/>
  <c r="A974" i="2"/>
  <c r="A975" i="2"/>
  <c r="A976" i="2"/>
  <c r="A977" i="2"/>
  <c r="A978" i="2"/>
  <c r="A979" i="2"/>
  <c r="A980" i="2"/>
  <c r="A981" i="2"/>
  <c r="A982" i="2"/>
  <c r="A983" i="2"/>
  <c r="A984" i="2"/>
  <c r="A985" i="2"/>
  <c r="A986" i="2"/>
  <c r="A987" i="2"/>
  <c r="A988" i="2"/>
  <c r="A989" i="2"/>
  <c r="A990" i="2"/>
  <c r="A991" i="2"/>
  <c r="A992" i="2"/>
  <c r="A993" i="2"/>
  <c r="A994" i="2"/>
  <c r="A995" i="2"/>
  <c r="A996" i="2"/>
  <c r="A997" i="2"/>
  <c r="A998" i="2"/>
  <c r="A999" i="2"/>
  <c r="A1000" i="2"/>
  <c r="A1001" i="2"/>
  <c r="A2" i="2"/>
  <c r="Z3" i="1" l="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2" i="1"/>
  <c r="X3" i="1"/>
  <c r="Y3" i="1" s="1"/>
  <c r="X4" i="1"/>
  <c r="Y4" i="1" s="1"/>
  <c r="X5" i="1"/>
  <c r="Y5" i="1" s="1"/>
  <c r="X6" i="1"/>
  <c r="Y6" i="1" s="1"/>
  <c r="X7" i="1"/>
  <c r="Y7" i="1" s="1"/>
  <c r="X8" i="1"/>
  <c r="Y8" i="1" s="1"/>
  <c r="X9" i="1"/>
  <c r="Y9" i="1" s="1"/>
  <c r="X10" i="1"/>
  <c r="Y10" i="1" s="1"/>
  <c r="X11" i="1"/>
  <c r="Y11" i="1" s="1"/>
  <c r="X12" i="1"/>
  <c r="Y12" i="1" s="1"/>
  <c r="X13" i="1"/>
  <c r="Y13" i="1" s="1"/>
  <c r="X14" i="1"/>
  <c r="Y14" i="1" s="1"/>
  <c r="X15" i="1"/>
  <c r="Y15" i="1" s="1"/>
  <c r="X16" i="1"/>
  <c r="Y16" i="1" s="1"/>
  <c r="X17" i="1"/>
  <c r="Y17" i="1" s="1"/>
  <c r="X18" i="1"/>
  <c r="Y18" i="1" s="1"/>
  <c r="X19" i="1"/>
  <c r="Y19" i="1" s="1"/>
  <c r="X20" i="1"/>
  <c r="Y20" i="1" s="1"/>
  <c r="X21" i="1"/>
  <c r="Y21" i="1" s="1"/>
  <c r="X22" i="1"/>
  <c r="Y22" i="1" s="1"/>
  <c r="X23" i="1"/>
  <c r="Y23" i="1" s="1"/>
  <c r="X24" i="1"/>
  <c r="Y24" i="1" s="1"/>
  <c r="X25" i="1"/>
  <c r="Y25" i="1" s="1"/>
  <c r="X26" i="1"/>
  <c r="Y26" i="1" s="1"/>
  <c r="X27" i="1"/>
  <c r="Y27" i="1" s="1"/>
  <c r="X28" i="1"/>
  <c r="Y28" i="1" s="1"/>
  <c r="X29" i="1"/>
  <c r="Y29" i="1" s="1"/>
  <c r="X30" i="1"/>
  <c r="Y30" i="1" s="1"/>
  <c r="X31" i="1"/>
  <c r="Y31" i="1" s="1"/>
  <c r="X32" i="1"/>
  <c r="Y32" i="1" s="1"/>
  <c r="X33" i="1"/>
  <c r="Y33" i="1" s="1"/>
  <c r="X34" i="1"/>
  <c r="Y34" i="1" s="1"/>
  <c r="X35" i="1"/>
  <c r="Y35" i="1" s="1"/>
  <c r="X36" i="1"/>
  <c r="Y36" i="1" s="1"/>
  <c r="X37" i="1"/>
  <c r="Y37" i="1" s="1"/>
  <c r="X38" i="1"/>
  <c r="Y38" i="1" s="1"/>
  <c r="X39" i="1"/>
  <c r="Y39" i="1" s="1"/>
  <c r="X40" i="1"/>
  <c r="Y40" i="1" s="1"/>
  <c r="X41" i="1"/>
  <c r="Y41" i="1" s="1"/>
  <c r="X42" i="1"/>
  <c r="Y42" i="1" s="1"/>
  <c r="X43" i="1"/>
  <c r="Y43" i="1" s="1"/>
  <c r="X44" i="1"/>
  <c r="Y44" i="1" s="1"/>
  <c r="X45" i="1"/>
  <c r="Y45" i="1" s="1"/>
  <c r="X46" i="1"/>
  <c r="Y46" i="1" s="1"/>
  <c r="X47" i="1"/>
  <c r="Y47" i="1" s="1"/>
  <c r="X48" i="1"/>
  <c r="Y48" i="1" s="1"/>
  <c r="X49" i="1"/>
  <c r="Y49" i="1" s="1"/>
  <c r="X50" i="1"/>
  <c r="Y50" i="1" s="1"/>
  <c r="X51" i="1"/>
  <c r="Y51" i="1" s="1"/>
  <c r="X52" i="1"/>
  <c r="Y52" i="1" s="1"/>
  <c r="X53" i="1"/>
  <c r="Y53" i="1" s="1"/>
  <c r="X54" i="1"/>
  <c r="Y54" i="1" s="1"/>
  <c r="X55" i="1"/>
  <c r="Y55" i="1" s="1"/>
  <c r="X56" i="1"/>
  <c r="Y56" i="1" s="1"/>
  <c r="X57" i="1"/>
  <c r="Y57" i="1" s="1"/>
  <c r="X58" i="1"/>
  <c r="Y58" i="1" s="1"/>
  <c r="X59" i="1"/>
  <c r="Y59" i="1" s="1"/>
  <c r="X60" i="1"/>
  <c r="Y60" i="1" s="1"/>
  <c r="X61" i="1"/>
  <c r="Y61" i="1" s="1"/>
  <c r="X62" i="1"/>
  <c r="Y62" i="1" s="1"/>
  <c r="X63" i="1"/>
  <c r="Y63" i="1" s="1"/>
  <c r="X64" i="1"/>
  <c r="Y64" i="1" s="1"/>
  <c r="X65" i="1"/>
  <c r="Y65" i="1" s="1"/>
  <c r="X66" i="1"/>
  <c r="Y66" i="1" s="1"/>
  <c r="X67" i="1"/>
  <c r="Y67" i="1" s="1"/>
  <c r="X68" i="1"/>
  <c r="Y68" i="1" s="1"/>
  <c r="X69" i="1"/>
  <c r="Y69" i="1" s="1"/>
  <c r="X70" i="1"/>
  <c r="Y70" i="1" s="1"/>
  <c r="X71" i="1"/>
  <c r="Y71" i="1" s="1"/>
  <c r="X72" i="1"/>
  <c r="Y72" i="1" s="1"/>
  <c r="X73" i="1"/>
  <c r="Y73" i="1" s="1"/>
  <c r="X74" i="1"/>
  <c r="Y74" i="1" s="1"/>
  <c r="X75" i="1"/>
  <c r="Y75" i="1" s="1"/>
  <c r="X76" i="1"/>
  <c r="Y76" i="1" s="1"/>
  <c r="X77" i="1"/>
  <c r="Y77" i="1" s="1"/>
  <c r="X78" i="1"/>
  <c r="Y78" i="1" s="1"/>
  <c r="X79" i="1"/>
  <c r="Y79" i="1" s="1"/>
  <c r="X80" i="1"/>
  <c r="Y80" i="1" s="1"/>
  <c r="X81" i="1"/>
  <c r="Y81" i="1" s="1"/>
  <c r="X82" i="1"/>
  <c r="Y82" i="1" s="1"/>
  <c r="X83" i="1"/>
  <c r="Y83" i="1" s="1"/>
  <c r="X84" i="1"/>
  <c r="Y84" i="1" s="1"/>
  <c r="X85" i="1"/>
  <c r="Y85" i="1" s="1"/>
  <c r="X86" i="1"/>
  <c r="Y86" i="1" s="1"/>
  <c r="X87" i="1"/>
  <c r="Y87" i="1" s="1"/>
  <c r="X88" i="1"/>
  <c r="Y88" i="1" s="1"/>
  <c r="X89" i="1"/>
  <c r="Y89" i="1" s="1"/>
  <c r="X90" i="1"/>
  <c r="Y90" i="1" s="1"/>
  <c r="X91" i="1"/>
  <c r="Y91" i="1" s="1"/>
  <c r="X92" i="1"/>
  <c r="Y92" i="1" s="1"/>
  <c r="X93" i="1"/>
  <c r="Y93" i="1" s="1"/>
  <c r="X94" i="1"/>
  <c r="Y94" i="1" s="1"/>
  <c r="X95" i="1"/>
  <c r="Y95" i="1" s="1"/>
  <c r="X96" i="1"/>
  <c r="Y96" i="1" s="1"/>
  <c r="X97" i="1"/>
  <c r="Y97" i="1" s="1"/>
  <c r="X98" i="1"/>
  <c r="Y98" i="1" s="1"/>
  <c r="X99" i="1"/>
  <c r="Y99" i="1" s="1"/>
  <c r="X100" i="1"/>
  <c r="Y100" i="1" s="1"/>
  <c r="X101" i="1"/>
  <c r="Y101" i="1" s="1"/>
  <c r="X102" i="1"/>
  <c r="Y102" i="1" s="1"/>
  <c r="X103" i="1"/>
  <c r="Y103" i="1" s="1"/>
  <c r="X104" i="1"/>
  <c r="Y104" i="1" s="1"/>
  <c r="X105" i="1"/>
  <c r="Y105" i="1" s="1"/>
  <c r="X106" i="1"/>
  <c r="Y106" i="1" s="1"/>
  <c r="X107" i="1"/>
  <c r="Y107" i="1" s="1"/>
  <c r="X108" i="1"/>
  <c r="Y108" i="1" s="1"/>
  <c r="X109" i="1"/>
  <c r="Y109" i="1" s="1"/>
  <c r="X110" i="1"/>
  <c r="Y110" i="1" s="1"/>
  <c r="X111" i="1"/>
  <c r="Y111" i="1" s="1"/>
  <c r="X112" i="1"/>
  <c r="Y112" i="1" s="1"/>
  <c r="X113" i="1"/>
  <c r="Y113" i="1" s="1"/>
  <c r="X114" i="1"/>
  <c r="Y114" i="1" s="1"/>
  <c r="X115" i="1"/>
  <c r="Y115" i="1" s="1"/>
  <c r="X116" i="1"/>
  <c r="Y116" i="1" s="1"/>
  <c r="X117" i="1"/>
  <c r="Y117" i="1" s="1"/>
  <c r="X118" i="1"/>
  <c r="Y118" i="1" s="1"/>
  <c r="X119" i="1"/>
  <c r="Y119" i="1" s="1"/>
  <c r="X120" i="1"/>
  <c r="Y120" i="1" s="1"/>
  <c r="X121" i="1"/>
  <c r="Y121" i="1" s="1"/>
  <c r="X122" i="1"/>
  <c r="Y122" i="1" s="1"/>
  <c r="X123" i="1"/>
  <c r="Y123" i="1" s="1"/>
  <c r="X124" i="1"/>
  <c r="Y124" i="1" s="1"/>
  <c r="X125" i="1"/>
  <c r="Y125" i="1" s="1"/>
  <c r="X126" i="1"/>
  <c r="Y126" i="1" s="1"/>
  <c r="X127" i="1"/>
  <c r="Y127" i="1" s="1"/>
  <c r="X128" i="1"/>
  <c r="Y128" i="1" s="1"/>
  <c r="X129" i="1"/>
  <c r="Y129" i="1" s="1"/>
  <c r="X130" i="1"/>
  <c r="Y130" i="1" s="1"/>
  <c r="X131" i="1"/>
  <c r="Y131" i="1" s="1"/>
  <c r="X132" i="1"/>
  <c r="Y132" i="1" s="1"/>
  <c r="X133" i="1"/>
  <c r="Y133" i="1" s="1"/>
  <c r="X134" i="1"/>
  <c r="Y134" i="1" s="1"/>
  <c r="X135" i="1"/>
  <c r="Y135" i="1" s="1"/>
  <c r="X136" i="1"/>
  <c r="Y136" i="1" s="1"/>
  <c r="X137" i="1"/>
  <c r="Y137" i="1" s="1"/>
  <c r="X138" i="1"/>
  <c r="Y138" i="1" s="1"/>
  <c r="X139" i="1"/>
  <c r="Y139" i="1" s="1"/>
  <c r="X140" i="1"/>
  <c r="Y140" i="1" s="1"/>
  <c r="X141" i="1"/>
  <c r="Y141" i="1" s="1"/>
  <c r="X142" i="1"/>
  <c r="Y142" i="1" s="1"/>
  <c r="X143" i="1"/>
  <c r="Y143" i="1" s="1"/>
  <c r="X144" i="1"/>
  <c r="Y144" i="1" s="1"/>
  <c r="X145" i="1"/>
  <c r="Y145" i="1" s="1"/>
  <c r="X146" i="1"/>
  <c r="Y146" i="1" s="1"/>
  <c r="X147" i="1"/>
  <c r="Y147" i="1" s="1"/>
  <c r="X148" i="1"/>
  <c r="Y148" i="1" s="1"/>
  <c r="X149" i="1"/>
  <c r="Y149" i="1" s="1"/>
  <c r="X150" i="1"/>
  <c r="Y150" i="1" s="1"/>
  <c r="X151" i="1"/>
  <c r="Y151" i="1" s="1"/>
  <c r="X152" i="1"/>
  <c r="Y152" i="1" s="1"/>
  <c r="X153" i="1"/>
  <c r="Y153" i="1" s="1"/>
  <c r="X154" i="1"/>
  <c r="Y154" i="1" s="1"/>
  <c r="X155" i="1"/>
  <c r="Y155" i="1" s="1"/>
  <c r="X156" i="1"/>
  <c r="Y156" i="1" s="1"/>
  <c r="X157" i="1"/>
  <c r="Y157" i="1" s="1"/>
  <c r="X158" i="1"/>
  <c r="Y158" i="1" s="1"/>
  <c r="X159" i="1"/>
  <c r="Y159" i="1" s="1"/>
  <c r="X160" i="1"/>
  <c r="Y160" i="1" s="1"/>
  <c r="X161" i="1"/>
  <c r="Y161" i="1" s="1"/>
  <c r="X162" i="1"/>
  <c r="Y162" i="1" s="1"/>
  <c r="X163" i="1"/>
  <c r="Y163" i="1" s="1"/>
  <c r="X164" i="1"/>
  <c r="Y164" i="1" s="1"/>
  <c r="X165" i="1"/>
  <c r="Y165" i="1" s="1"/>
  <c r="X166" i="1"/>
  <c r="Y166" i="1" s="1"/>
  <c r="X167" i="1"/>
  <c r="Y167" i="1" s="1"/>
  <c r="X168" i="1"/>
  <c r="Y168" i="1" s="1"/>
  <c r="X169" i="1"/>
  <c r="Y169" i="1" s="1"/>
  <c r="X170" i="1"/>
  <c r="Y170" i="1" s="1"/>
  <c r="X171" i="1"/>
  <c r="Y171" i="1" s="1"/>
  <c r="X172" i="1"/>
  <c r="Y172" i="1" s="1"/>
  <c r="X173" i="1"/>
  <c r="Y173" i="1" s="1"/>
  <c r="X174" i="1"/>
  <c r="Y174" i="1" s="1"/>
  <c r="X175" i="1"/>
  <c r="Y175" i="1" s="1"/>
  <c r="X176" i="1"/>
  <c r="Y176" i="1" s="1"/>
  <c r="X177" i="1"/>
  <c r="Y177" i="1" s="1"/>
  <c r="X178" i="1"/>
  <c r="Y178" i="1" s="1"/>
  <c r="X179" i="1"/>
  <c r="Y179" i="1" s="1"/>
  <c r="X180" i="1"/>
  <c r="Y180" i="1" s="1"/>
  <c r="X181" i="1"/>
  <c r="Y181" i="1" s="1"/>
  <c r="X182" i="1"/>
  <c r="Y182" i="1" s="1"/>
  <c r="X183" i="1"/>
  <c r="Y183" i="1" s="1"/>
  <c r="X184" i="1"/>
  <c r="Y184" i="1" s="1"/>
  <c r="X185" i="1"/>
  <c r="Y185" i="1" s="1"/>
  <c r="X186" i="1"/>
  <c r="Y186" i="1" s="1"/>
  <c r="X187" i="1"/>
  <c r="Y187" i="1" s="1"/>
  <c r="X188" i="1"/>
  <c r="Y188" i="1" s="1"/>
  <c r="X189" i="1"/>
  <c r="Y189" i="1" s="1"/>
  <c r="X190" i="1"/>
  <c r="Y190" i="1" s="1"/>
  <c r="X191" i="1"/>
  <c r="Y191" i="1" s="1"/>
  <c r="X192" i="1"/>
  <c r="Y192" i="1" s="1"/>
  <c r="X193" i="1"/>
  <c r="Y193" i="1" s="1"/>
  <c r="X194" i="1"/>
  <c r="Y194" i="1" s="1"/>
  <c r="X195" i="1"/>
  <c r="Y195" i="1" s="1"/>
  <c r="X196" i="1"/>
  <c r="Y196" i="1" s="1"/>
  <c r="X197" i="1"/>
  <c r="Y197" i="1" s="1"/>
  <c r="X198" i="1"/>
  <c r="Y198" i="1" s="1"/>
  <c r="X199" i="1"/>
  <c r="Y199" i="1" s="1"/>
  <c r="X200" i="1"/>
  <c r="Y200" i="1" s="1"/>
  <c r="X201" i="1"/>
  <c r="Y201" i="1" s="1"/>
  <c r="X202" i="1"/>
  <c r="Y202" i="1" s="1"/>
  <c r="X203" i="1"/>
  <c r="Y203" i="1" s="1"/>
  <c r="X204" i="1"/>
  <c r="Y204" i="1" s="1"/>
  <c r="X205" i="1"/>
  <c r="Y205" i="1" s="1"/>
  <c r="X206" i="1"/>
  <c r="Y206" i="1" s="1"/>
  <c r="X207" i="1"/>
  <c r="Y207" i="1" s="1"/>
  <c r="X208" i="1"/>
  <c r="Y208" i="1" s="1"/>
  <c r="X209" i="1"/>
  <c r="Y209" i="1" s="1"/>
  <c r="X210" i="1"/>
  <c r="Y210" i="1" s="1"/>
  <c r="X211" i="1"/>
  <c r="Y211" i="1" s="1"/>
  <c r="X212" i="1"/>
  <c r="Y212" i="1" s="1"/>
  <c r="X213" i="1"/>
  <c r="Y213" i="1" s="1"/>
  <c r="X214" i="1"/>
  <c r="Y214" i="1" s="1"/>
  <c r="X215" i="1"/>
  <c r="Y215" i="1" s="1"/>
  <c r="X216" i="1"/>
  <c r="Y216" i="1" s="1"/>
  <c r="X217" i="1"/>
  <c r="Y217" i="1" s="1"/>
  <c r="X218" i="1"/>
  <c r="Y218" i="1" s="1"/>
  <c r="X219" i="1"/>
  <c r="Y219" i="1" s="1"/>
  <c r="X220" i="1"/>
  <c r="Y220" i="1" s="1"/>
  <c r="X221" i="1"/>
  <c r="Y221" i="1" s="1"/>
  <c r="X222" i="1"/>
  <c r="Y222" i="1" s="1"/>
  <c r="X223" i="1"/>
  <c r="Y223" i="1" s="1"/>
  <c r="X224" i="1"/>
  <c r="Y224" i="1" s="1"/>
  <c r="X225" i="1"/>
  <c r="Y225" i="1" s="1"/>
  <c r="X226" i="1"/>
  <c r="Y226" i="1" s="1"/>
  <c r="X227" i="1"/>
  <c r="Y227" i="1" s="1"/>
  <c r="X228" i="1"/>
  <c r="Y228" i="1" s="1"/>
  <c r="X229" i="1"/>
  <c r="Y229" i="1" s="1"/>
  <c r="X230" i="1"/>
  <c r="Y230" i="1" s="1"/>
  <c r="X231" i="1"/>
  <c r="Y231" i="1" s="1"/>
  <c r="X232" i="1"/>
  <c r="Y232" i="1" s="1"/>
  <c r="X233" i="1"/>
  <c r="Y233" i="1" s="1"/>
  <c r="X234" i="1"/>
  <c r="Y234" i="1" s="1"/>
  <c r="X235" i="1"/>
  <c r="Y235" i="1" s="1"/>
  <c r="X236" i="1"/>
  <c r="Y236" i="1" s="1"/>
  <c r="X237" i="1"/>
  <c r="Y237" i="1" s="1"/>
  <c r="X238" i="1"/>
  <c r="Y238" i="1" s="1"/>
  <c r="X239" i="1"/>
  <c r="Y239" i="1" s="1"/>
  <c r="X240" i="1"/>
  <c r="Y240" i="1" s="1"/>
  <c r="X241" i="1"/>
  <c r="Y241" i="1" s="1"/>
  <c r="X242" i="1"/>
  <c r="Y242" i="1" s="1"/>
  <c r="X243" i="1"/>
  <c r="Y243" i="1" s="1"/>
  <c r="X244" i="1"/>
  <c r="Y244" i="1" s="1"/>
  <c r="X245" i="1"/>
  <c r="Y245" i="1" s="1"/>
  <c r="X246" i="1"/>
  <c r="Y246" i="1" s="1"/>
  <c r="X247" i="1"/>
  <c r="Y247" i="1" s="1"/>
  <c r="X248" i="1"/>
  <c r="Y248" i="1" s="1"/>
  <c r="X249" i="1"/>
  <c r="Y249" i="1" s="1"/>
  <c r="X250" i="1"/>
  <c r="Y250" i="1" s="1"/>
  <c r="X251" i="1"/>
  <c r="Y251" i="1" s="1"/>
  <c r="X252" i="1"/>
  <c r="Y252" i="1" s="1"/>
  <c r="X253" i="1"/>
  <c r="Y253" i="1" s="1"/>
  <c r="X254" i="1"/>
  <c r="Y254" i="1" s="1"/>
  <c r="X255" i="1"/>
  <c r="Y255" i="1" s="1"/>
  <c r="X256" i="1"/>
  <c r="Y256" i="1" s="1"/>
  <c r="X257" i="1"/>
  <c r="Y257" i="1" s="1"/>
  <c r="X258" i="1"/>
  <c r="Y258" i="1" s="1"/>
  <c r="X259" i="1"/>
  <c r="Y259" i="1" s="1"/>
  <c r="X260" i="1"/>
  <c r="Y260" i="1" s="1"/>
  <c r="X261" i="1"/>
  <c r="Y261" i="1" s="1"/>
  <c r="X262" i="1"/>
  <c r="Y262" i="1" s="1"/>
  <c r="X263" i="1"/>
  <c r="Y263" i="1" s="1"/>
  <c r="X264" i="1"/>
  <c r="Y264" i="1" s="1"/>
  <c r="X265" i="1"/>
  <c r="Y265" i="1" s="1"/>
  <c r="X266" i="1"/>
  <c r="Y266" i="1" s="1"/>
  <c r="X267" i="1"/>
  <c r="Y267" i="1" s="1"/>
  <c r="X268" i="1"/>
  <c r="Y268" i="1" s="1"/>
  <c r="X269" i="1"/>
  <c r="Y269" i="1" s="1"/>
  <c r="X270" i="1"/>
  <c r="Y270" i="1" s="1"/>
  <c r="X271" i="1"/>
  <c r="Y271" i="1" s="1"/>
  <c r="X272" i="1"/>
  <c r="Y272" i="1" s="1"/>
  <c r="X273" i="1"/>
  <c r="Y273" i="1" s="1"/>
  <c r="X274" i="1"/>
  <c r="Y274" i="1" s="1"/>
  <c r="X275" i="1"/>
  <c r="Y275" i="1" s="1"/>
  <c r="X276" i="1"/>
  <c r="Y276" i="1" s="1"/>
  <c r="X277" i="1"/>
  <c r="Y277" i="1" s="1"/>
  <c r="X278" i="1"/>
  <c r="Y278" i="1" s="1"/>
  <c r="X279" i="1"/>
  <c r="Y279" i="1" s="1"/>
  <c r="X280" i="1"/>
  <c r="Y280" i="1" s="1"/>
  <c r="X281" i="1"/>
  <c r="Y281" i="1" s="1"/>
  <c r="X282" i="1"/>
  <c r="Y282" i="1" s="1"/>
  <c r="X283" i="1"/>
  <c r="Y283" i="1" s="1"/>
  <c r="X284" i="1"/>
  <c r="Y284" i="1" s="1"/>
  <c r="X285" i="1"/>
  <c r="Y285" i="1" s="1"/>
  <c r="X286" i="1"/>
  <c r="Y286" i="1" s="1"/>
  <c r="X287" i="1"/>
  <c r="Y287" i="1" s="1"/>
  <c r="X288" i="1"/>
  <c r="Y288" i="1" s="1"/>
  <c r="X289" i="1"/>
  <c r="Y289" i="1" s="1"/>
  <c r="X290" i="1"/>
  <c r="Y290" i="1" s="1"/>
  <c r="X291" i="1"/>
  <c r="Y291" i="1" s="1"/>
  <c r="X292" i="1"/>
  <c r="Y292" i="1" s="1"/>
  <c r="X293" i="1"/>
  <c r="Y293" i="1" s="1"/>
  <c r="X294" i="1"/>
  <c r="Y294" i="1" s="1"/>
  <c r="X295" i="1"/>
  <c r="Y295" i="1" s="1"/>
  <c r="X296" i="1"/>
  <c r="Y296" i="1" s="1"/>
  <c r="X297" i="1"/>
  <c r="Y297" i="1" s="1"/>
  <c r="X298" i="1"/>
  <c r="Y298" i="1" s="1"/>
  <c r="X299" i="1"/>
  <c r="Y299" i="1" s="1"/>
  <c r="X300" i="1"/>
  <c r="Y300" i="1" s="1"/>
  <c r="X301" i="1"/>
  <c r="Y301" i="1" s="1"/>
  <c r="X302" i="1"/>
  <c r="Y302" i="1" s="1"/>
  <c r="X303" i="1"/>
  <c r="Y303" i="1" s="1"/>
  <c r="X304" i="1"/>
  <c r="Y304" i="1" s="1"/>
  <c r="X305" i="1"/>
  <c r="Y305" i="1" s="1"/>
  <c r="X306" i="1"/>
  <c r="Y306" i="1" s="1"/>
  <c r="X307" i="1"/>
  <c r="Y307" i="1" s="1"/>
  <c r="X308" i="1"/>
  <c r="Y308" i="1" s="1"/>
  <c r="X309" i="1"/>
  <c r="Y309" i="1" s="1"/>
  <c r="X310" i="1"/>
  <c r="Y310" i="1" s="1"/>
  <c r="X311" i="1"/>
  <c r="Y311" i="1" s="1"/>
  <c r="X312" i="1"/>
  <c r="Y312" i="1" s="1"/>
  <c r="X313" i="1"/>
  <c r="Y313" i="1" s="1"/>
  <c r="X314" i="1"/>
  <c r="Y314" i="1" s="1"/>
  <c r="X315" i="1"/>
  <c r="Y315" i="1" s="1"/>
  <c r="X316" i="1"/>
  <c r="Y316" i="1" s="1"/>
  <c r="X317" i="1"/>
  <c r="Y317" i="1" s="1"/>
  <c r="X318" i="1"/>
  <c r="Y318" i="1" s="1"/>
  <c r="X319" i="1"/>
  <c r="Y319" i="1" s="1"/>
  <c r="X320" i="1"/>
  <c r="Y320" i="1" s="1"/>
  <c r="X321" i="1"/>
  <c r="Y321" i="1" s="1"/>
  <c r="X322" i="1"/>
  <c r="Y322" i="1" s="1"/>
  <c r="X323" i="1"/>
  <c r="Y323" i="1" s="1"/>
  <c r="X324" i="1"/>
  <c r="Y324" i="1" s="1"/>
  <c r="X325" i="1"/>
  <c r="Y325" i="1" s="1"/>
  <c r="X326" i="1"/>
  <c r="Y326" i="1" s="1"/>
  <c r="X327" i="1"/>
  <c r="Y327" i="1" s="1"/>
  <c r="X328" i="1"/>
  <c r="Y328" i="1" s="1"/>
  <c r="X329" i="1"/>
  <c r="Y329" i="1" s="1"/>
  <c r="X330" i="1"/>
  <c r="Y330" i="1" s="1"/>
  <c r="X331" i="1"/>
  <c r="Y331" i="1" s="1"/>
  <c r="X332" i="1"/>
  <c r="Y332" i="1" s="1"/>
  <c r="X333" i="1"/>
  <c r="Y333" i="1" s="1"/>
  <c r="X334" i="1"/>
  <c r="Y334" i="1" s="1"/>
  <c r="X335" i="1"/>
  <c r="Y335" i="1" s="1"/>
  <c r="X336" i="1"/>
  <c r="Y336" i="1" s="1"/>
  <c r="X337" i="1"/>
  <c r="Y337" i="1" s="1"/>
  <c r="X338" i="1"/>
  <c r="Y338" i="1" s="1"/>
  <c r="X339" i="1"/>
  <c r="Y339" i="1" s="1"/>
  <c r="X340" i="1"/>
  <c r="Y340" i="1" s="1"/>
  <c r="X341" i="1"/>
  <c r="Y341" i="1" s="1"/>
  <c r="X342" i="1"/>
  <c r="Y342" i="1" s="1"/>
  <c r="X343" i="1"/>
  <c r="Y343" i="1" s="1"/>
  <c r="X344" i="1"/>
  <c r="Y344" i="1" s="1"/>
  <c r="X345" i="1"/>
  <c r="Y345" i="1" s="1"/>
  <c r="X346" i="1"/>
  <c r="Y346" i="1" s="1"/>
  <c r="X347" i="1"/>
  <c r="Y347" i="1" s="1"/>
  <c r="X348" i="1"/>
  <c r="Y348" i="1" s="1"/>
  <c r="X349" i="1"/>
  <c r="Y349" i="1" s="1"/>
  <c r="X350" i="1"/>
  <c r="Y350" i="1" s="1"/>
  <c r="X351" i="1"/>
  <c r="Y351" i="1" s="1"/>
  <c r="X352" i="1"/>
  <c r="Y352" i="1" s="1"/>
  <c r="X353" i="1"/>
  <c r="Y353" i="1" s="1"/>
  <c r="X354" i="1"/>
  <c r="Y354" i="1" s="1"/>
  <c r="X355" i="1"/>
  <c r="Y355" i="1" s="1"/>
  <c r="X356" i="1"/>
  <c r="Y356" i="1" s="1"/>
  <c r="X357" i="1"/>
  <c r="Y357" i="1" s="1"/>
  <c r="X358" i="1"/>
  <c r="Y358" i="1" s="1"/>
  <c r="X359" i="1"/>
  <c r="Y359" i="1" s="1"/>
  <c r="X360" i="1"/>
  <c r="Y360" i="1" s="1"/>
  <c r="X361" i="1"/>
  <c r="Y361" i="1" s="1"/>
  <c r="X362" i="1"/>
  <c r="Y362" i="1" s="1"/>
  <c r="X363" i="1"/>
  <c r="Y363" i="1" s="1"/>
  <c r="X364" i="1"/>
  <c r="Y364" i="1" s="1"/>
  <c r="X365" i="1"/>
  <c r="Y365" i="1" s="1"/>
  <c r="X366" i="1"/>
  <c r="Y366" i="1" s="1"/>
  <c r="X367" i="1"/>
  <c r="Y367" i="1" s="1"/>
  <c r="X368" i="1"/>
  <c r="Y368" i="1" s="1"/>
  <c r="X369" i="1"/>
  <c r="Y369" i="1" s="1"/>
  <c r="X370" i="1"/>
  <c r="Y370" i="1" s="1"/>
  <c r="X371" i="1"/>
  <c r="Y371" i="1" s="1"/>
  <c r="X372" i="1"/>
  <c r="Y372" i="1" s="1"/>
  <c r="X373" i="1"/>
  <c r="Y373" i="1" s="1"/>
  <c r="X374" i="1"/>
  <c r="Y374" i="1" s="1"/>
  <c r="X375" i="1"/>
  <c r="Y375" i="1" s="1"/>
  <c r="X376" i="1"/>
  <c r="Y376" i="1" s="1"/>
  <c r="X377" i="1"/>
  <c r="Y377" i="1" s="1"/>
  <c r="X378" i="1"/>
  <c r="Y378" i="1" s="1"/>
  <c r="X379" i="1"/>
  <c r="Y379" i="1" s="1"/>
  <c r="X380" i="1"/>
  <c r="Y380" i="1" s="1"/>
  <c r="X381" i="1"/>
  <c r="Y381" i="1" s="1"/>
  <c r="X382" i="1"/>
  <c r="Y382" i="1" s="1"/>
  <c r="X383" i="1"/>
  <c r="Y383" i="1" s="1"/>
  <c r="X384" i="1"/>
  <c r="Y384" i="1" s="1"/>
  <c r="X385" i="1"/>
  <c r="Y385" i="1" s="1"/>
  <c r="X386" i="1"/>
  <c r="Y386" i="1" s="1"/>
  <c r="X387" i="1"/>
  <c r="Y387" i="1" s="1"/>
  <c r="X388" i="1"/>
  <c r="Y388" i="1" s="1"/>
  <c r="X389" i="1"/>
  <c r="Y389" i="1" s="1"/>
  <c r="X390" i="1"/>
  <c r="Y390" i="1" s="1"/>
  <c r="X391" i="1"/>
  <c r="Y391" i="1" s="1"/>
  <c r="X392" i="1"/>
  <c r="Y392" i="1" s="1"/>
  <c r="X393" i="1"/>
  <c r="Y393" i="1" s="1"/>
  <c r="X394" i="1"/>
  <c r="Y394" i="1" s="1"/>
  <c r="X395" i="1"/>
  <c r="Y395" i="1" s="1"/>
  <c r="X396" i="1"/>
  <c r="Y396" i="1" s="1"/>
  <c r="X397" i="1"/>
  <c r="Y397" i="1" s="1"/>
  <c r="X398" i="1"/>
  <c r="Y398" i="1" s="1"/>
  <c r="X399" i="1"/>
  <c r="Y399" i="1" s="1"/>
  <c r="X400" i="1"/>
  <c r="Y400" i="1" s="1"/>
  <c r="X401" i="1"/>
  <c r="Y401" i="1" s="1"/>
  <c r="X402" i="1"/>
  <c r="Y402" i="1" s="1"/>
  <c r="X403" i="1"/>
  <c r="Y403" i="1" s="1"/>
  <c r="X404" i="1"/>
  <c r="Y404" i="1" s="1"/>
  <c r="X405" i="1"/>
  <c r="Y405" i="1" s="1"/>
  <c r="X406" i="1"/>
  <c r="Y406" i="1" s="1"/>
  <c r="X407" i="1"/>
  <c r="Y407" i="1" s="1"/>
  <c r="X408" i="1"/>
  <c r="Y408" i="1" s="1"/>
  <c r="X409" i="1"/>
  <c r="Y409" i="1" s="1"/>
  <c r="X410" i="1"/>
  <c r="Y410" i="1" s="1"/>
  <c r="X411" i="1"/>
  <c r="Y411" i="1" s="1"/>
  <c r="X412" i="1"/>
  <c r="Y412" i="1" s="1"/>
  <c r="X413" i="1"/>
  <c r="Y413" i="1" s="1"/>
  <c r="X414" i="1"/>
  <c r="Y414" i="1" s="1"/>
  <c r="X415" i="1"/>
  <c r="Y415" i="1" s="1"/>
  <c r="X416" i="1"/>
  <c r="Y416" i="1" s="1"/>
  <c r="X417" i="1"/>
  <c r="Y417" i="1" s="1"/>
  <c r="X418" i="1"/>
  <c r="Y418" i="1" s="1"/>
  <c r="X419" i="1"/>
  <c r="Y419" i="1" s="1"/>
  <c r="X420" i="1"/>
  <c r="Y420" i="1" s="1"/>
  <c r="X421" i="1"/>
  <c r="Y421" i="1" s="1"/>
  <c r="X422" i="1"/>
  <c r="Y422" i="1" s="1"/>
  <c r="X423" i="1"/>
  <c r="Y423" i="1" s="1"/>
  <c r="X424" i="1"/>
  <c r="Y424" i="1" s="1"/>
  <c r="X425" i="1"/>
  <c r="Y425" i="1" s="1"/>
  <c r="X426" i="1"/>
  <c r="Y426" i="1" s="1"/>
  <c r="X427" i="1"/>
  <c r="Y427" i="1" s="1"/>
  <c r="X428" i="1"/>
  <c r="Y428" i="1" s="1"/>
  <c r="X429" i="1"/>
  <c r="Y429" i="1" s="1"/>
  <c r="X430" i="1"/>
  <c r="Y430" i="1" s="1"/>
  <c r="X431" i="1"/>
  <c r="Y431" i="1" s="1"/>
  <c r="X432" i="1"/>
  <c r="Y432" i="1" s="1"/>
  <c r="X433" i="1"/>
  <c r="Y433" i="1" s="1"/>
  <c r="X434" i="1"/>
  <c r="Y434" i="1" s="1"/>
  <c r="X435" i="1"/>
  <c r="Y435" i="1" s="1"/>
  <c r="X436" i="1"/>
  <c r="Y436" i="1" s="1"/>
  <c r="X437" i="1"/>
  <c r="Y437" i="1" s="1"/>
  <c r="X438" i="1"/>
  <c r="Y438" i="1" s="1"/>
  <c r="X439" i="1"/>
  <c r="Y439" i="1" s="1"/>
  <c r="X440" i="1"/>
  <c r="Y440" i="1" s="1"/>
  <c r="X441" i="1"/>
  <c r="Y441" i="1" s="1"/>
  <c r="X442" i="1"/>
  <c r="Y442" i="1" s="1"/>
  <c r="X443" i="1"/>
  <c r="Y443" i="1" s="1"/>
  <c r="X444" i="1"/>
  <c r="Y444" i="1" s="1"/>
  <c r="X445" i="1"/>
  <c r="Y445" i="1" s="1"/>
  <c r="X446" i="1"/>
  <c r="Y446" i="1" s="1"/>
  <c r="X447" i="1"/>
  <c r="Y447" i="1" s="1"/>
  <c r="X448" i="1"/>
  <c r="Y448" i="1" s="1"/>
  <c r="X449" i="1"/>
  <c r="Y449" i="1" s="1"/>
  <c r="X450" i="1"/>
  <c r="Y450" i="1" s="1"/>
  <c r="X451" i="1"/>
  <c r="Y451" i="1" s="1"/>
  <c r="X452" i="1"/>
  <c r="Y452" i="1" s="1"/>
  <c r="X453" i="1"/>
  <c r="Y453" i="1" s="1"/>
  <c r="X454" i="1"/>
  <c r="Y454" i="1" s="1"/>
  <c r="X455" i="1"/>
  <c r="Y455" i="1" s="1"/>
  <c r="X456" i="1"/>
  <c r="Y456" i="1" s="1"/>
  <c r="X457" i="1"/>
  <c r="Y457" i="1" s="1"/>
  <c r="X458" i="1"/>
  <c r="Y458" i="1" s="1"/>
  <c r="X459" i="1"/>
  <c r="Y459" i="1" s="1"/>
  <c r="X460" i="1"/>
  <c r="Y460" i="1" s="1"/>
  <c r="X461" i="1"/>
  <c r="Y461" i="1" s="1"/>
  <c r="X462" i="1"/>
  <c r="Y462" i="1" s="1"/>
  <c r="X463" i="1"/>
  <c r="Y463" i="1" s="1"/>
  <c r="X464" i="1"/>
  <c r="Y464" i="1" s="1"/>
  <c r="X465" i="1"/>
  <c r="Y465" i="1" s="1"/>
  <c r="X466" i="1"/>
  <c r="Y466" i="1" s="1"/>
  <c r="X467" i="1"/>
  <c r="Y467" i="1" s="1"/>
  <c r="X468" i="1"/>
  <c r="Y468" i="1" s="1"/>
  <c r="X469" i="1"/>
  <c r="Y469" i="1" s="1"/>
  <c r="X470" i="1"/>
  <c r="Y470" i="1" s="1"/>
  <c r="X471" i="1"/>
  <c r="Y471" i="1" s="1"/>
  <c r="X472" i="1"/>
  <c r="Y472" i="1" s="1"/>
  <c r="X473" i="1"/>
  <c r="Y473" i="1" s="1"/>
  <c r="X474" i="1"/>
  <c r="Y474" i="1" s="1"/>
  <c r="X475" i="1"/>
  <c r="Y475" i="1" s="1"/>
  <c r="X476" i="1"/>
  <c r="Y476" i="1" s="1"/>
  <c r="X477" i="1"/>
  <c r="Y477" i="1" s="1"/>
  <c r="X478" i="1"/>
  <c r="Y478" i="1" s="1"/>
  <c r="X479" i="1"/>
  <c r="Y479" i="1" s="1"/>
  <c r="X480" i="1"/>
  <c r="Y480" i="1" s="1"/>
  <c r="X481" i="1"/>
  <c r="Y481" i="1" s="1"/>
  <c r="X482" i="1"/>
  <c r="Y482" i="1" s="1"/>
  <c r="X483" i="1"/>
  <c r="Y483" i="1" s="1"/>
  <c r="X484" i="1"/>
  <c r="Y484" i="1" s="1"/>
  <c r="X485" i="1"/>
  <c r="Y485" i="1" s="1"/>
  <c r="X486" i="1"/>
  <c r="Y486" i="1" s="1"/>
  <c r="X487" i="1"/>
  <c r="Y487" i="1" s="1"/>
  <c r="X488" i="1"/>
  <c r="Y488" i="1" s="1"/>
  <c r="X489" i="1"/>
  <c r="Y489" i="1" s="1"/>
  <c r="X490" i="1"/>
  <c r="Y490" i="1" s="1"/>
  <c r="X491" i="1"/>
  <c r="Y491" i="1" s="1"/>
  <c r="X492" i="1"/>
  <c r="Y492" i="1" s="1"/>
  <c r="X493" i="1"/>
  <c r="Y493" i="1" s="1"/>
  <c r="X494" i="1"/>
  <c r="Y494" i="1" s="1"/>
  <c r="X495" i="1"/>
  <c r="Y495" i="1" s="1"/>
  <c r="X496" i="1"/>
  <c r="Y496" i="1" s="1"/>
  <c r="X497" i="1"/>
  <c r="Y497" i="1" s="1"/>
  <c r="X498" i="1"/>
  <c r="Y498" i="1" s="1"/>
  <c r="X499" i="1"/>
  <c r="Y499" i="1" s="1"/>
  <c r="X500" i="1"/>
  <c r="Y500" i="1" s="1"/>
  <c r="X501" i="1"/>
  <c r="Y501" i="1" s="1"/>
  <c r="X502" i="1"/>
  <c r="Y502" i="1" s="1"/>
  <c r="X503" i="1"/>
  <c r="Y503" i="1" s="1"/>
  <c r="X504" i="1"/>
  <c r="Y504" i="1" s="1"/>
  <c r="X505" i="1"/>
  <c r="Y505" i="1" s="1"/>
  <c r="X506" i="1"/>
  <c r="Y506" i="1" s="1"/>
  <c r="X507" i="1"/>
  <c r="Y507" i="1" s="1"/>
  <c r="X508" i="1"/>
  <c r="Y508" i="1" s="1"/>
  <c r="X509" i="1"/>
  <c r="Y509" i="1" s="1"/>
  <c r="X510" i="1"/>
  <c r="Y510" i="1" s="1"/>
  <c r="X511" i="1"/>
  <c r="Y511" i="1" s="1"/>
  <c r="X512" i="1"/>
  <c r="Y512" i="1" s="1"/>
  <c r="X513" i="1"/>
  <c r="Y513" i="1" s="1"/>
  <c r="X514" i="1"/>
  <c r="Y514" i="1" s="1"/>
  <c r="X515" i="1"/>
  <c r="Y515" i="1" s="1"/>
  <c r="X516" i="1"/>
  <c r="Y516" i="1" s="1"/>
  <c r="X517" i="1"/>
  <c r="Y517" i="1" s="1"/>
  <c r="X518" i="1"/>
  <c r="Y518" i="1" s="1"/>
  <c r="X519" i="1"/>
  <c r="Y519" i="1" s="1"/>
  <c r="X520" i="1"/>
  <c r="Y520" i="1" s="1"/>
  <c r="X521" i="1"/>
  <c r="Y521" i="1" s="1"/>
  <c r="X522" i="1"/>
  <c r="Y522" i="1" s="1"/>
  <c r="X523" i="1"/>
  <c r="Y523" i="1" s="1"/>
  <c r="X524" i="1"/>
  <c r="Y524" i="1" s="1"/>
  <c r="X525" i="1"/>
  <c r="Y525" i="1" s="1"/>
  <c r="X526" i="1"/>
  <c r="Y526" i="1" s="1"/>
  <c r="X527" i="1"/>
  <c r="Y527" i="1" s="1"/>
  <c r="X528" i="1"/>
  <c r="Y528" i="1" s="1"/>
  <c r="X529" i="1"/>
  <c r="Y529" i="1" s="1"/>
  <c r="X530" i="1"/>
  <c r="Y530" i="1" s="1"/>
  <c r="X531" i="1"/>
  <c r="Y531" i="1" s="1"/>
  <c r="X532" i="1"/>
  <c r="Y532" i="1" s="1"/>
  <c r="X533" i="1"/>
  <c r="Y533" i="1" s="1"/>
  <c r="X534" i="1"/>
  <c r="Y534" i="1" s="1"/>
  <c r="X535" i="1"/>
  <c r="Y535" i="1" s="1"/>
  <c r="X536" i="1"/>
  <c r="Y536" i="1" s="1"/>
  <c r="X537" i="1"/>
  <c r="Y537" i="1" s="1"/>
  <c r="X538" i="1"/>
  <c r="Y538" i="1" s="1"/>
  <c r="X539" i="1"/>
  <c r="Y539" i="1" s="1"/>
  <c r="X540" i="1"/>
  <c r="Y540" i="1" s="1"/>
  <c r="X541" i="1"/>
  <c r="Y541" i="1" s="1"/>
  <c r="X542" i="1"/>
  <c r="Y542" i="1" s="1"/>
  <c r="X543" i="1"/>
  <c r="Y543" i="1" s="1"/>
  <c r="X544" i="1"/>
  <c r="Y544" i="1" s="1"/>
  <c r="X545" i="1"/>
  <c r="Y545" i="1" s="1"/>
  <c r="X546" i="1"/>
  <c r="Y546" i="1" s="1"/>
  <c r="X547" i="1"/>
  <c r="Y547" i="1" s="1"/>
  <c r="X548" i="1"/>
  <c r="Y548" i="1" s="1"/>
  <c r="X549" i="1"/>
  <c r="Y549" i="1" s="1"/>
  <c r="X550" i="1"/>
  <c r="Y550" i="1" s="1"/>
  <c r="X551" i="1"/>
  <c r="Y551" i="1" s="1"/>
  <c r="X552" i="1"/>
  <c r="Y552" i="1" s="1"/>
  <c r="X553" i="1"/>
  <c r="Y553" i="1" s="1"/>
  <c r="X554" i="1"/>
  <c r="Y554" i="1" s="1"/>
  <c r="X555" i="1"/>
  <c r="Y555" i="1" s="1"/>
  <c r="X556" i="1"/>
  <c r="Y556" i="1" s="1"/>
  <c r="X557" i="1"/>
  <c r="Y557" i="1" s="1"/>
  <c r="X558" i="1"/>
  <c r="Y558" i="1" s="1"/>
  <c r="X559" i="1"/>
  <c r="Y559" i="1" s="1"/>
  <c r="X560" i="1"/>
  <c r="Y560" i="1" s="1"/>
  <c r="X561" i="1"/>
  <c r="Y561" i="1" s="1"/>
  <c r="X562" i="1"/>
  <c r="Y562" i="1" s="1"/>
  <c r="X563" i="1"/>
  <c r="Y563" i="1" s="1"/>
  <c r="X564" i="1"/>
  <c r="Y564" i="1" s="1"/>
  <c r="X565" i="1"/>
  <c r="Y565" i="1" s="1"/>
  <c r="X566" i="1"/>
  <c r="Y566" i="1" s="1"/>
  <c r="X567" i="1"/>
  <c r="Y567" i="1" s="1"/>
  <c r="X568" i="1"/>
  <c r="Y568" i="1" s="1"/>
  <c r="X569" i="1"/>
  <c r="Y569" i="1" s="1"/>
  <c r="X570" i="1"/>
  <c r="Y570" i="1" s="1"/>
  <c r="X571" i="1"/>
  <c r="Y571" i="1" s="1"/>
  <c r="X572" i="1"/>
  <c r="Y572" i="1" s="1"/>
  <c r="X573" i="1"/>
  <c r="Y573" i="1" s="1"/>
  <c r="X574" i="1"/>
  <c r="Y574" i="1" s="1"/>
  <c r="X575" i="1"/>
  <c r="Y575" i="1" s="1"/>
  <c r="X576" i="1"/>
  <c r="Y576" i="1" s="1"/>
  <c r="X577" i="1"/>
  <c r="Y577" i="1" s="1"/>
  <c r="X578" i="1"/>
  <c r="Y578" i="1" s="1"/>
  <c r="X579" i="1"/>
  <c r="Y579" i="1" s="1"/>
  <c r="X580" i="1"/>
  <c r="Y580" i="1" s="1"/>
  <c r="X581" i="1"/>
  <c r="Y581" i="1" s="1"/>
  <c r="X582" i="1"/>
  <c r="Y582" i="1" s="1"/>
  <c r="X583" i="1"/>
  <c r="Y583" i="1" s="1"/>
  <c r="X584" i="1"/>
  <c r="Y584" i="1" s="1"/>
  <c r="X585" i="1"/>
  <c r="Y585" i="1" s="1"/>
  <c r="X586" i="1"/>
  <c r="Y586" i="1" s="1"/>
  <c r="X587" i="1"/>
  <c r="Y587" i="1" s="1"/>
  <c r="X588" i="1"/>
  <c r="Y588" i="1" s="1"/>
  <c r="X589" i="1"/>
  <c r="Y589" i="1" s="1"/>
  <c r="X590" i="1"/>
  <c r="Y590" i="1" s="1"/>
  <c r="X591" i="1"/>
  <c r="Y591" i="1" s="1"/>
  <c r="X592" i="1"/>
  <c r="Y592" i="1" s="1"/>
  <c r="X593" i="1"/>
  <c r="Y593" i="1" s="1"/>
  <c r="X594" i="1"/>
  <c r="Y594" i="1" s="1"/>
  <c r="X595" i="1"/>
  <c r="Y595" i="1" s="1"/>
  <c r="X596" i="1"/>
  <c r="Y596" i="1" s="1"/>
  <c r="X597" i="1"/>
  <c r="Y597" i="1" s="1"/>
  <c r="X598" i="1"/>
  <c r="Y598" i="1" s="1"/>
  <c r="X599" i="1"/>
  <c r="Y599" i="1" s="1"/>
  <c r="X600" i="1"/>
  <c r="Y600" i="1" s="1"/>
  <c r="X601" i="1"/>
  <c r="Y601" i="1" s="1"/>
  <c r="X602" i="1"/>
  <c r="Y602" i="1" s="1"/>
  <c r="X603" i="1"/>
  <c r="Y603" i="1" s="1"/>
  <c r="X604" i="1"/>
  <c r="Y604" i="1" s="1"/>
  <c r="X605" i="1"/>
  <c r="Y605" i="1" s="1"/>
  <c r="X606" i="1"/>
  <c r="Y606" i="1" s="1"/>
  <c r="X607" i="1"/>
  <c r="Y607" i="1" s="1"/>
  <c r="X608" i="1"/>
  <c r="Y608" i="1" s="1"/>
  <c r="X609" i="1"/>
  <c r="Y609" i="1" s="1"/>
  <c r="X610" i="1"/>
  <c r="Y610" i="1" s="1"/>
  <c r="X611" i="1"/>
  <c r="Y611" i="1" s="1"/>
  <c r="X612" i="1"/>
  <c r="Y612" i="1" s="1"/>
  <c r="X613" i="1"/>
  <c r="Y613" i="1" s="1"/>
  <c r="X614" i="1"/>
  <c r="Y614" i="1" s="1"/>
  <c r="X615" i="1"/>
  <c r="Y615" i="1" s="1"/>
  <c r="X616" i="1"/>
  <c r="Y616" i="1" s="1"/>
  <c r="X617" i="1"/>
  <c r="Y617" i="1" s="1"/>
  <c r="X618" i="1"/>
  <c r="Y618" i="1" s="1"/>
  <c r="X619" i="1"/>
  <c r="Y619" i="1" s="1"/>
  <c r="X620" i="1"/>
  <c r="Y620" i="1" s="1"/>
  <c r="X621" i="1"/>
  <c r="Y621" i="1" s="1"/>
  <c r="X622" i="1"/>
  <c r="Y622" i="1" s="1"/>
  <c r="X623" i="1"/>
  <c r="Y623" i="1" s="1"/>
  <c r="X624" i="1"/>
  <c r="Y624" i="1" s="1"/>
  <c r="X625" i="1"/>
  <c r="Y625" i="1" s="1"/>
  <c r="X626" i="1"/>
  <c r="Y626" i="1" s="1"/>
  <c r="X627" i="1"/>
  <c r="Y627" i="1" s="1"/>
  <c r="X628" i="1"/>
  <c r="Y628" i="1" s="1"/>
  <c r="X629" i="1"/>
  <c r="Y629" i="1" s="1"/>
  <c r="X630" i="1"/>
  <c r="Y630" i="1" s="1"/>
  <c r="X631" i="1"/>
  <c r="Y631" i="1" s="1"/>
  <c r="X632" i="1"/>
  <c r="Y632" i="1" s="1"/>
  <c r="X633" i="1"/>
  <c r="Y633" i="1" s="1"/>
  <c r="X634" i="1"/>
  <c r="Y634" i="1" s="1"/>
  <c r="X635" i="1"/>
  <c r="Y635" i="1" s="1"/>
  <c r="X636" i="1"/>
  <c r="Y636" i="1" s="1"/>
  <c r="X637" i="1"/>
  <c r="Y637" i="1" s="1"/>
  <c r="X638" i="1"/>
  <c r="Y638" i="1" s="1"/>
  <c r="X639" i="1"/>
  <c r="Y639" i="1" s="1"/>
  <c r="X640" i="1"/>
  <c r="Y640" i="1" s="1"/>
  <c r="X641" i="1"/>
  <c r="Y641" i="1" s="1"/>
  <c r="X642" i="1"/>
  <c r="Y642" i="1" s="1"/>
  <c r="X643" i="1"/>
  <c r="Y643" i="1" s="1"/>
  <c r="X644" i="1"/>
  <c r="Y644" i="1" s="1"/>
  <c r="X645" i="1"/>
  <c r="Y645" i="1" s="1"/>
  <c r="X646" i="1"/>
  <c r="Y646" i="1" s="1"/>
  <c r="X647" i="1"/>
  <c r="Y647" i="1" s="1"/>
  <c r="X648" i="1"/>
  <c r="Y648" i="1" s="1"/>
  <c r="X649" i="1"/>
  <c r="Y649" i="1" s="1"/>
  <c r="X650" i="1"/>
  <c r="Y650" i="1" s="1"/>
  <c r="X651" i="1"/>
  <c r="Y651" i="1" s="1"/>
  <c r="X652" i="1"/>
  <c r="Y652" i="1" s="1"/>
  <c r="X653" i="1"/>
  <c r="Y653" i="1" s="1"/>
  <c r="X654" i="1"/>
  <c r="Y654" i="1" s="1"/>
  <c r="X655" i="1"/>
  <c r="Y655" i="1" s="1"/>
  <c r="X656" i="1"/>
  <c r="Y656" i="1" s="1"/>
  <c r="X657" i="1"/>
  <c r="Y657" i="1" s="1"/>
  <c r="X658" i="1"/>
  <c r="Y658" i="1" s="1"/>
  <c r="X659" i="1"/>
  <c r="Y659" i="1" s="1"/>
  <c r="X660" i="1"/>
  <c r="Y660" i="1" s="1"/>
  <c r="X661" i="1"/>
  <c r="Y661" i="1" s="1"/>
  <c r="X662" i="1"/>
  <c r="Y662" i="1" s="1"/>
  <c r="X663" i="1"/>
  <c r="Y663" i="1" s="1"/>
  <c r="X664" i="1"/>
  <c r="Y664" i="1" s="1"/>
  <c r="X665" i="1"/>
  <c r="Y665" i="1" s="1"/>
  <c r="X666" i="1"/>
  <c r="Y666" i="1" s="1"/>
  <c r="X667" i="1"/>
  <c r="Y667" i="1" s="1"/>
  <c r="X668" i="1"/>
  <c r="Y668" i="1" s="1"/>
  <c r="X669" i="1"/>
  <c r="Y669" i="1" s="1"/>
  <c r="X670" i="1"/>
  <c r="Y670" i="1" s="1"/>
  <c r="X671" i="1"/>
  <c r="Y671" i="1" s="1"/>
  <c r="X672" i="1"/>
  <c r="Y672" i="1" s="1"/>
  <c r="X673" i="1"/>
  <c r="Y673" i="1" s="1"/>
  <c r="X674" i="1"/>
  <c r="Y674" i="1" s="1"/>
  <c r="X675" i="1"/>
  <c r="Y675" i="1" s="1"/>
  <c r="X676" i="1"/>
  <c r="Y676" i="1" s="1"/>
  <c r="X677" i="1"/>
  <c r="Y677" i="1" s="1"/>
  <c r="X678" i="1"/>
  <c r="Y678" i="1" s="1"/>
  <c r="X679" i="1"/>
  <c r="Y679" i="1" s="1"/>
  <c r="X680" i="1"/>
  <c r="Y680" i="1" s="1"/>
  <c r="X681" i="1"/>
  <c r="Y681" i="1" s="1"/>
  <c r="X682" i="1"/>
  <c r="Y682" i="1" s="1"/>
  <c r="X683" i="1"/>
  <c r="Y683" i="1" s="1"/>
  <c r="X684" i="1"/>
  <c r="Y684" i="1" s="1"/>
  <c r="X685" i="1"/>
  <c r="Y685" i="1" s="1"/>
  <c r="X686" i="1"/>
  <c r="Y686" i="1" s="1"/>
  <c r="X687" i="1"/>
  <c r="Y687" i="1" s="1"/>
  <c r="X688" i="1"/>
  <c r="Y688" i="1" s="1"/>
  <c r="X689" i="1"/>
  <c r="Y689" i="1" s="1"/>
  <c r="X690" i="1"/>
  <c r="Y690" i="1" s="1"/>
  <c r="X691" i="1"/>
  <c r="Y691" i="1" s="1"/>
  <c r="X692" i="1"/>
  <c r="Y692" i="1" s="1"/>
  <c r="X693" i="1"/>
  <c r="Y693" i="1" s="1"/>
  <c r="X694" i="1"/>
  <c r="Y694" i="1" s="1"/>
  <c r="X695" i="1"/>
  <c r="Y695" i="1" s="1"/>
  <c r="X696" i="1"/>
  <c r="Y696" i="1" s="1"/>
  <c r="X697" i="1"/>
  <c r="Y697" i="1" s="1"/>
  <c r="X698" i="1"/>
  <c r="Y698" i="1" s="1"/>
  <c r="X699" i="1"/>
  <c r="Y699" i="1" s="1"/>
  <c r="X700" i="1"/>
  <c r="Y700" i="1" s="1"/>
  <c r="X701" i="1"/>
  <c r="Y701" i="1" s="1"/>
  <c r="X702" i="1"/>
  <c r="Y702" i="1" s="1"/>
  <c r="X703" i="1"/>
  <c r="Y703" i="1" s="1"/>
  <c r="X704" i="1"/>
  <c r="Y704" i="1" s="1"/>
  <c r="X705" i="1"/>
  <c r="Y705" i="1" s="1"/>
  <c r="X706" i="1"/>
  <c r="Y706" i="1" s="1"/>
  <c r="X707" i="1"/>
  <c r="Y707" i="1" s="1"/>
  <c r="X708" i="1"/>
  <c r="Y708" i="1" s="1"/>
  <c r="X709" i="1"/>
  <c r="Y709" i="1" s="1"/>
  <c r="X710" i="1"/>
  <c r="Y710" i="1" s="1"/>
  <c r="X711" i="1"/>
  <c r="Y711" i="1" s="1"/>
  <c r="X712" i="1"/>
  <c r="Y712" i="1" s="1"/>
  <c r="X713" i="1"/>
  <c r="Y713" i="1" s="1"/>
  <c r="X714" i="1"/>
  <c r="Y714" i="1" s="1"/>
  <c r="X715" i="1"/>
  <c r="Y715" i="1" s="1"/>
  <c r="X716" i="1"/>
  <c r="Y716" i="1" s="1"/>
  <c r="X717" i="1"/>
  <c r="Y717" i="1" s="1"/>
  <c r="X718" i="1"/>
  <c r="Y718" i="1" s="1"/>
  <c r="X719" i="1"/>
  <c r="Y719" i="1" s="1"/>
  <c r="X720" i="1"/>
  <c r="Y720" i="1" s="1"/>
  <c r="X721" i="1"/>
  <c r="Y721" i="1" s="1"/>
  <c r="X722" i="1"/>
  <c r="Y722" i="1" s="1"/>
  <c r="X723" i="1"/>
  <c r="Y723" i="1" s="1"/>
  <c r="X724" i="1"/>
  <c r="Y724" i="1" s="1"/>
  <c r="X725" i="1"/>
  <c r="Y725" i="1" s="1"/>
  <c r="X726" i="1"/>
  <c r="Y726" i="1" s="1"/>
  <c r="X727" i="1"/>
  <c r="Y727" i="1" s="1"/>
  <c r="X728" i="1"/>
  <c r="Y728" i="1" s="1"/>
  <c r="X729" i="1"/>
  <c r="Y729" i="1" s="1"/>
  <c r="X730" i="1"/>
  <c r="Y730" i="1" s="1"/>
  <c r="X731" i="1"/>
  <c r="Y731" i="1" s="1"/>
  <c r="X732" i="1"/>
  <c r="Y732" i="1" s="1"/>
  <c r="X733" i="1"/>
  <c r="Y733" i="1" s="1"/>
  <c r="X734" i="1"/>
  <c r="Y734" i="1" s="1"/>
  <c r="X735" i="1"/>
  <c r="Y735" i="1" s="1"/>
  <c r="X736" i="1"/>
  <c r="Y736" i="1" s="1"/>
  <c r="X737" i="1"/>
  <c r="Y737" i="1" s="1"/>
  <c r="X738" i="1"/>
  <c r="Y738" i="1" s="1"/>
  <c r="X739" i="1"/>
  <c r="Y739" i="1" s="1"/>
  <c r="X740" i="1"/>
  <c r="Y740" i="1" s="1"/>
  <c r="X741" i="1"/>
  <c r="Y741" i="1" s="1"/>
  <c r="X742" i="1"/>
  <c r="Y742" i="1" s="1"/>
  <c r="X743" i="1"/>
  <c r="Y743" i="1" s="1"/>
  <c r="X744" i="1"/>
  <c r="Y744" i="1" s="1"/>
  <c r="X745" i="1"/>
  <c r="Y745" i="1" s="1"/>
  <c r="X746" i="1"/>
  <c r="Y746" i="1" s="1"/>
  <c r="X747" i="1"/>
  <c r="Y747" i="1" s="1"/>
  <c r="X748" i="1"/>
  <c r="Y748" i="1" s="1"/>
  <c r="X749" i="1"/>
  <c r="Y749" i="1" s="1"/>
  <c r="X750" i="1"/>
  <c r="Y750" i="1" s="1"/>
  <c r="X751" i="1"/>
  <c r="Y751" i="1" s="1"/>
  <c r="X752" i="1"/>
  <c r="Y752" i="1" s="1"/>
  <c r="X753" i="1"/>
  <c r="Y753" i="1" s="1"/>
  <c r="X754" i="1"/>
  <c r="Y754" i="1" s="1"/>
  <c r="X755" i="1"/>
  <c r="Y755" i="1" s="1"/>
  <c r="X756" i="1"/>
  <c r="Y756" i="1" s="1"/>
  <c r="X757" i="1"/>
  <c r="Y757" i="1" s="1"/>
  <c r="X758" i="1"/>
  <c r="Y758" i="1" s="1"/>
  <c r="X759" i="1"/>
  <c r="Y759" i="1" s="1"/>
  <c r="X760" i="1"/>
  <c r="Y760" i="1" s="1"/>
  <c r="X761" i="1"/>
  <c r="Y761" i="1" s="1"/>
  <c r="X762" i="1"/>
  <c r="Y762" i="1" s="1"/>
  <c r="X763" i="1"/>
  <c r="Y763" i="1" s="1"/>
  <c r="X764" i="1"/>
  <c r="Y764" i="1" s="1"/>
  <c r="X765" i="1"/>
  <c r="Y765" i="1" s="1"/>
  <c r="X766" i="1"/>
  <c r="Y766" i="1" s="1"/>
  <c r="X767" i="1"/>
  <c r="Y767" i="1" s="1"/>
  <c r="X768" i="1"/>
  <c r="Y768" i="1" s="1"/>
  <c r="X769" i="1"/>
  <c r="Y769" i="1" s="1"/>
  <c r="X770" i="1"/>
  <c r="Y770" i="1" s="1"/>
  <c r="X771" i="1"/>
  <c r="Y771" i="1" s="1"/>
  <c r="X772" i="1"/>
  <c r="Y772" i="1" s="1"/>
  <c r="X773" i="1"/>
  <c r="Y773" i="1" s="1"/>
  <c r="X774" i="1"/>
  <c r="Y774" i="1" s="1"/>
  <c r="X775" i="1"/>
  <c r="Y775" i="1" s="1"/>
  <c r="X776" i="1"/>
  <c r="Y776" i="1" s="1"/>
  <c r="X777" i="1"/>
  <c r="Y777" i="1" s="1"/>
  <c r="X778" i="1"/>
  <c r="Y778" i="1" s="1"/>
  <c r="X779" i="1"/>
  <c r="Y779" i="1" s="1"/>
  <c r="X780" i="1"/>
  <c r="Y780" i="1" s="1"/>
  <c r="X781" i="1"/>
  <c r="Y781" i="1" s="1"/>
  <c r="X782" i="1"/>
  <c r="Y782" i="1" s="1"/>
  <c r="X783" i="1"/>
  <c r="Y783" i="1" s="1"/>
  <c r="X784" i="1"/>
  <c r="Y784" i="1" s="1"/>
  <c r="X785" i="1"/>
  <c r="Y785" i="1" s="1"/>
  <c r="X786" i="1"/>
  <c r="Y786" i="1" s="1"/>
  <c r="X787" i="1"/>
  <c r="Y787" i="1" s="1"/>
  <c r="X788" i="1"/>
  <c r="Y788" i="1" s="1"/>
  <c r="X789" i="1"/>
  <c r="Y789" i="1" s="1"/>
  <c r="X790" i="1"/>
  <c r="Y790" i="1" s="1"/>
  <c r="X791" i="1"/>
  <c r="Y791" i="1" s="1"/>
  <c r="X792" i="1"/>
  <c r="Y792" i="1" s="1"/>
  <c r="X793" i="1"/>
  <c r="Y793" i="1" s="1"/>
  <c r="X794" i="1"/>
  <c r="Y794" i="1" s="1"/>
  <c r="X795" i="1"/>
  <c r="Y795" i="1" s="1"/>
  <c r="X796" i="1"/>
  <c r="Y796" i="1" s="1"/>
  <c r="X797" i="1"/>
  <c r="Y797" i="1" s="1"/>
  <c r="X798" i="1"/>
  <c r="Y798" i="1" s="1"/>
  <c r="X799" i="1"/>
  <c r="Y799" i="1" s="1"/>
  <c r="X800" i="1"/>
  <c r="Y800" i="1" s="1"/>
  <c r="X801" i="1"/>
  <c r="Y801" i="1" s="1"/>
  <c r="X802" i="1"/>
  <c r="Y802" i="1" s="1"/>
  <c r="X803" i="1"/>
  <c r="Y803" i="1" s="1"/>
  <c r="X804" i="1"/>
  <c r="Y804" i="1" s="1"/>
  <c r="X805" i="1"/>
  <c r="Y805" i="1" s="1"/>
  <c r="X806" i="1"/>
  <c r="Y806" i="1" s="1"/>
  <c r="X807" i="1"/>
  <c r="Y807" i="1" s="1"/>
  <c r="X808" i="1"/>
  <c r="Y808" i="1" s="1"/>
  <c r="X809" i="1"/>
  <c r="Y809" i="1" s="1"/>
  <c r="X810" i="1"/>
  <c r="Y810" i="1" s="1"/>
  <c r="X811" i="1"/>
  <c r="Y811" i="1" s="1"/>
  <c r="X812" i="1"/>
  <c r="Y812" i="1" s="1"/>
  <c r="X813" i="1"/>
  <c r="Y813" i="1" s="1"/>
  <c r="X814" i="1"/>
  <c r="Y814" i="1" s="1"/>
  <c r="X815" i="1"/>
  <c r="Y815" i="1" s="1"/>
  <c r="X816" i="1"/>
  <c r="Y816" i="1" s="1"/>
  <c r="X817" i="1"/>
  <c r="Y817" i="1" s="1"/>
  <c r="X818" i="1"/>
  <c r="Y818" i="1" s="1"/>
  <c r="X819" i="1"/>
  <c r="Y819" i="1" s="1"/>
  <c r="X820" i="1"/>
  <c r="Y820" i="1" s="1"/>
  <c r="X821" i="1"/>
  <c r="Y821" i="1" s="1"/>
  <c r="X822" i="1"/>
  <c r="Y822" i="1" s="1"/>
  <c r="X823" i="1"/>
  <c r="Y823" i="1" s="1"/>
  <c r="X824" i="1"/>
  <c r="Y824" i="1" s="1"/>
  <c r="X825" i="1"/>
  <c r="Y825" i="1" s="1"/>
  <c r="X826" i="1"/>
  <c r="Y826" i="1" s="1"/>
  <c r="X827" i="1"/>
  <c r="Y827" i="1" s="1"/>
  <c r="X828" i="1"/>
  <c r="Y828" i="1" s="1"/>
  <c r="X829" i="1"/>
  <c r="Y829" i="1" s="1"/>
  <c r="X830" i="1"/>
  <c r="Y830" i="1" s="1"/>
  <c r="X831" i="1"/>
  <c r="Y831" i="1" s="1"/>
  <c r="X832" i="1"/>
  <c r="Y832" i="1" s="1"/>
  <c r="X833" i="1"/>
  <c r="Y833" i="1" s="1"/>
  <c r="X834" i="1"/>
  <c r="Y834" i="1" s="1"/>
  <c r="X835" i="1"/>
  <c r="Y835" i="1" s="1"/>
  <c r="X836" i="1"/>
  <c r="Y836" i="1" s="1"/>
  <c r="X837" i="1"/>
  <c r="Y837" i="1" s="1"/>
  <c r="X838" i="1"/>
  <c r="Y838" i="1" s="1"/>
  <c r="X839" i="1"/>
  <c r="Y839" i="1" s="1"/>
  <c r="X840" i="1"/>
  <c r="Y840" i="1" s="1"/>
  <c r="X841" i="1"/>
  <c r="Y841" i="1" s="1"/>
  <c r="X842" i="1"/>
  <c r="Y842" i="1" s="1"/>
  <c r="X843" i="1"/>
  <c r="Y843" i="1" s="1"/>
  <c r="X844" i="1"/>
  <c r="Y844" i="1" s="1"/>
  <c r="X845" i="1"/>
  <c r="Y845" i="1" s="1"/>
  <c r="X846" i="1"/>
  <c r="Y846" i="1" s="1"/>
  <c r="X847" i="1"/>
  <c r="Y847" i="1" s="1"/>
  <c r="X848" i="1"/>
  <c r="Y848" i="1" s="1"/>
  <c r="X849" i="1"/>
  <c r="Y849" i="1" s="1"/>
  <c r="X850" i="1"/>
  <c r="Y850" i="1" s="1"/>
  <c r="X851" i="1"/>
  <c r="Y851" i="1" s="1"/>
  <c r="X852" i="1"/>
  <c r="Y852" i="1" s="1"/>
  <c r="X853" i="1"/>
  <c r="Y853" i="1" s="1"/>
  <c r="X854" i="1"/>
  <c r="Y854" i="1" s="1"/>
  <c r="X855" i="1"/>
  <c r="Y855" i="1" s="1"/>
  <c r="X856" i="1"/>
  <c r="Y856" i="1" s="1"/>
  <c r="X857" i="1"/>
  <c r="Y857" i="1" s="1"/>
  <c r="X858" i="1"/>
  <c r="Y858" i="1" s="1"/>
  <c r="X859" i="1"/>
  <c r="Y859" i="1" s="1"/>
  <c r="X860" i="1"/>
  <c r="Y860" i="1" s="1"/>
  <c r="X861" i="1"/>
  <c r="Y861" i="1" s="1"/>
  <c r="X862" i="1"/>
  <c r="Y862" i="1" s="1"/>
  <c r="X863" i="1"/>
  <c r="Y863" i="1" s="1"/>
  <c r="X864" i="1"/>
  <c r="Y864" i="1" s="1"/>
  <c r="X865" i="1"/>
  <c r="Y865" i="1" s="1"/>
  <c r="X866" i="1"/>
  <c r="Y866" i="1" s="1"/>
  <c r="X867" i="1"/>
  <c r="Y867" i="1" s="1"/>
  <c r="X868" i="1"/>
  <c r="Y868" i="1" s="1"/>
  <c r="X869" i="1"/>
  <c r="Y869" i="1" s="1"/>
  <c r="X870" i="1"/>
  <c r="Y870" i="1" s="1"/>
  <c r="X871" i="1"/>
  <c r="Y871" i="1" s="1"/>
  <c r="X872" i="1"/>
  <c r="Y872" i="1" s="1"/>
  <c r="X873" i="1"/>
  <c r="Y873" i="1" s="1"/>
  <c r="X874" i="1"/>
  <c r="Y874" i="1" s="1"/>
  <c r="X875" i="1"/>
  <c r="Y875" i="1" s="1"/>
  <c r="X876" i="1"/>
  <c r="Y876" i="1" s="1"/>
  <c r="X877" i="1"/>
  <c r="Y877" i="1" s="1"/>
  <c r="X878" i="1"/>
  <c r="Y878" i="1" s="1"/>
  <c r="X879" i="1"/>
  <c r="Y879" i="1" s="1"/>
  <c r="X880" i="1"/>
  <c r="Y880" i="1" s="1"/>
  <c r="X881" i="1"/>
  <c r="Y881" i="1" s="1"/>
  <c r="X882" i="1"/>
  <c r="Y882" i="1" s="1"/>
  <c r="X883" i="1"/>
  <c r="Y883" i="1" s="1"/>
  <c r="X884" i="1"/>
  <c r="Y884" i="1" s="1"/>
  <c r="X885" i="1"/>
  <c r="Y885" i="1" s="1"/>
  <c r="X886" i="1"/>
  <c r="Y886" i="1" s="1"/>
  <c r="X887" i="1"/>
  <c r="Y887" i="1" s="1"/>
  <c r="X888" i="1"/>
  <c r="Y888" i="1" s="1"/>
  <c r="X889" i="1"/>
  <c r="Y889" i="1" s="1"/>
  <c r="X890" i="1"/>
  <c r="Y890" i="1" s="1"/>
  <c r="X891" i="1"/>
  <c r="Y891" i="1" s="1"/>
  <c r="X892" i="1"/>
  <c r="Y892" i="1" s="1"/>
  <c r="X893" i="1"/>
  <c r="Y893" i="1" s="1"/>
  <c r="X894" i="1"/>
  <c r="Y894" i="1" s="1"/>
  <c r="X895" i="1"/>
  <c r="Y895" i="1" s="1"/>
  <c r="X896" i="1"/>
  <c r="Y896" i="1" s="1"/>
  <c r="X897" i="1"/>
  <c r="Y897" i="1" s="1"/>
  <c r="X898" i="1"/>
  <c r="Y898" i="1" s="1"/>
  <c r="X899" i="1"/>
  <c r="Y899" i="1" s="1"/>
  <c r="X900" i="1"/>
  <c r="Y900" i="1" s="1"/>
  <c r="X901" i="1"/>
  <c r="Y901" i="1" s="1"/>
  <c r="X902" i="1"/>
  <c r="Y902" i="1" s="1"/>
  <c r="X903" i="1"/>
  <c r="Y903" i="1" s="1"/>
  <c r="X904" i="1"/>
  <c r="Y904" i="1" s="1"/>
  <c r="X905" i="1"/>
  <c r="Y905" i="1" s="1"/>
  <c r="X906" i="1"/>
  <c r="Y906" i="1" s="1"/>
  <c r="X907" i="1"/>
  <c r="Y907" i="1" s="1"/>
  <c r="X908" i="1"/>
  <c r="Y908" i="1" s="1"/>
  <c r="X909" i="1"/>
  <c r="Y909" i="1" s="1"/>
  <c r="X910" i="1"/>
  <c r="Y910" i="1" s="1"/>
  <c r="X911" i="1"/>
  <c r="Y911" i="1" s="1"/>
  <c r="X912" i="1"/>
  <c r="Y912" i="1" s="1"/>
  <c r="X913" i="1"/>
  <c r="Y913" i="1" s="1"/>
  <c r="X914" i="1"/>
  <c r="Y914" i="1" s="1"/>
  <c r="X915" i="1"/>
  <c r="Y915" i="1" s="1"/>
  <c r="X916" i="1"/>
  <c r="Y916" i="1" s="1"/>
  <c r="X917" i="1"/>
  <c r="Y917" i="1" s="1"/>
  <c r="X918" i="1"/>
  <c r="Y918" i="1" s="1"/>
  <c r="X919" i="1"/>
  <c r="Y919" i="1" s="1"/>
  <c r="X920" i="1"/>
  <c r="Y920" i="1" s="1"/>
  <c r="X921" i="1"/>
  <c r="Y921" i="1" s="1"/>
  <c r="X922" i="1"/>
  <c r="Y922" i="1" s="1"/>
  <c r="X923" i="1"/>
  <c r="Y923" i="1" s="1"/>
  <c r="X924" i="1"/>
  <c r="Y924" i="1" s="1"/>
  <c r="X925" i="1"/>
  <c r="Y925" i="1" s="1"/>
  <c r="X926" i="1"/>
  <c r="Y926" i="1" s="1"/>
  <c r="X927" i="1"/>
  <c r="Y927" i="1" s="1"/>
  <c r="X928" i="1"/>
  <c r="Y928" i="1" s="1"/>
  <c r="X929" i="1"/>
  <c r="Y929" i="1" s="1"/>
  <c r="X930" i="1"/>
  <c r="Y930" i="1" s="1"/>
  <c r="X931" i="1"/>
  <c r="Y931" i="1" s="1"/>
  <c r="X932" i="1"/>
  <c r="Y932" i="1" s="1"/>
  <c r="X933" i="1"/>
  <c r="Y933" i="1" s="1"/>
  <c r="X934" i="1"/>
  <c r="Y934" i="1" s="1"/>
  <c r="X935" i="1"/>
  <c r="Y935" i="1" s="1"/>
  <c r="X936" i="1"/>
  <c r="Y936" i="1" s="1"/>
  <c r="X937" i="1"/>
  <c r="Y937" i="1" s="1"/>
  <c r="X938" i="1"/>
  <c r="Y938" i="1" s="1"/>
  <c r="X939" i="1"/>
  <c r="Y939" i="1" s="1"/>
  <c r="X940" i="1"/>
  <c r="Y940" i="1" s="1"/>
  <c r="X941" i="1"/>
  <c r="Y941" i="1" s="1"/>
  <c r="X942" i="1"/>
  <c r="Y942" i="1" s="1"/>
  <c r="X943" i="1"/>
  <c r="Y943" i="1" s="1"/>
  <c r="X944" i="1"/>
  <c r="Y944" i="1" s="1"/>
  <c r="X945" i="1"/>
  <c r="Y945" i="1" s="1"/>
  <c r="X946" i="1"/>
  <c r="Y946" i="1" s="1"/>
  <c r="X947" i="1"/>
  <c r="Y947" i="1" s="1"/>
  <c r="X948" i="1"/>
  <c r="Y948" i="1" s="1"/>
  <c r="X949" i="1"/>
  <c r="Y949" i="1" s="1"/>
  <c r="X950" i="1"/>
  <c r="Y950" i="1" s="1"/>
  <c r="X951" i="1"/>
  <c r="Y951" i="1" s="1"/>
  <c r="X952" i="1"/>
  <c r="Y952" i="1" s="1"/>
  <c r="X953" i="1"/>
  <c r="Y953" i="1" s="1"/>
  <c r="X954" i="1"/>
  <c r="Y954" i="1" s="1"/>
  <c r="X955" i="1"/>
  <c r="Y955" i="1" s="1"/>
  <c r="X956" i="1"/>
  <c r="Y956" i="1" s="1"/>
  <c r="X957" i="1"/>
  <c r="Y957" i="1" s="1"/>
  <c r="X958" i="1"/>
  <c r="Y958" i="1" s="1"/>
  <c r="X959" i="1"/>
  <c r="Y959" i="1" s="1"/>
  <c r="X960" i="1"/>
  <c r="Y960" i="1" s="1"/>
  <c r="X961" i="1"/>
  <c r="Y961" i="1" s="1"/>
  <c r="X962" i="1"/>
  <c r="Y962" i="1" s="1"/>
  <c r="X963" i="1"/>
  <c r="Y963" i="1" s="1"/>
  <c r="X964" i="1"/>
  <c r="Y964" i="1" s="1"/>
  <c r="X965" i="1"/>
  <c r="Y965" i="1" s="1"/>
  <c r="X966" i="1"/>
  <c r="Y966" i="1" s="1"/>
  <c r="X967" i="1"/>
  <c r="Y967" i="1" s="1"/>
  <c r="X968" i="1"/>
  <c r="Y968" i="1" s="1"/>
  <c r="X969" i="1"/>
  <c r="Y969" i="1" s="1"/>
  <c r="X970" i="1"/>
  <c r="Y970" i="1" s="1"/>
  <c r="X971" i="1"/>
  <c r="Y971" i="1" s="1"/>
  <c r="X972" i="1"/>
  <c r="Y972" i="1" s="1"/>
  <c r="X973" i="1"/>
  <c r="Y973" i="1" s="1"/>
  <c r="X974" i="1"/>
  <c r="Y974" i="1" s="1"/>
  <c r="X975" i="1"/>
  <c r="Y975" i="1" s="1"/>
  <c r="X976" i="1"/>
  <c r="Y976" i="1" s="1"/>
  <c r="X977" i="1"/>
  <c r="Y977" i="1" s="1"/>
  <c r="X978" i="1"/>
  <c r="Y978" i="1" s="1"/>
  <c r="X979" i="1"/>
  <c r="Y979" i="1" s="1"/>
  <c r="X980" i="1"/>
  <c r="Y980" i="1" s="1"/>
  <c r="X981" i="1"/>
  <c r="Y981" i="1" s="1"/>
  <c r="X982" i="1"/>
  <c r="Y982" i="1" s="1"/>
  <c r="X983" i="1"/>
  <c r="Y983" i="1" s="1"/>
  <c r="X984" i="1"/>
  <c r="Y984" i="1" s="1"/>
  <c r="X985" i="1"/>
  <c r="Y985" i="1" s="1"/>
  <c r="X986" i="1"/>
  <c r="Y986" i="1" s="1"/>
  <c r="X987" i="1"/>
  <c r="Y987" i="1" s="1"/>
  <c r="X988" i="1"/>
  <c r="Y988" i="1" s="1"/>
  <c r="X989" i="1"/>
  <c r="Y989" i="1" s="1"/>
  <c r="X990" i="1"/>
  <c r="Y990" i="1" s="1"/>
  <c r="X991" i="1"/>
  <c r="Y991" i="1" s="1"/>
  <c r="X992" i="1"/>
  <c r="Y992" i="1" s="1"/>
  <c r="X993" i="1"/>
  <c r="Y993" i="1" s="1"/>
  <c r="X994" i="1"/>
  <c r="Y994" i="1" s="1"/>
  <c r="X995" i="1"/>
  <c r="Y995" i="1" s="1"/>
  <c r="X996" i="1"/>
  <c r="Y996" i="1" s="1"/>
  <c r="X997" i="1"/>
  <c r="Y997" i="1" s="1"/>
  <c r="X998" i="1"/>
  <c r="Y998" i="1" s="1"/>
  <c r="X999" i="1"/>
  <c r="Y999" i="1" s="1"/>
  <c r="X1000" i="1"/>
  <c r="Y1000" i="1" s="1"/>
  <c r="X1001" i="1"/>
  <c r="Y1001" i="1" s="1"/>
  <c r="X2" i="1"/>
  <c r="Y2" i="1" s="1"/>
  <c r="W1002" i="1"/>
  <c r="V1002" i="1"/>
  <c r="U1002" i="1" l="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2"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3" i="1"/>
  <c r="S4" i="1"/>
  <c r="S5" i="1"/>
  <c r="S6" i="1"/>
  <c r="S7" i="1"/>
  <c r="S8" i="1"/>
  <c r="S9" i="1"/>
  <c r="S10"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2" i="1"/>
  <c r="Q7" i="1"/>
  <c r="Q8" i="1"/>
  <c r="Q9" i="1"/>
  <c r="Q10" i="1"/>
  <c r="Q12" i="1"/>
  <c r="Q13" i="1"/>
  <c r="Q14" i="1"/>
  <c r="Q15" i="1"/>
  <c r="Q17" i="1"/>
  <c r="Q18" i="1"/>
  <c r="Q19" i="1"/>
  <c r="Q21" i="1"/>
  <c r="Q22" i="1"/>
  <c r="Q23" i="1"/>
  <c r="Q24" i="1"/>
  <c r="Q25" i="1"/>
  <c r="Q26" i="1"/>
  <c r="Q27" i="1"/>
  <c r="Q28" i="1"/>
  <c r="Q29" i="1"/>
  <c r="Q30" i="1"/>
  <c r="Q31" i="1"/>
  <c r="Q32" i="1"/>
  <c r="Q33" i="1"/>
  <c r="Q36" i="1"/>
  <c r="Q38" i="1"/>
  <c r="Q40" i="1"/>
  <c r="Q41" i="1"/>
  <c r="Q42" i="1"/>
  <c r="Q43" i="1"/>
  <c r="Q44" i="1"/>
  <c r="Q45" i="1"/>
  <c r="Q46" i="1"/>
  <c r="Q47" i="1"/>
  <c r="Q50" i="1"/>
  <c r="Q51" i="1"/>
  <c r="Q52" i="1"/>
  <c r="Q53" i="1"/>
  <c r="Q54" i="1"/>
  <c r="Q55" i="1"/>
  <c r="Q56" i="1"/>
  <c r="Q57" i="1"/>
  <c r="Q58" i="1"/>
  <c r="Q59" i="1"/>
  <c r="Q60" i="1"/>
  <c r="Q61" i="1"/>
  <c r="Q62" i="1"/>
  <c r="Q63" i="1"/>
  <c r="Q64" i="1"/>
  <c r="Q66" i="1"/>
  <c r="Q67" i="1"/>
  <c r="Q68" i="1"/>
  <c r="Q71" i="1"/>
  <c r="Q72" i="1"/>
  <c r="Q74" i="1"/>
  <c r="Q75" i="1"/>
  <c r="Q76" i="1"/>
  <c r="Q77" i="1"/>
  <c r="Q78" i="1"/>
  <c r="Q80" i="1"/>
  <c r="Q81" i="1"/>
  <c r="Q82" i="1"/>
  <c r="Q83" i="1"/>
  <c r="Q84" i="1"/>
  <c r="Q85" i="1"/>
  <c r="Q86" i="1"/>
  <c r="Q87" i="1"/>
  <c r="Q88" i="1"/>
  <c r="Q89" i="1"/>
  <c r="Q90" i="1"/>
  <c r="Q91" i="1"/>
  <c r="Q94" i="1"/>
  <c r="Q95" i="1"/>
  <c r="Q96" i="1"/>
  <c r="Q97" i="1"/>
  <c r="Q98" i="1"/>
  <c r="Q99" i="1"/>
  <c r="Q100" i="1"/>
  <c r="Q101" i="1"/>
  <c r="Q102" i="1"/>
  <c r="Q103" i="1"/>
  <c r="Q104" i="1"/>
  <c r="Q105" i="1"/>
  <c r="Q106" i="1"/>
  <c r="Q107" i="1"/>
  <c r="Q108" i="1"/>
  <c r="Q109" i="1"/>
  <c r="Q111" i="1"/>
  <c r="Q112" i="1"/>
  <c r="Q114" i="1"/>
  <c r="Q115" i="1"/>
  <c r="Q116" i="1"/>
  <c r="Q117" i="1"/>
  <c r="Q119" i="1"/>
  <c r="Q120" i="1"/>
  <c r="Q121" i="1"/>
  <c r="Q122" i="1"/>
  <c r="Q123" i="1"/>
  <c r="Q124" i="1"/>
  <c r="Q126" i="1"/>
  <c r="Q127" i="1"/>
  <c r="Q128" i="1"/>
  <c r="Q129" i="1"/>
  <c r="Q130" i="1"/>
  <c r="Q131" i="1"/>
  <c r="Q132" i="1"/>
  <c r="Q134" i="1"/>
  <c r="Q135" i="1"/>
  <c r="Q136" i="1"/>
  <c r="Q137" i="1"/>
  <c r="Q138" i="1"/>
  <c r="Q139" i="1"/>
  <c r="Q140" i="1"/>
  <c r="Q141" i="1"/>
  <c r="Q142" i="1"/>
  <c r="Q143" i="1"/>
  <c r="Q144" i="1"/>
  <c r="Q147" i="1"/>
  <c r="Q148" i="1"/>
  <c r="Q149" i="1"/>
  <c r="Q150" i="1"/>
  <c r="Q151" i="1"/>
  <c r="Q152" i="1"/>
  <c r="Q155"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2" i="1"/>
  <c r="Q193" i="1"/>
  <c r="Q194" i="1"/>
  <c r="Q195" i="1"/>
  <c r="Q196" i="1"/>
  <c r="Q197" i="1"/>
  <c r="Q199" i="1"/>
  <c r="Q200" i="1"/>
  <c r="Q201" i="1"/>
  <c r="Q203" i="1"/>
  <c r="Q204" i="1"/>
  <c r="Q205" i="1"/>
  <c r="Q206" i="1"/>
  <c r="Q207" i="1"/>
  <c r="Q208" i="1"/>
  <c r="Q209" i="1"/>
  <c r="Q211" i="1"/>
  <c r="Q212" i="1"/>
  <c r="Q213" i="1"/>
  <c r="Q214" i="1"/>
  <c r="Q215" i="1"/>
  <c r="Q217" i="1"/>
  <c r="Q218" i="1"/>
  <c r="Q219" i="1"/>
  <c r="Q221" i="1"/>
  <c r="Q222" i="1"/>
  <c r="Q224" i="1"/>
  <c r="Q225" i="1"/>
  <c r="Q226" i="1"/>
  <c r="Q227" i="1"/>
  <c r="Q228" i="1"/>
  <c r="Q229" i="1"/>
  <c r="Q230" i="1"/>
  <c r="Q231" i="1"/>
  <c r="Q233" i="1"/>
  <c r="Q234" i="1"/>
  <c r="Q235" i="1"/>
  <c r="Q236" i="1"/>
  <c r="Q237" i="1"/>
  <c r="Q238" i="1"/>
  <c r="Q239" i="1"/>
  <c r="Q240" i="1"/>
  <c r="Q241" i="1"/>
  <c r="Q242" i="1"/>
  <c r="Q243" i="1"/>
  <c r="Q245" i="1"/>
  <c r="Q246" i="1"/>
  <c r="Q248" i="1"/>
  <c r="Q249" i="1"/>
  <c r="Q250" i="1"/>
  <c r="Q251" i="1"/>
  <c r="Q254" i="1"/>
  <c r="Q255" i="1"/>
  <c r="Q256" i="1"/>
  <c r="Q258" i="1"/>
  <c r="Q259" i="1"/>
  <c r="Q260" i="1"/>
  <c r="Q262" i="1"/>
  <c r="Q264" i="1"/>
  <c r="Q265" i="1"/>
  <c r="Q266" i="1"/>
  <c r="Q267" i="1"/>
  <c r="Q268" i="1"/>
  <c r="Q269" i="1"/>
  <c r="Q270" i="1"/>
  <c r="Q271" i="1"/>
  <c r="Q274" i="1"/>
  <c r="Q275" i="1"/>
  <c r="Q276" i="1"/>
  <c r="Q277" i="1"/>
  <c r="Q278" i="1"/>
  <c r="Q279" i="1"/>
  <c r="Q281" i="1"/>
  <c r="Q282" i="1"/>
  <c r="Q283" i="1"/>
  <c r="Q285" i="1"/>
  <c r="Q286" i="1"/>
  <c r="Q287" i="1"/>
  <c r="Q288" i="1"/>
  <c r="Q289" i="1"/>
  <c r="Q291" i="1"/>
  <c r="Q292" i="1"/>
  <c r="Q295" i="1"/>
  <c r="Q296" i="1"/>
  <c r="Q297" i="1"/>
  <c r="Q298" i="1"/>
  <c r="Q300" i="1"/>
  <c r="Q301" i="1"/>
  <c r="Q302" i="1"/>
  <c r="Q304" i="1"/>
  <c r="Q305" i="1"/>
  <c r="Q306" i="1"/>
  <c r="Q307" i="1"/>
  <c r="Q308" i="1"/>
  <c r="Q309" i="1"/>
  <c r="Q310" i="1"/>
  <c r="Q311" i="1"/>
  <c r="Q312" i="1"/>
  <c r="Q313" i="1"/>
  <c r="Q314" i="1"/>
  <c r="Q315" i="1"/>
  <c r="Q316" i="1"/>
  <c r="Q317" i="1"/>
  <c r="Q318" i="1"/>
  <c r="Q320" i="1"/>
  <c r="Q321" i="1"/>
  <c r="Q322" i="1"/>
  <c r="Q324" i="1"/>
  <c r="Q326" i="1"/>
  <c r="Q328" i="1"/>
  <c r="Q329" i="1"/>
  <c r="Q330" i="1"/>
  <c r="Q331" i="1"/>
  <c r="Q332" i="1"/>
  <c r="Q333" i="1"/>
  <c r="Q334" i="1"/>
  <c r="Q336" i="1"/>
  <c r="Q337" i="1"/>
  <c r="Q338" i="1"/>
  <c r="Q340" i="1"/>
  <c r="Q344" i="1"/>
  <c r="Q345" i="1"/>
  <c r="Q347" i="1"/>
  <c r="Q348" i="1"/>
  <c r="Q349" i="1"/>
  <c r="Q350" i="1"/>
  <c r="Q351" i="1"/>
  <c r="Q352" i="1"/>
  <c r="Q353" i="1"/>
  <c r="Q354" i="1"/>
  <c r="Q356" i="1"/>
  <c r="Q357" i="1"/>
  <c r="Q358" i="1"/>
  <c r="Q359" i="1"/>
  <c r="Q360" i="1"/>
  <c r="Q361" i="1"/>
  <c r="Q362" i="1"/>
  <c r="Q364" i="1"/>
  <c r="Q365" i="1"/>
  <c r="Q367" i="1"/>
  <c r="Q371" i="1"/>
  <c r="Q372" i="1"/>
  <c r="Q373" i="1"/>
  <c r="Q374" i="1"/>
  <c r="Q375" i="1"/>
  <c r="Q377" i="1"/>
  <c r="Q378" i="1"/>
  <c r="Q379" i="1"/>
  <c r="Q380" i="1"/>
  <c r="Q381" i="1"/>
  <c r="Q382" i="1"/>
  <c r="Q383" i="1"/>
  <c r="Q384" i="1"/>
  <c r="Q385" i="1"/>
  <c r="Q386" i="1"/>
  <c r="Q387" i="1"/>
  <c r="Q388" i="1"/>
  <c r="Q389" i="1"/>
  <c r="Q390" i="1"/>
  <c r="Q392" i="1"/>
  <c r="Q393" i="1"/>
  <c r="Q394" i="1"/>
  <c r="Q395" i="1"/>
  <c r="Q397" i="1"/>
  <c r="Q398" i="1"/>
  <c r="Q400" i="1"/>
  <c r="Q401" i="1"/>
  <c r="Q402" i="1"/>
  <c r="Q403" i="1"/>
  <c r="Q404" i="1"/>
  <c r="Q405" i="1"/>
  <c r="Q406" i="1"/>
  <c r="Q407" i="1"/>
  <c r="Q408" i="1"/>
  <c r="Q409" i="1"/>
  <c r="Q411" i="1"/>
  <c r="Q412" i="1"/>
  <c r="Q413" i="1"/>
  <c r="Q414" i="1"/>
  <c r="Q415" i="1"/>
  <c r="Q416" i="1"/>
  <c r="Q417" i="1"/>
  <c r="Q418" i="1"/>
  <c r="Q419" i="1"/>
  <c r="Q420" i="1"/>
  <c r="Q423" i="1"/>
  <c r="Q424" i="1"/>
  <c r="Q425" i="1"/>
  <c r="Q426" i="1"/>
  <c r="Q427" i="1"/>
  <c r="Q428" i="1"/>
  <c r="Q429" i="1"/>
  <c r="Q430" i="1"/>
  <c r="Q431" i="1"/>
  <c r="Q432" i="1"/>
  <c r="Q433" i="1"/>
  <c r="Q434" i="1"/>
  <c r="Q435" i="1"/>
  <c r="Q437" i="1"/>
  <c r="Q438" i="1"/>
  <c r="Q439" i="1"/>
  <c r="Q441" i="1"/>
  <c r="Q442" i="1"/>
  <c r="Q443" i="1"/>
  <c r="Q444" i="1"/>
  <c r="Q447" i="1"/>
  <c r="Q448" i="1"/>
  <c r="Q450" i="1"/>
  <c r="Q452" i="1"/>
  <c r="Q454" i="1"/>
  <c r="Q455"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4" i="1"/>
  <c r="Q485" i="1"/>
  <c r="Q486" i="1"/>
  <c r="Q487" i="1"/>
  <c r="Q488" i="1"/>
  <c r="Q489" i="1"/>
  <c r="Q490" i="1"/>
  <c r="Q491" i="1"/>
  <c r="Q492" i="1"/>
  <c r="Q493" i="1"/>
  <c r="Q495" i="1"/>
  <c r="Q496" i="1"/>
  <c r="Q497" i="1"/>
  <c r="Q498" i="1"/>
  <c r="Q499" i="1"/>
  <c r="Q500" i="1"/>
  <c r="Q501" i="1"/>
  <c r="Q502" i="1"/>
  <c r="Q503" i="1"/>
  <c r="Q504" i="1"/>
  <c r="Q505" i="1"/>
  <c r="Q506" i="1"/>
  <c r="Q507" i="1"/>
  <c r="Q508" i="1"/>
  <c r="Q509" i="1"/>
  <c r="Q510" i="1"/>
  <c r="Q511" i="1"/>
  <c r="Q512" i="1"/>
  <c r="Q513" i="1"/>
  <c r="Q514" i="1"/>
  <c r="Q515" i="1"/>
  <c r="Q516" i="1"/>
  <c r="Q517" i="1"/>
  <c r="Q519" i="1"/>
  <c r="Q520" i="1"/>
  <c r="Q521" i="1"/>
  <c r="Q522" i="1"/>
  <c r="Q523" i="1"/>
  <c r="Q524" i="1"/>
  <c r="Q525" i="1"/>
  <c r="Q526" i="1"/>
  <c r="Q527" i="1"/>
  <c r="Q528" i="1"/>
  <c r="Q529" i="1"/>
  <c r="Q530" i="1"/>
  <c r="Q531" i="1"/>
  <c r="Q532" i="1"/>
  <c r="Q533" i="1"/>
  <c r="Q534" i="1"/>
  <c r="Q535" i="1"/>
  <c r="Q536" i="1"/>
  <c r="Q537" i="1"/>
  <c r="Q538" i="1"/>
  <c r="Q539" i="1"/>
  <c r="Q541" i="1"/>
  <c r="Q542" i="1"/>
  <c r="Q543" i="1"/>
  <c r="Q544" i="1"/>
  <c r="Q545" i="1"/>
  <c r="Q546" i="1"/>
  <c r="Q547" i="1"/>
  <c r="Q548" i="1"/>
  <c r="Q549" i="1"/>
  <c r="Q550" i="1"/>
  <c r="Q551" i="1"/>
  <c r="Q554" i="1"/>
  <c r="Q556" i="1"/>
  <c r="Q557" i="1"/>
  <c r="Q558" i="1"/>
  <c r="Q559" i="1"/>
  <c r="Q560" i="1"/>
  <c r="Q561" i="1"/>
  <c r="Q562" i="1"/>
  <c r="Q563" i="1"/>
  <c r="Q564" i="1"/>
  <c r="Q566" i="1"/>
  <c r="Q568" i="1"/>
  <c r="Q569" i="1"/>
  <c r="Q570" i="1"/>
  <c r="Q571" i="1"/>
  <c r="Q573" i="1"/>
  <c r="Q574" i="1"/>
  <c r="Q575" i="1"/>
  <c r="Q576" i="1"/>
  <c r="Q577" i="1"/>
  <c r="Q578" i="1"/>
  <c r="Q579" i="1"/>
  <c r="Q581" i="1"/>
  <c r="Q582" i="1"/>
  <c r="Q583" i="1"/>
  <c r="Q584" i="1"/>
  <c r="Q585" i="1"/>
  <c r="Q586" i="1"/>
  <c r="Q587" i="1"/>
  <c r="Q588" i="1"/>
  <c r="Q589" i="1"/>
  <c r="Q590" i="1"/>
  <c r="Q591" i="1"/>
  <c r="Q593" i="1"/>
  <c r="Q594" i="1"/>
  <c r="Q595" i="1"/>
  <c r="Q596" i="1"/>
  <c r="Q598" i="1"/>
  <c r="Q600" i="1"/>
  <c r="Q601" i="1"/>
  <c r="Q602" i="1"/>
  <c r="Q603" i="1"/>
  <c r="Q605" i="1"/>
  <c r="Q606" i="1"/>
  <c r="Q607" i="1"/>
  <c r="Q608" i="1"/>
  <c r="Q610" i="1"/>
  <c r="Q611" i="1"/>
  <c r="Q612" i="1"/>
  <c r="Q613" i="1"/>
  <c r="Q614" i="1"/>
  <c r="Q615" i="1"/>
  <c r="Q617" i="1"/>
  <c r="Q621" i="1"/>
  <c r="Q622" i="1"/>
  <c r="Q625" i="1"/>
  <c r="Q626" i="1"/>
  <c r="Q628" i="1"/>
  <c r="Q629" i="1"/>
  <c r="Q630" i="1"/>
  <c r="Q631" i="1"/>
  <c r="Q632" i="1"/>
  <c r="Q633" i="1"/>
  <c r="Q634" i="1"/>
  <c r="Q635" i="1"/>
  <c r="Q636" i="1"/>
  <c r="Q637" i="1"/>
  <c r="Q638" i="1"/>
  <c r="Q639" i="1"/>
  <c r="Q640" i="1"/>
  <c r="Q642" i="1"/>
  <c r="Q643" i="1"/>
  <c r="Q644" i="1"/>
  <c r="Q645" i="1"/>
  <c r="Q646" i="1"/>
  <c r="Q648" i="1"/>
  <c r="Q649" i="1"/>
  <c r="Q651" i="1"/>
  <c r="Q652" i="1"/>
  <c r="Q653" i="1"/>
  <c r="Q654" i="1"/>
  <c r="Q655" i="1"/>
  <c r="Q656" i="1"/>
  <c r="Q657" i="1"/>
  <c r="Q658" i="1"/>
  <c r="Q659" i="1"/>
  <c r="Q660" i="1"/>
  <c r="Q661" i="1"/>
  <c r="Q662" i="1"/>
  <c r="Q663" i="1"/>
  <c r="Q664" i="1"/>
  <c r="Q665" i="1"/>
  <c r="Q666" i="1"/>
  <c r="Q667" i="1"/>
  <c r="Q668" i="1"/>
  <c r="Q670" i="1"/>
  <c r="Q671" i="1"/>
  <c r="Q672" i="1"/>
  <c r="Q673" i="1"/>
  <c r="Q674" i="1"/>
  <c r="Q675" i="1"/>
  <c r="Q676" i="1"/>
  <c r="Q677" i="1"/>
  <c r="Q679" i="1"/>
  <c r="Q680" i="1"/>
  <c r="Q681" i="1"/>
  <c r="Q683" i="1"/>
  <c r="Q684" i="1"/>
  <c r="Q687" i="1"/>
  <c r="Q688" i="1"/>
  <c r="Q689" i="1"/>
  <c r="Q690" i="1"/>
  <c r="Q691" i="1"/>
  <c r="Q692" i="1"/>
  <c r="Q693" i="1"/>
  <c r="Q695" i="1"/>
  <c r="Q696" i="1"/>
  <c r="Q697" i="1"/>
  <c r="Q698" i="1"/>
  <c r="Q699" i="1"/>
  <c r="Q700" i="1"/>
  <c r="Q701" i="1"/>
  <c r="Q702" i="1"/>
  <c r="Q704" i="1"/>
  <c r="Q705" i="1"/>
  <c r="Q706" i="1"/>
  <c r="Q708" i="1"/>
  <c r="Q710" i="1"/>
  <c r="Q711" i="1"/>
  <c r="Q712" i="1"/>
  <c r="Q714" i="1"/>
  <c r="Q715" i="1"/>
  <c r="Q716" i="1"/>
  <c r="Q717" i="1"/>
  <c r="Q718" i="1"/>
  <c r="Q719" i="1"/>
  <c r="Q720" i="1"/>
  <c r="Q721" i="1"/>
  <c r="Q723" i="1"/>
  <c r="Q724" i="1"/>
  <c r="Q725" i="1"/>
  <c r="Q726" i="1"/>
  <c r="Q727" i="1"/>
  <c r="Q728" i="1"/>
  <c r="Q729" i="1"/>
  <c r="Q731" i="1"/>
  <c r="Q732" i="1"/>
  <c r="Q733" i="1"/>
  <c r="Q734" i="1"/>
  <c r="Q735" i="1"/>
  <c r="Q736" i="1"/>
  <c r="Q738" i="1"/>
  <c r="Q740" i="1"/>
  <c r="Q741" i="1"/>
  <c r="Q743" i="1"/>
  <c r="Q744" i="1"/>
  <c r="Q745" i="1"/>
  <c r="Q746" i="1"/>
  <c r="Q747" i="1"/>
  <c r="Q748" i="1"/>
  <c r="Q749" i="1"/>
  <c r="Q751" i="1"/>
  <c r="Q752" i="1"/>
  <c r="Q753" i="1"/>
  <c r="Q754" i="1"/>
  <c r="Q755" i="1"/>
  <c r="Q756" i="1"/>
  <c r="Q757" i="1"/>
  <c r="Q758" i="1"/>
  <c r="Q759" i="1"/>
  <c r="Q760" i="1"/>
  <c r="Q761" i="1"/>
  <c r="Q763" i="1"/>
  <c r="Q764" i="1"/>
  <c r="Q765" i="1"/>
  <c r="Q767" i="1"/>
  <c r="Q768" i="1"/>
  <c r="Q769" i="1"/>
  <c r="Q772" i="1"/>
  <c r="Q773" i="1"/>
  <c r="Q774" i="1"/>
  <c r="Q775" i="1"/>
  <c r="Q776" i="1"/>
  <c r="Q777" i="1"/>
  <c r="Q778" i="1"/>
  <c r="Q779" i="1"/>
  <c r="Q780" i="1"/>
  <c r="Q781" i="1"/>
  <c r="Q782" i="1"/>
  <c r="Q783" i="1"/>
  <c r="Q784" i="1"/>
  <c r="Q785" i="1"/>
  <c r="Q788" i="1"/>
  <c r="Q789" i="1"/>
  <c r="Q791" i="1"/>
  <c r="Q792" i="1"/>
  <c r="Q793" i="1"/>
  <c r="Q794" i="1"/>
  <c r="Q795" i="1"/>
  <c r="Q796" i="1"/>
  <c r="Q797" i="1"/>
  <c r="Q798" i="1"/>
  <c r="Q800" i="1"/>
  <c r="Q801" i="1"/>
  <c r="Q802" i="1"/>
  <c r="Q803" i="1"/>
  <c r="Q804" i="1"/>
  <c r="Q805" i="1"/>
  <c r="Q806" i="1"/>
  <c r="Q807" i="1"/>
  <c r="Q808" i="1"/>
  <c r="Q809" i="1"/>
  <c r="Q810" i="1"/>
  <c r="Q812" i="1"/>
  <c r="Q813" i="1"/>
  <c r="Q815" i="1"/>
  <c r="Q816" i="1"/>
  <c r="Q817" i="1"/>
  <c r="Q818" i="1"/>
  <c r="Q819" i="1"/>
  <c r="Q820" i="1"/>
  <c r="Q821" i="1"/>
  <c r="Q824" i="1"/>
  <c r="Q825" i="1"/>
  <c r="Q826" i="1"/>
  <c r="Q827" i="1"/>
  <c r="Q828" i="1"/>
  <c r="Q829" i="1"/>
  <c r="Q830" i="1"/>
  <c r="Q831" i="1"/>
  <c r="Q832" i="1"/>
  <c r="Q833" i="1"/>
  <c r="Q834" i="1"/>
  <c r="Q836" i="1"/>
  <c r="Q837" i="1"/>
  <c r="Q838" i="1"/>
  <c r="Q839" i="1"/>
  <c r="Q840" i="1"/>
  <c r="Q841" i="1"/>
  <c r="Q843" i="1"/>
  <c r="Q844" i="1"/>
  <c r="Q845" i="1"/>
  <c r="Q847" i="1"/>
  <c r="Q848" i="1"/>
  <c r="Q849" i="1"/>
  <c r="Q850" i="1"/>
  <c r="Q851" i="1"/>
  <c r="Q852" i="1"/>
  <c r="Q853" i="1"/>
  <c r="Q854" i="1"/>
  <c r="Q855" i="1"/>
  <c r="Q856" i="1"/>
  <c r="Q857" i="1"/>
  <c r="Q858" i="1"/>
  <c r="Q859" i="1"/>
  <c r="Q860" i="1"/>
  <c r="Q861" i="1"/>
  <c r="Q863" i="1"/>
  <c r="Q864" i="1"/>
  <c r="Q865" i="1"/>
  <c r="Q866" i="1"/>
  <c r="Q867" i="1"/>
  <c r="Q868" i="1"/>
  <c r="Q869" i="1"/>
  <c r="Q871" i="1"/>
  <c r="Q872" i="1"/>
  <c r="Q873" i="1"/>
  <c r="Q874" i="1"/>
  <c r="Q875" i="1"/>
  <c r="Q876" i="1"/>
  <c r="Q877" i="1"/>
  <c r="Q878" i="1"/>
  <c r="Q879" i="1"/>
  <c r="Q880" i="1"/>
  <c r="Q881" i="1"/>
  <c r="Q882" i="1"/>
  <c r="Q883" i="1"/>
  <c r="Q884" i="1"/>
  <c r="Q885" i="1"/>
  <c r="Q886" i="1"/>
  <c r="Q887" i="1"/>
  <c r="Q888" i="1"/>
  <c r="Q889" i="1"/>
  <c r="Q890" i="1"/>
  <c r="Q891" i="1"/>
  <c r="Q892" i="1"/>
  <c r="Q893" i="1"/>
  <c r="Q894" i="1"/>
  <c r="Q896" i="1"/>
  <c r="Q897" i="1"/>
  <c r="Q898" i="1"/>
  <c r="Q899" i="1"/>
  <c r="Q900" i="1"/>
  <c r="Q901" i="1"/>
  <c r="Q902" i="1"/>
  <c r="Q903" i="1"/>
  <c r="Q904" i="1"/>
  <c r="Q906" i="1"/>
  <c r="Q907" i="1"/>
  <c r="Q908" i="1"/>
  <c r="Q912" i="1"/>
  <c r="Q913" i="1"/>
  <c r="Q914" i="1"/>
  <c r="Q915" i="1"/>
  <c r="Q916" i="1"/>
  <c r="Q917" i="1"/>
  <c r="Q919" i="1"/>
  <c r="Q920" i="1"/>
  <c r="Q921" i="1"/>
  <c r="Q922" i="1"/>
  <c r="Q923" i="1"/>
  <c r="Q924" i="1"/>
  <c r="Q926" i="1"/>
  <c r="Q928" i="1"/>
  <c r="Q929" i="1"/>
  <c r="Q930" i="1"/>
  <c r="Q931" i="1"/>
  <c r="Q932" i="1"/>
  <c r="Q933" i="1"/>
  <c r="Q934" i="1"/>
  <c r="Q935" i="1"/>
  <c r="Q936" i="1"/>
  <c r="Q937" i="1"/>
  <c r="Q939" i="1"/>
  <c r="Q940" i="1"/>
  <c r="Q941" i="1"/>
  <c r="Q943" i="1"/>
  <c r="Q944" i="1"/>
  <c r="Q945" i="1"/>
  <c r="Q946" i="1"/>
  <c r="Q947" i="1"/>
  <c r="Q948" i="1"/>
  <c r="Q949" i="1"/>
  <c r="Q950" i="1"/>
  <c r="Q951" i="1"/>
  <c r="Q952" i="1"/>
  <c r="Q953" i="1"/>
  <c r="Q954"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6" i="1"/>
  <c r="Q997" i="1"/>
  <c r="Q998" i="1"/>
  <c r="Q999" i="1"/>
  <c r="Q1000" i="1"/>
  <c r="Q1001" i="1"/>
  <c r="Q3" i="1"/>
  <c r="Q4" i="1"/>
  <c r="Q5" i="1"/>
  <c r="Q6" i="1"/>
  <c r="Q2" i="1"/>
  <c r="P1002" i="1"/>
  <c r="Q34" i="1" s="1"/>
  <c r="Q925" i="1" l="1"/>
  <c r="Q909" i="1"/>
  <c r="Q905" i="1"/>
  <c r="Q737" i="1"/>
  <c r="Q713" i="1"/>
  <c r="Q709" i="1"/>
  <c r="Q685" i="1"/>
  <c r="Q669" i="1"/>
  <c r="Q641" i="1"/>
  <c r="Q609" i="1"/>
  <c r="Q597" i="1"/>
  <c r="Q565" i="1"/>
  <c r="Q553" i="1"/>
  <c r="Q457" i="1"/>
  <c r="Q453" i="1"/>
  <c r="Q449" i="1"/>
  <c r="Q445" i="1"/>
  <c r="Q421" i="1"/>
  <c r="Q369" i="1"/>
  <c r="Q341" i="1"/>
  <c r="Q325" i="1"/>
  <c r="Q293" i="1"/>
  <c r="Q273" i="1"/>
  <c r="Q261" i="1"/>
  <c r="Q257" i="1"/>
  <c r="Q253" i="1"/>
  <c r="Q153" i="1"/>
  <c r="Q145" i="1"/>
  <c r="Q133" i="1"/>
  <c r="Q125" i="1"/>
  <c r="Q113" i="1"/>
  <c r="Q93" i="1"/>
  <c r="Q73" i="1"/>
  <c r="Q69" i="1"/>
  <c r="Q65" i="1"/>
  <c r="Q49" i="1"/>
  <c r="Q37" i="1"/>
  <c r="Q624" i="1"/>
  <c r="Q620" i="1"/>
  <c r="Q616" i="1"/>
  <c r="Q604" i="1"/>
  <c r="Q592" i="1"/>
  <c r="Q580" i="1"/>
  <c r="Q572" i="1"/>
  <c r="Q552" i="1"/>
  <c r="Q540" i="1"/>
  <c r="Q456" i="1"/>
  <c r="Q440" i="1"/>
  <c r="Q436" i="1"/>
  <c r="Q396" i="1"/>
  <c r="Q376" i="1"/>
  <c r="Q368" i="1"/>
  <c r="Q284" i="1"/>
  <c r="Q280" i="1"/>
  <c r="Q272" i="1"/>
  <c r="Q252" i="1"/>
  <c r="Q244" i="1"/>
  <c r="Q232" i="1"/>
  <c r="Q220" i="1"/>
  <c r="Q216" i="1"/>
  <c r="Q156" i="1"/>
  <c r="Q92" i="1"/>
  <c r="Q48" i="1"/>
  <c r="Q20" i="1"/>
  <c r="Q16" i="1"/>
  <c r="Q995" i="1"/>
  <c r="Q955" i="1"/>
  <c r="Q927" i="1"/>
  <c r="Q911" i="1"/>
  <c r="Q895" i="1"/>
  <c r="Q835" i="1"/>
  <c r="Q823" i="1"/>
  <c r="Q811" i="1"/>
  <c r="Q799" i="1"/>
  <c r="Q787" i="1"/>
  <c r="Q771" i="1"/>
  <c r="Q739" i="1"/>
  <c r="Q707" i="1"/>
  <c r="Q703" i="1"/>
  <c r="Q647" i="1"/>
  <c r="Q627" i="1"/>
  <c r="Q623" i="1"/>
  <c r="Q619" i="1"/>
  <c r="Q599" i="1"/>
  <c r="Q567" i="1"/>
  <c r="Q555" i="1"/>
  <c r="Q483" i="1"/>
  <c r="Q451" i="1"/>
  <c r="Q399" i="1"/>
  <c r="Q391" i="1"/>
  <c r="Q363" i="1"/>
  <c r="Q355" i="1"/>
  <c r="Q343" i="1"/>
  <c r="Q339" i="1"/>
  <c r="Q335" i="1"/>
  <c r="Q327" i="1"/>
  <c r="Q323" i="1"/>
  <c r="Q319" i="1"/>
  <c r="Q303" i="1"/>
  <c r="Q299" i="1"/>
  <c r="Q263" i="1"/>
  <c r="Q247" i="1"/>
  <c r="Q223" i="1"/>
  <c r="Q191" i="1"/>
  <c r="Q79" i="1"/>
  <c r="Q39" i="1"/>
  <c r="Q35" i="1"/>
  <c r="Q11" i="1"/>
  <c r="Q942" i="1"/>
  <c r="Q938" i="1"/>
  <c r="Q918" i="1"/>
  <c r="Q910" i="1"/>
  <c r="Q870" i="1"/>
  <c r="Q862" i="1"/>
  <c r="Q846" i="1"/>
  <c r="Q842" i="1"/>
  <c r="Q822" i="1"/>
  <c r="Q814" i="1"/>
  <c r="Q790" i="1"/>
  <c r="Q786" i="1"/>
  <c r="Q770" i="1"/>
  <c r="Q766" i="1"/>
  <c r="Q762" i="1"/>
  <c r="Q750" i="1"/>
  <c r="Q742" i="1"/>
  <c r="Q730" i="1"/>
  <c r="Q722" i="1"/>
  <c r="Q694" i="1"/>
  <c r="Q686" i="1"/>
  <c r="Q682" i="1"/>
  <c r="Q678" i="1"/>
  <c r="Q650" i="1"/>
  <c r="Q618" i="1"/>
  <c r="Q518" i="1"/>
  <c r="Q494" i="1"/>
  <c r="Q446" i="1"/>
  <c r="Q422" i="1"/>
  <c r="Q410" i="1"/>
  <c r="Q370" i="1"/>
  <c r="Q366" i="1"/>
  <c r="Q346" i="1"/>
  <c r="Q342" i="1"/>
  <c r="Q294" i="1"/>
  <c r="Q290" i="1"/>
  <c r="Q210" i="1"/>
  <c r="Q202" i="1"/>
  <c r="Q198" i="1"/>
  <c r="Q154" i="1"/>
  <c r="Q146" i="1"/>
  <c r="Q118" i="1"/>
  <c r="Q110" i="1"/>
  <c r="Q70"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2" i="1"/>
  <c r="N100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 r="J1002" i="1"/>
  <c r="I1002" i="1"/>
  <c r="H1002" i="1"/>
  <c r="G1002" i="1"/>
  <c r="F1002" i="1"/>
  <c r="E1002" i="1"/>
  <c r="D1002" i="1"/>
  <c r="C1002" i="1"/>
  <c r="B1002" i="1"/>
  <c r="A1002" i="1"/>
</calcChain>
</file>

<file path=xl/sharedStrings.xml><?xml version="1.0" encoding="utf-8"?>
<sst xmlns="http://schemas.openxmlformats.org/spreadsheetml/2006/main" count="9347" uniqueCount="76">
  <si>
    <t>Name</t>
  </si>
  <si>
    <t>Age</t>
  </si>
  <si>
    <t>Salary</t>
  </si>
  <si>
    <t>Gender</t>
  </si>
  <si>
    <t>Department</t>
  </si>
  <si>
    <t>Position</t>
  </si>
  <si>
    <t>Joining Date</t>
  </si>
  <si>
    <t>Performance Score</t>
  </si>
  <si>
    <t>Email</t>
  </si>
  <si>
    <t>Phone Number</t>
  </si>
  <si>
    <t xml:space="preserve"> grace </t>
  </si>
  <si>
    <t>Male</t>
  </si>
  <si>
    <t>HR</t>
  </si>
  <si>
    <t>Manager</t>
  </si>
  <si>
    <t>D</t>
  </si>
  <si>
    <t>nan</t>
  </si>
  <si>
    <t xml:space="preserve"> david </t>
  </si>
  <si>
    <t>Female</t>
  </si>
  <si>
    <t>Finance</t>
  </si>
  <si>
    <t>Director</t>
  </si>
  <si>
    <t>F</t>
  </si>
  <si>
    <t>123-456-7890</t>
  </si>
  <si>
    <t xml:space="preserve"> hannah </t>
  </si>
  <si>
    <t>Sales</t>
  </si>
  <si>
    <t>C</t>
  </si>
  <si>
    <t>098-765-4321</t>
  </si>
  <si>
    <t xml:space="preserve"> eve </t>
  </si>
  <si>
    <t>IT</t>
  </si>
  <si>
    <t>A</t>
  </si>
  <si>
    <t xml:space="preserve"> </t>
  </si>
  <si>
    <t xml:space="preserve"> NAN </t>
  </si>
  <si>
    <t xml:space="preserve"> jack </t>
  </si>
  <si>
    <t>Other</t>
  </si>
  <si>
    <t>Marketing</t>
  </si>
  <si>
    <t xml:space="preserve"> charlie </t>
  </si>
  <si>
    <t>Clerk</t>
  </si>
  <si>
    <t>B</t>
  </si>
  <si>
    <t>Assistant</t>
  </si>
  <si>
    <t>Analyst</t>
  </si>
  <si>
    <t>555-555-5555</t>
  </si>
  <si>
    <t xml:space="preserve"> frank </t>
  </si>
  <si>
    <t xml:space="preserve"> bob </t>
  </si>
  <si>
    <t xml:space="preserve"> alice </t>
  </si>
  <si>
    <t xml:space="preserve"> ivy </t>
  </si>
  <si>
    <t>Name_cleaned</t>
  </si>
  <si>
    <t>Age_removedtextvalues</t>
  </si>
  <si>
    <t>age_cleaned</t>
  </si>
  <si>
    <t>Salary_cleaned</t>
  </si>
  <si>
    <t>Gender_cleaned</t>
  </si>
  <si>
    <t>Dept_cleaned</t>
  </si>
  <si>
    <t>Position_cleaned</t>
  </si>
  <si>
    <t>email@example/com</t>
  </si>
  <si>
    <t>user@domain/com</t>
  </si>
  <si>
    <t>name@company/org</t>
  </si>
  <si>
    <t>Joining Date_cleaned</t>
  </si>
  <si>
    <t>Performance Score_cleaned</t>
  </si>
  <si>
    <t>Email_cleaned</t>
  </si>
  <si>
    <t>Phone_cleaned</t>
  </si>
  <si>
    <t>Email_blankReplaced</t>
  </si>
  <si>
    <t>Email_hyphen replaced</t>
  </si>
  <si>
    <t>Experience_Years(Calculated)</t>
  </si>
  <si>
    <t>Salary_Band(calculated)</t>
  </si>
  <si>
    <t>Row Labels</t>
  </si>
  <si>
    <t>Grand Total</t>
  </si>
  <si>
    <t>Average of Salary_cleaned</t>
  </si>
  <si>
    <t>Gender Distribution by Department</t>
  </si>
  <si>
    <t>Average Salary by Department</t>
  </si>
  <si>
    <t>Count of Name_cleaned</t>
  </si>
  <si>
    <t>Column Labels</t>
  </si>
  <si>
    <t>Performance_Category(calculated)</t>
  </si>
  <si>
    <t>Average</t>
  </si>
  <si>
    <t>Below Average</t>
  </si>
  <si>
    <t>Excellent</t>
  </si>
  <si>
    <t>Good</t>
  </si>
  <si>
    <t>Poor</t>
  </si>
  <si>
    <t xml:space="preserve">Performance Category by department </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</si>
</sst>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1">
    <xf numFmtId="0" fontId="0" fillId="0" borderId="0"/>
  </cellStyleXfs>
  <cellXfs count="8">
    <xf numFmtId="0" fontId="0" fillId="0" borderId="0" xfId="0"/>
    <xf numFmtId="15" fontId="0" fillId="0" borderId="0" xfId="0" applyNumberFormat="1"/>
    <xf numFmtId="14" fontId="0" fillId="0" borderId="0" xfId="0" applyNumberFormat="1"/>
    <xf numFmtId="0" fontId="0" fillId="2" borderId="0" xfId="0" applyFill="1"/>
    <xf numFmtId="14" fontId="0" fillId="2" borderId="0" xfId="0" applyNumberFormat="1" applyFill="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0</xdr:col>
      <xdr:colOff>438150</xdr:colOff>
      <xdr:row>11</xdr:row>
      <xdr:rowOff>85725</xdr:rowOff>
    </xdr:from>
    <xdr:to>
      <xdr:col>1</xdr:col>
      <xdr:colOff>752475</xdr:colOff>
      <xdr:row>24</xdr:row>
      <xdr:rowOff>133350</xdr:rowOff>
    </xdr:to>
    <mc:AlternateContent xmlns:mc="http://schemas.openxmlformats.org/markup-compatibility/2006" xmlns:a14="http://schemas.microsoft.com/office/drawing/2010/main">
      <mc:Choice Requires="a14">
        <xdr:graphicFrame macro="">
          <xdr:nvGraphicFramePr>
            <xdr:cNvPr id="7" name="Dept_cleaned 1"/>
            <xdr:cNvGraphicFramePr/>
          </xdr:nvGraphicFramePr>
          <xdr:xfrm>
            <a:off x="0" y="0"/>
            <a:ext cx="0" cy="0"/>
          </xdr:xfrm>
          <a:graphic>
            <a:graphicData uri="http://schemas.microsoft.com/office/drawing/2010/slicer">
              <sle:slicer xmlns:sle="http://schemas.microsoft.com/office/drawing/2010/slicer" name="Dept_cleaned 1"/>
            </a:graphicData>
          </a:graphic>
        </xdr:graphicFrame>
      </mc:Choice>
      <mc:Fallback xmlns="">
        <xdr:sp macro="" textlink="">
          <xdr:nvSpPr>
            <xdr:cNvPr id="0" name=""/>
            <xdr:cNvSpPr>
              <a:spLocks noTextEdit="1"/>
            </xdr:cNvSpPr>
          </xdr:nvSpPr>
          <xdr:spPr>
            <a:xfrm>
              <a:off x="438150" y="21812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514350</xdr:colOff>
      <xdr:row>11</xdr:row>
      <xdr:rowOff>95250</xdr:rowOff>
    </xdr:from>
    <xdr:to>
      <xdr:col>10</xdr:col>
      <xdr:colOff>295275</xdr:colOff>
      <xdr:row>24</xdr:row>
      <xdr:rowOff>142875</xdr:rowOff>
    </xdr:to>
    <mc:AlternateContent xmlns:mc="http://schemas.openxmlformats.org/markup-compatibility/2006" xmlns:a14="http://schemas.microsoft.com/office/drawing/2010/main">
      <mc:Choice Requires="a14">
        <xdr:graphicFrame macro="">
          <xdr:nvGraphicFramePr>
            <xdr:cNvPr id="11" name="Performance_Category(calculated)"/>
            <xdr:cNvGraphicFramePr/>
          </xdr:nvGraphicFramePr>
          <xdr:xfrm>
            <a:off x="0" y="0"/>
            <a:ext cx="0" cy="0"/>
          </xdr:xfrm>
          <a:graphic>
            <a:graphicData uri="http://schemas.microsoft.com/office/drawing/2010/slicer">
              <sle:slicer xmlns:sle="http://schemas.microsoft.com/office/drawing/2010/slicer" name="Performance_Category(calculated)"/>
            </a:graphicData>
          </a:graphic>
        </xdr:graphicFrame>
      </mc:Choice>
      <mc:Fallback xmlns="">
        <xdr:sp macro="" textlink="">
          <xdr:nvSpPr>
            <xdr:cNvPr id="0" name=""/>
            <xdr:cNvSpPr>
              <a:spLocks noTextEdit="1"/>
            </xdr:cNvSpPr>
          </xdr:nvSpPr>
          <xdr:spPr>
            <a:xfrm>
              <a:off x="7686675" y="2190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uthor" refreshedDate="46044.875496527777" createdVersion="4" refreshedVersion="4" minRefreshableVersion="3" recordCount="1000">
  <cacheSource type="worksheet">
    <worksheetSource ref="A1:L1001" sheet="Cleaned_Dataset"/>
  </cacheSource>
  <cacheFields count="12">
    <cacheField name="Name_cleaned" numFmtId="0">
      <sharedItems count="10">
        <s v="Grace"/>
        <s v="David"/>
        <s v="Hannah"/>
        <s v="Eve"/>
        <s v="Jack"/>
        <s v="Charlie"/>
        <s v="Frank"/>
        <s v="Bob"/>
        <s v="Alice"/>
        <s v="Ivy"/>
      </sharedItems>
    </cacheField>
    <cacheField name="age_cleaned" numFmtId="0">
      <sharedItems containsSemiMixedTypes="0" containsString="0" containsNumber="1" containsInteger="1" minValue="25" maxValue="50" count="5">
        <n v="25"/>
        <n v="35"/>
        <n v="40"/>
        <n v="30"/>
        <n v="50"/>
      </sharedItems>
    </cacheField>
    <cacheField name="Salary_cleaned" numFmtId="0">
      <sharedItems containsSemiMixedTypes="0" containsString="0" containsNumber="1" containsInteger="1" minValue="50000" maxValue="70000" count="5">
        <n v="50000"/>
        <n v="65000"/>
        <n v="60000"/>
        <n v="70000"/>
        <n v="55000"/>
      </sharedItems>
    </cacheField>
    <cacheField name="Gender_cleaned" numFmtId="0">
      <sharedItems count="3">
        <s v="Male"/>
        <s v="Female"/>
        <s v="Other"/>
      </sharedItems>
    </cacheField>
    <cacheField name="Dept_cleaned" numFmtId="0">
      <sharedItems count="5">
        <s v="HR"/>
        <s v="Finance"/>
        <s v="Sales"/>
        <s v="IT"/>
        <s v="Marketing"/>
      </sharedItems>
    </cacheField>
    <cacheField name="Position_cleaned" numFmtId="0">
      <sharedItems count="5">
        <s v="Manager"/>
        <s v="Director"/>
        <s v="Clerk"/>
        <s v="Assistant"/>
        <s v="Analyst"/>
      </sharedItems>
    </cacheField>
    <cacheField name="Joining Date_cleaned" numFmtId="14">
      <sharedItems containsSemiMixedTypes="0" containsNonDate="0" containsDate="1" containsString="0" minDate="2018-04-05T00:00:00" maxDate="2020-02-21T00:00:00"/>
    </cacheField>
    <cacheField name="Performance Score_cleaned" numFmtId="0">
      <sharedItems count="5">
        <s v="D"/>
        <s v="F"/>
        <s v="C"/>
        <s v="A"/>
        <s v="B"/>
      </sharedItems>
    </cacheField>
    <cacheField name="Email_cleaned" numFmtId="0">
      <sharedItems/>
    </cacheField>
    <cacheField name="Phone_cleaned" numFmtId="0">
      <sharedItems/>
    </cacheField>
    <cacheField name="Experience_Years(Calculated)" numFmtId="0">
      <sharedItems containsSemiMixedTypes="0" containsString="0" containsNumber="1" containsInteger="1" minValue="5" maxValue="7"/>
    </cacheField>
    <cacheField name="Salary_Band(calculated)" numFmtId="0">
      <sharedItems count="3">
        <s v="Low"/>
        <s v="High"/>
        <s v="Medium"/>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Author" refreshedDate="46044.896728703701" createdVersion="4" refreshedVersion="4" minRefreshableVersion="3" recordCount="1000">
  <cacheSource type="worksheet">
    <worksheetSource ref="A1:M1001" sheet="Cleaned_Dataset"/>
  </cacheSource>
  <cacheFields count="13">
    <cacheField name="Name_cleaned" numFmtId="0">
      <sharedItems count="10">
        <s v="Grace"/>
        <s v="David"/>
        <s v="Hannah"/>
        <s v="Eve"/>
        <s v="Jack"/>
        <s v="Charlie"/>
        <s v="Frank"/>
        <s v="Bob"/>
        <s v="Alice"/>
        <s v="Ivy"/>
      </sharedItems>
    </cacheField>
    <cacheField name="age_cleaned" numFmtId="0">
      <sharedItems containsSemiMixedTypes="0" containsString="0" containsNumber="1" containsInteger="1" minValue="25" maxValue="50"/>
    </cacheField>
    <cacheField name="Salary_cleaned" numFmtId="0">
      <sharedItems containsSemiMixedTypes="0" containsString="0" containsNumber="1" containsInteger="1" minValue="50000" maxValue="70000"/>
    </cacheField>
    <cacheField name="Gender_cleaned" numFmtId="0">
      <sharedItems count="3">
        <s v="Male"/>
        <s v="Female"/>
        <s v="Other"/>
      </sharedItems>
    </cacheField>
    <cacheField name="Dept_cleaned" numFmtId="0">
      <sharedItems count="5">
        <s v="HR"/>
        <s v="Finance"/>
        <s v="Sales"/>
        <s v="IT"/>
        <s v="Marketing"/>
      </sharedItems>
    </cacheField>
    <cacheField name="Position_cleaned" numFmtId="0">
      <sharedItems/>
    </cacheField>
    <cacheField name="Joining Date_cleaned" numFmtId="14">
      <sharedItems containsSemiMixedTypes="0" containsNonDate="0" containsDate="1" containsString="0" minDate="2018-04-05T00:00:00" maxDate="2020-02-21T00:00:00"/>
    </cacheField>
    <cacheField name="Performance Score_cleaned" numFmtId="0">
      <sharedItems count="5">
        <s v="D"/>
        <s v="F"/>
        <s v="C"/>
        <s v="A"/>
        <s v="B"/>
      </sharedItems>
    </cacheField>
    <cacheField name="Email_cleaned" numFmtId="0">
      <sharedItems/>
    </cacheField>
    <cacheField name="Phone_cleaned" numFmtId="0">
      <sharedItems/>
    </cacheField>
    <cacheField name="Experience_Years(Calculated)" numFmtId="0">
      <sharedItems containsSemiMixedTypes="0" containsString="0" containsNumber="1" containsInteger="1" minValue="5" maxValue="7"/>
    </cacheField>
    <cacheField name="Salary_Band(calculated)" numFmtId="0">
      <sharedItems/>
    </cacheField>
    <cacheField name="Performance_Category(calculated)" numFmtId="0">
      <sharedItems count="5">
        <s v="Below Average"/>
        <s v="Poor"/>
        <s v="Average"/>
        <s v="Excellent"/>
        <s v="Good"/>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1000">
  <r>
    <x v="0"/>
    <x v="0"/>
    <x v="0"/>
    <x v="0"/>
    <x v="0"/>
    <x v="0"/>
    <d v="2018-04-05T00:00:00"/>
    <x v="0"/>
    <s v="email@example.com"/>
    <s v="Phone not provided"/>
    <n v="7"/>
    <x v="0"/>
  </r>
  <r>
    <x v="1"/>
    <x v="1"/>
    <x v="1"/>
    <x v="1"/>
    <x v="1"/>
    <x v="1"/>
    <d v="2020-02-20T00:00:00"/>
    <x v="1"/>
    <s v="user@domain.com"/>
    <s v="123-456-7890"/>
    <n v="5"/>
    <x v="1"/>
  </r>
  <r>
    <x v="2"/>
    <x v="1"/>
    <x v="2"/>
    <x v="1"/>
    <x v="2"/>
    <x v="1"/>
    <d v="2020-01-15T00:00:00"/>
    <x v="2"/>
    <s v="email@example.com"/>
    <s v="098-765-4321"/>
    <n v="6"/>
    <x v="2"/>
  </r>
  <r>
    <x v="3"/>
    <x v="1"/>
    <x v="0"/>
    <x v="1"/>
    <x v="3"/>
    <x v="0"/>
    <d v="2018-04-05T00:00:00"/>
    <x v="3"/>
    <s v="name@company.org"/>
    <s v="Phone not provided"/>
    <n v="7"/>
    <x v="0"/>
  </r>
  <r>
    <x v="0"/>
    <x v="1"/>
    <x v="2"/>
    <x v="1"/>
    <x v="1"/>
    <x v="0"/>
    <d v="2020-01-15T00:00:00"/>
    <x v="1"/>
    <s v="name@company.org"/>
    <s v="098-765-4321"/>
    <n v="6"/>
    <x v="2"/>
  </r>
  <r>
    <x v="4"/>
    <x v="1"/>
    <x v="1"/>
    <x v="2"/>
    <x v="4"/>
    <x v="1"/>
    <d v="2019-03-25T00:00:00"/>
    <x v="1"/>
    <s v="user@domain.com"/>
    <s v="Phone not provided"/>
    <n v="6"/>
    <x v="1"/>
  </r>
  <r>
    <x v="5"/>
    <x v="1"/>
    <x v="0"/>
    <x v="0"/>
    <x v="4"/>
    <x v="2"/>
    <d v="2019-12-01T00:00:00"/>
    <x v="4"/>
    <s v="Email not provided"/>
    <s v="123-456-7890"/>
    <n v="6"/>
    <x v="0"/>
  </r>
  <r>
    <x v="0"/>
    <x v="2"/>
    <x v="0"/>
    <x v="2"/>
    <x v="0"/>
    <x v="1"/>
    <d v="2019-03-25T00:00:00"/>
    <x v="2"/>
    <s v="Email not provided"/>
    <s v="Phone not provided"/>
    <n v="6"/>
    <x v="0"/>
  </r>
  <r>
    <x v="2"/>
    <x v="2"/>
    <x v="2"/>
    <x v="1"/>
    <x v="4"/>
    <x v="0"/>
    <d v="2020-01-15T00:00:00"/>
    <x v="2"/>
    <s v="user@domain.com"/>
    <s v="123-456-7890"/>
    <n v="6"/>
    <x v="2"/>
  </r>
  <r>
    <x v="3"/>
    <x v="3"/>
    <x v="2"/>
    <x v="2"/>
    <x v="1"/>
    <x v="3"/>
    <d v="2020-02-20T00:00:00"/>
    <x v="3"/>
    <s v="Email not provided"/>
    <s v="Phone not provided"/>
    <n v="5"/>
    <x v="2"/>
  </r>
  <r>
    <x v="1"/>
    <x v="0"/>
    <x v="3"/>
    <x v="0"/>
    <x v="4"/>
    <x v="4"/>
    <d v="2019-12-01T00:00:00"/>
    <x v="4"/>
    <s v="Email not provided"/>
    <s v="123-456-7890"/>
    <n v="6"/>
    <x v="1"/>
  </r>
  <r>
    <x v="2"/>
    <x v="1"/>
    <x v="3"/>
    <x v="2"/>
    <x v="1"/>
    <x v="3"/>
    <d v="2019-03-25T00:00:00"/>
    <x v="3"/>
    <s v="Email not provided"/>
    <s v="Phone not provided"/>
    <n v="6"/>
    <x v="1"/>
  </r>
  <r>
    <x v="2"/>
    <x v="3"/>
    <x v="0"/>
    <x v="0"/>
    <x v="3"/>
    <x v="3"/>
    <d v="2018-04-05T00:00:00"/>
    <x v="0"/>
    <s v="Email not provided"/>
    <s v="Phone not provided"/>
    <n v="7"/>
    <x v="0"/>
  </r>
  <r>
    <x v="5"/>
    <x v="0"/>
    <x v="4"/>
    <x v="2"/>
    <x v="0"/>
    <x v="0"/>
    <d v="2020-02-20T00:00:00"/>
    <x v="1"/>
    <s v="Email not provided"/>
    <s v="555-555-5555"/>
    <n v="5"/>
    <x v="0"/>
  </r>
  <r>
    <x v="6"/>
    <x v="4"/>
    <x v="2"/>
    <x v="0"/>
    <x v="4"/>
    <x v="1"/>
    <d v="2019-03-25T00:00:00"/>
    <x v="3"/>
    <s v="Email not provided"/>
    <s v="123-456-7890"/>
    <n v="6"/>
    <x v="2"/>
  </r>
  <r>
    <x v="3"/>
    <x v="1"/>
    <x v="1"/>
    <x v="0"/>
    <x v="1"/>
    <x v="2"/>
    <d v="2018-04-05T00:00:00"/>
    <x v="1"/>
    <s v="Email not provided"/>
    <s v="123-456-7890"/>
    <n v="7"/>
    <x v="1"/>
  </r>
  <r>
    <x v="7"/>
    <x v="2"/>
    <x v="4"/>
    <x v="1"/>
    <x v="2"/>
    <x v="3"/>
    <d v="2020-01-15T00:00:00"/>
    <x v="4"/>
    <s v="Email not provided"/>
    <s v="098-765-4321"/>
    <n v="6"/>
    <x v="0"/>
  </r>
  <r>
    <x v="2"/>
    <x v="4"/>
    <x v="4"/>
    <x v="0"/>
    <x v="0"/>
    <x v="1"/>
    <d v="2018-04-05T00:00:00"/>
    <x v="0"/>
    <s v="user@domain.com"/>
    <s v="Phone not provided"/>
    <n v="7"/>
    <x v="0"/>
  </r>
  <r>
    <x v="6"/>
    <x v="0"/>
    <x v="2"/>
    <x v="1"/>
    <x v="3"/>
    <x v="2"/>
    <d v="2019-03-25T00:00:00"/>
    <x v="4"/>
    <s v="email@example.com"/>
    <s v="555-555-5555"/>
    <n v="6"/>
    <x v="2"/>
  </r>
  <r>
    <x v="7"/>
    <x v="4"/>
    <x v="0"/>
    <x v="1"/>
    <x v="1"/>
    <x v="3"/>
    <d v="2019-03-25T00:00:00"/>
    <x v="0"/>
    <s v="user@domain.com"/>
    <s v="Phone not provided"/>
    <n v="6"/>
    <x v="0"/>
  </r>
  <r>
    <x v="3"/>
    <x v="1"/>
    <x v="0"/>
    <x v="1"/>
    <x v="3"/>
    <x v="2"/>
    <d v="2020-01-15T00:00:00"/>
    <x v="0"/>
    <s v="email@example.com"/>
    <s v="098-765-4321"/>
    <n v="6"/>
    <x v="0"/>
  </r>
  <r>
    <x v="8"/>
    <x v="0"/>
    <x v="0"/>
    <x v="2"/>
    <x v="3"/>
    <x v="1"/>
    <d v="2018-04-05T00:00:00"/>
    <x v="1"/>
    <s v="user@domain.com"/>
    <s v="555-555-5555"/>
    <n v="7"/>
    <x v="0"/>
  </r>
  <r>
    <x v="4"/>
    <x v="4"/>
    <x v="0"/>
    <x v="2"/>
    <x v="4"/>
    <x v="4"/>
    <d v="2018-04-05T00:00:00"/>
    <x v="4"/>
    <s v="email@example.com"/>
    <s v="Phone not provided"/>
    <n v="7"/>
    <x v="0"/>
  </r>
  <r>
    <x v="6"/>
    <x v="2"/>
    <x v="3"/>
    <x v="2"/>
    <x v="4"/>
    <x v="1"/>
    <d v="2020-01-15T00:00:00"/>
    <x v="4"/>
    <s v="email@example.com"/>
    <s v="555-555-5555"/>
    <n v="6"/>
    <x v="1"/>
  </r>
  <r>
    <x v="9"/>
    <x v="2"/>
    <x v="0"/>
    <x v="2"/>
    <x v="1"/>
    <x v="0"/>
    <d v="2018-04-05T00:00:00"/>
    <x v="3"/>
    <s v="name@company.org"/>
    <s v="123-456-7890"/>
    <n v="7"/>
    <x v="0"/>
  </r>
  <r>
    <x v="8"/>
    <x v="3"/>
    <x v="3"/>
    <x v="0"/>
    <x v="2"/>
    <x v="2"/>
    <d v="2020-01-15T00:00:00"/>
    <x v="4"/>
    <s v="email@example.com"/>
    <s v="123-456-7890"/>
    <n v="6"/>
    <x v="1"/>
  </r>
  <r>
    <x v="4"/>
    <x v="4"/>
    <x v="3"/>
    <x v="0"/>
    <x v="1"/>
    <x v="4"/>
    <d v="2020-02-20T00:00:00"/>
    <x v="3"/>
    <s v="email@example.com"/>
    <s v="098-765-4321"/>
    <n v="5"/>
    <x v="1"/>
  </r>
  <r>
    <x v="5"/>
    <x v="1"/>
    <x v="0"/>
    <x v="2"/>
    <x v="2"/>
    <x v="2"/>
    <d v="2019-03-25T00:00:00"/>
    <x v="2"/>
    <s v="name@company.org"/>
    <s v="Phone not provided"/>
    <n v="6"/>
    <x v="0"/>
  </r>
  <r>
    <x v="0"/>
    <x v="4"/>
    <x v="2"/>
    <x v="0"/>
    <x v="3"/>
    <x v="2"/>
    <d v="2020-02-20T00:00:00"/>
    <x v="2"/>
    <s v="Email not provided"/>
    <s v="Phone not provided"/>
    <n v="5"/>
    <x v="2"/>
  </r>
  <r>
    <x v="1"/>
    <x v="0"/>
    <x v="1"/>
    <x v="0"/>
    <x v="0"/>
    <x v="3"/>
    <d v="2019-12-01T00:00:00"/>
    <x v="2"/>
    <s v="Email not provided"/>
    <s v="555-555-5555"/>
    <n v="6"/>
    <x v="1"/>
  </r>
  <r>
    <x v="9"/>
    <x v="0"/>
    <x v="4"/>
    <x v="1"/>
    <x v="1"/>
    <x v="0"/>
    <d v="2019-12-01T00:00:00"/>
    <x v="4"/>
    <s v="name@company.org"/>
    <s v="098-765-4321"/>
    <n v="6"/>
    <x v="0"/>
  </r>
  <r>
    <x v="5"/>
    <x v="4"/>
    <x v="3"/>
    <x v="1"/>
    <x v="1"/>
    <x v="2"/>
    <d v="2019-12-01T00:00:00"/>
    <x v="4"/>
    <s v="Email not provided"/>
    <s v="Phone not provided"/>
    <n v="6"/>
    <x v="1"/>
  </r>
  <r>
    <x v="3"/>
    <x v="1"/>
    <x v="2"/>
    <x v="1"/>
    <x v="2"/>
    <x v="1"/>
    <d v="2020-01-15T00:00:00"/>
    <x v="3"/>
    <s v="email@example.com"/>
    <s v="123-456-7890"/>
    <n v="6"/>
    <x v="2"/>
  </r>
  <r>
    <x v="5"/>
    <x v="2"/>
    <x v="2"/>
    <x v="1"/>
    <x v="3"/>
    <x v="1"/>
    <d v="2018-04-05T00:00:00"/>
    <x v="0"/>
    <s v="email@example.com"/>
    <s v="555-555-5555"/>
    <n v="7"/>
    <x v="2"/>
  </r>
  <r>
    <x v="0"/>
    <x v="0"/>
    <x v="1"/>
    <x v="0"/>
    <x v="3"/>
    <x v="3"/>
    <d v="2020-02-20T00:00:00"/>
    <x v="3"/>
    <s v="name@company.org"/>
    <s v="Phone not provided"/>
    <n v="5"/>
    <x v="1"/>
  </r>
  <r>
    <x v="3"/>
    <x v="2"/>
    <x v="2"/>
    <x v="2"/>
    <x v="2"/>
    <x v="0"/>
    <d v="2020-02-20T00:00:00"/>
    <x v="2"/>
    <s v="name@company.org"/>
    <s v="123-456-7890"/>
    <n v="5"/>
    <x v="2"/>
  </r>
  <r>
    <x v="9"/>
    <x v="0"/>
    <x v="2"/>
    <x v="0"/>
    <x v="3"/>
    <x v="0"/>
    <d v="2020-02-20T00:00:00"/>
    <x v="3"/>
    <s v="Email not provided"/>
    <s v="098-765-4321"/>
    <n v="5"/>
    <x v="2"/>
  </r>
  <r>
    <x v="0"/>
    <x v="3"/>
    <x v="2"/>
    <x v="0"/>
    <x v="4"/>
    <x v="1"/>
    <d v="2020-02-20T00:00:00"/>
    <x v="0"/>
    <s v="Email not provided"/>
    <s v="Phone not provided"/>
    <n v="5"/>
    <x v="2"/>
  </r>
  <r>
    <x v="7"/>
    <x v="1"/>
    <x v="4"/>
    <x v="0"/>
    <x v="0"/>
    <x v="4"/>
    <d v="2019-12-01T00:00:00"/>
    <x v="4"/>
    <s v="user@domain.com"/>
    <s v="123-456-7890"/>
    <n v="6"/>
    <x v="0"/>
  </r>
  <r>
    <x v="1"/>
    <x v="0"/>
    <x v="4"/>
    <x v="1"/>
    <x v="1"/>
    <x v="3"/>
    <d v="2020-02-20T00:00:00"/>
    <x v="3"/>
    <s v="Email not provided"/>
    <s v="Phone not provided"/>
    <n v="5"/>
    <x v="0"/>
  </r>
  <r>
    <x v="9"/>
    <x v="2"/>
    <x v="3"/>
    <x v="1"/>
    <x v="0"/>
    <x v="3"/>
    <d v="2018-04-05T00:00:00"/>
    <x v="2"/>
    <s v="email@example.com"/>
    <s v="Phone not provided"/>
    <n v="7"/>
    <x v="1"/>
  </r>
  <r>
    <x v="7"/>
    <x v="3"/>
    <x v="0"/>
    <x v="1"/>
    <x v="1"/>
    <x v="1"/>
    <d v="2019-12-01T00:00:00"/>
    <x v="2"/>
    <s v="name@company.org"/>
    <s v="098-765-4321"/>
    <n v="6"/>
    <x v="0"/>
  </r>
  <r>
    <x v="4"/>
    <x v="0"/>
    <x v="2"/>
    <x v="2"/>
    <x v="4"/>
    <x v="1"/>
    <d v="2020-02-20T00:00:00"/>
    <x v="4"/>
    <s v="Email not provided"/>
    <s v="123-456-7890"/>
    <n v="5"/>
    <x v="2"/>
  </r>
  <r>
    <x v="9"/>
    <x v="1"/>
    <x v="3"/>
    <x v="0"/>
    <x v="3"/>
    <x v="4"/>
    <d v="2020-01-15T00:00:00"/>
    <x v="3"/>
    <s v="Email not provided"/>
    <s v="555-555-5555"/>
    <n v="6"/>
    <x v="1"/>
  </r>
  <r>
    <x v="4"/>
    <x v="1"/>
    <x v="2"/>
    <x v="2"/>
    <x v="2"/>
    <x v="4"/>
    <d v="2019-03-25T00:00:00"/>
    <x v="0"/>
    <s v="Email not provided"/>
    <s v="123-456-7890"/>
    <n v="6"/>
    <x v="2"/>
  </r>
  <r>
    <x v="3"/>
    <x v="0"/>
    <x v="0"/>
    <x v="1"/>
    <x v="4"/>
    <x v="0"/>
    <d v="2019-03-25T00:00:00"/>
    <x v="4"/>
    <s v="Email not provided"/>
    <s v="Phone not provided"/>
    <n v="6"/>
    <x v="0"/>
  </r>
  <r>
    <x v="7"/>
    <x v="3"/>
    <x v="2"/>
    <x v="2"/>
    <x v="0"/>
    <x v="3"/>
    <d v="2019-03-25T00:00:00"/>
    <x v="3"/>
    <s v="email@example.com"/>
    <s v="098-765-4321"/>
    <n v="6"/>
    <x v="2"/>
  </r>
  <r>
    <x v="1"/>
    <x v="1"/>
    <x v="2"/>
    <x v="0"/>
    <x v="2"/>
    <x v="3"/>
    <d v="2019-12-01T00:00:00"/>
    <x v="1"/>
    <s v="user@domain.com"/>
    <s v="098-765-4321"/>
    <n v="6"/>
    <x v="2"/>
  </r>
  <r>
    <x v="0"/>
    <x v="4"/>
    <x v="0"/>
    <x v="0"/>
    <x v="3"/>
    <x v="1"/>
    <d v="2020-02-20T00:00:00"/>
    <x v="2"/>
    <s v="Email not provided"/>
    <s v="555-555-5555"/>
    <n v="5"/>
    <x v="0"/>
  </r>
  <r>
    <x v="2"/>
    <x v="3"/>
    <x v="3"/>
    <x v="1"/>
    <x v="4"/>
    <x v="0"/>
    <d v="2019-12-01T00:00:00"/>
    <x v="0"/>
    <s v="Email not provided"/>
    <s v="098-765-4321"/>
    <n v="6"/>
    <x v="1"/>
  </r>
  <r>
    <x v="5"/>
    <x v="3"/>
    <x v="0"/>
    <x v="1"/>
    <x v="2"/>
    <x v="3"/>
    <d v="2018-04-05T00:00:00"/>
    <x v="0"/>
    <s v="user@domain.com"/>
    <s v="098-765-4321"/>
    <n v="7"/>
    <x v="0"/>
  </r>
  <r>
    <x v="8"/>
    <x v="1"/>
    <x v="1"/>
    <x v="2"/>
    <x v="4"/>
    <x v="0"/>
    <d v="2020-01-15T00:00:00"/>
    <x v="0"/>
    <s v="Email not provided"/>
    <s v="098-765-4321"/>
    <n v="6"/>
    <x v="1"/>
  </r>
  <r>
    <x v="1"/>
    <x v="3"/>
    <x v="4"/>
    <x v="1"/>
    <x v="4"/>
    <x v="0"/>
    <d v="2020-01-15T00:00:00"/>
    <x v="2"/>
    <s v="Email not provided"/>
    <s v="098-765-4321"/>
    <n v="6"/>
    <x v="0"/>
  </r>
  <r>
    <x v="7"/>
    <x v="1"/>
    <x v="3"/>
    <x v="1"/>
    <x v="3"/>
    <x v="1"/>
    <d v="2019-03-25T00:00:00"/>
    <x v="3"/>
    <s v="Email not provided"/>
    <s v="098-765-4321"/>
    <n v="6"/>
    <x v="1"/>
  </r>
  <r>
    <x v="2"/>
    <x v="0"/>
    <x v="2"/>
    <x v="0"/>
    <x v="1"/>
    <x v="0"/>
    <d v="2019-03-25T00:00:00"/>
    <x v="4"/>
    <s v="Email not provided"/>
    <s v="Phone not provided"/>
    <n v="6"/>
    <x v="2"/>
  </r>
  <r>
    <x v="1"/>
    <x v="1"/>
    <x v="1"/>
    <x v="1"/>
    <x v="2"/>
    <x v="4"/>
    <d v="2019-03-25T00:00:00"/>
    <x v="3"/>
    <s v="user@domain.com"/>
    <s v="123-456-7890"/>
    <n v="6"/>
    <x v="1"/>
  </r>
  <r>
    <x v="7"/>
    <x v="1"/>
    <x v="3"/>
    <x v="1"/>
    <x v="3"/>
    <x v="4"/>
    <d v="2020-02-20T00:00:00"/>
    <x v="4"/>
    <s v="email@example.com"/>
    <s v="Phone not provided"/>
    <n v="5"/>
    <x v="1"/>
  </r>
  <r>
    <x v="6"/>
    <x v="1"/>
    <x v="0"/>
    <x v="0"/>
    <x v="4"/>
    <x v="2"/>
    <d v="2018-04-05T00:00:00"/>
    <x v="0"/>
    <s v="Email not provided"/>
    <s v="098-765-4321"/>
    <n v="7"/>
    <x v="0"/>
  </r>
  <r>
    <x v="6"/>
    <x v="1"/>
    <x v="0"/>
    <x v="0"/>
    <x v="3"/>
    <x v="1"/>
    <d v="2018-04-05T00:00:00"/>
    <x v="3"/>
    <s v="email@example.com"/>
    <s v="Phone not provided"/>
    <n v="7"/>
    <x v="0"/>
  </r>
  <r>
    <x v="4"/>
    <x v="1"/>
    <x v="0"/>
    <x v="2"/>
    <x v="1"/>
    <x v="2"/>
    <d v="2018-04-05T00:00:00"/>
    <x v="0"/>
    <s v="user@domain.com"/>
    <s v="Phone not provided"/>
    <n v="7"/>
    <x v="0"/>
  </r>
  <r>
    <x v="1"/>
    <x v="4"/>
    <x v="0"/>
    <x v="1"/>
    <x v="2"/>
    <x v="4"/>
    <d v="2018-04-05T00:00:00"/>
    <x v="1"/>
    <s v="user@domain.com"/>
    <s v="Phone not provided"/>
    <n v="7"/>
    <x v="0"/>
  </r>
  <r>
    <x v="6"/>
    <x v="0"/>
    <x v="2"/>
    <x v="0"/>
    <x v="1"/>
    <x v="2"/>
    <d v="2019-03-25T00:00:00"/>
    <x v="0"/>
    <s v="Email not provided"/>
    <s v="098-765-4321"/>
    <n v="6"/>
    <x v="2"/>
  </r>
  <r>
    <x v="7"/>
    <x v="1"/>
    <x v="1"/>
    <x v="2"/>
    <x v="0"/>
    <x v="1"/>
    <d v="2020-01-15T00:00:00"/>
    <x v="0"/>
    <s v="Email not provided"/>
    <s v="Phone not provided"/>
    <n v="6"/>
    <x v="1"/>
  </r>
  <r>
    <x v="4"/>
    <x v="4"/>
    <x v="2"/>
    <x v="2"/>
    <x v="2"/>
    <x v="1"/>
    <d v="2019-03-25T00:00:00"/>
    <x v="4"/>
    <s v="name@company.org"/>
    <s v="098-765-4321"/>
    <n v="6"/>
    <x v="2"/>
  </r>
  <r>
    <x v="7"/>
    <x v="2"/>
    <x v="4"/>
    <x v="1"/>
    <x v="1"/>
    <x v="0"/>
    <d v="2018-04-05T00:00:00"/>
    <x v="1"/>
    <s v="user@domain.com"/>
    <s v="555-555-5555"/>
    <n v="7"/>
    <x v="0"/>
  </r>
  <r>
    <x v="4"/>
    <x v="0"/>
    <x v="2"/>
    <x v="1"/>
    <x v="4"/>
    <x v="3"/>
    <d v="2019-03-25T00:00:00"/>
    <x v="0"/>
    <s v="Email not provided"/>
    <s v="555-555-5555"/>
    <n v="6"/>
    <x v="2"/>
  </r>
  <r>
    <x v="1"/>
    <x v="0"/>
    <x v="2"/>
    <x v="2"/>
    <x v="2"/>
    <x v="0"/>
    <d v="2018-04-05T00:00:00"/>
    <x v="0"/>
    <s v="email@example.com"/>
    <s v="555-555-5555"/>
    <n v="7"/>
    <x v="2"/>
  </r>
  <r>
    <x v="2"/>
    <x v="2"/>
    <x v="2"/>
    <x v="0"/>
    <x v="2"/>
    <x v="1"/>
    <d v="2019-12-01T00:00:00"/>
    <x v="1"/>
    <s v="Email not provided"/>
    <s v="Phone not provided"/>
    <n v="6"/>
    <x v="2"/>
  </r>
  <r>
    <x v="0"/>
    <x v="1"/>
    <x v="2"/>
    <x v="2"/>
    <x v="3"/>
    <x v="4"/>
    <d v="2020-01-15T00:00:00"/>
    <x v="1"/>
    <s v="email@example.com"/>
    <s v="555-555-5555"/>
    <n v="6"/>
    <x v="2"/>
  </r>
  <r>
    <x v="9"/>
    <x v="4"/>
    <x v="4"/>
    <x v="1"/>
    <x v="4"/>
    <x v="4"/>
    <d v="2019-12-01T00:00:00"/>
    <x v="3"/>
    <s v="user@domain.com"/>
    <s v="Phone not provided"/>
    <n v="6"/>
    <x v="0"/>
  </r>
  <r>
    <x v="2"/>
    <x v="3"/>
    <x v="4"/>
    <x v="0"/>
    <x v="0"/>
    <x v="0"/>
    <d v="2020-02-20T00:00:00"/>
    <x v="4"/>
    <s v="user@domain.com"/>
    <s v="Phone not provided"/>
    <n v="5"/>
    <x v="0"/>
  </r>
  <r>
    <x v="3"/>
    <x v="1"/>
    <x v="2"/>
    <x v="0"/>
    <x v="1"/>
    <x v="1"/>
    <d v="2019-03-25T00:00:00"/>
    <x v="1"/>
    <s v="email@example.com"/>
    <s v="Phone not provided"/>
    <n v="6"/>
    <x v="2"/>
  </r>
  <r>
    <x v="7"/>
    <x v="3"/>
    <x v="0"/>
    <x v="2"/>
    <x v="3"/>
    <x v="4"/>
    <d v="2020-02-20T00:00:00"/>
    <x v="1"/>
    <s v="user@domain.com"/>
    <s v="098-765-4321"/>
    <n v="5"/>
    <x v="0"/>
  </r>
  <r>
    <x v="3"/>
    <x v="2"/>
    <x v="2"/>
    <x v="1"/>
    <x v="1"/>
    <x v="1"/>
    <d v="2019-03-25T00:00:00"/>
    <x v="2"/>
    <s v="Email not provided"/>
    <s v="123-456-7890"/>
    <n v="6"/>
    <x v="2"/>
  </r>
  <r>
    <x v="2"/>
    <x v="0"/>
    <x v="3"/>
    <x v="2"/>
    <x v="0"/>
    <x v="4"/>
    <d v="2019-12-01T00:00:00"/>
    <x v="1"/>
    <s v="user@domain.com"/>
    <s v="098-765-4321"/>
    <n v="6"/>
    <x v="1"/>
  </r>
  <r>
    <x v="4"/>
    <x v="0"/>
    <x v="4"/>
    <x v="2"/>
    <x v="0"/>
    <x v="1"/>
    <d v="2018-04-05T00:00:00"/>
    <x v="4"/>
    <s v="Email not provided"/>
    <s v="098-765-4321"/>
    <n v="7"/>
    <x v="0"/>
  </r>
  <r>
    <x v="9"/>
    <x v="1"/>
    <x v="4"/>
    <x v="2"/>
    <x v="2"/>
    <x v="2"/>
    <d v="2018-04-05T00:00:00"/>
    <x v="0"/>
    <s v="Email not provided"/>
    <s v="098-765-4321"/>
    <n v="7"/>
    <x v="0"/>
  </r>
  <r>
    <x v="9"/>
    <x v="0"/>
    <x v="2"/>
    <x v="0"/>
    <x v="0"/>
    <x v="1"/>
    <d v="2019-03-25T00:00:00"/>
    <x v="0"/>
    <s v="name@company.org"/>
    <s v="098-765-4321"/>
    <n v="6"/>
    <x v="2"/>
  </r>
  <r>
    <x v="8"/>
    <x v="0"/>
    <x v="1"/>
    <x v="0"/>
    <x v="1"/>
    <x v="1"/>
    <d v="2018-04-05T00:00:00"/>
    <x v="0"/>
    <s v="user@domain.com"/>
    <s v="123-456-7890"/>
    <n v="7"/>
    <x v="1"/>
  </r>
  <r>
    <x v="9"/>
    <x v="1"/>
    <x v="3"/>
    <x v="1"/>
    <x v="4"/>
    <x v="0"/>
    <d v="2019-12-01T00:00:00"/>
    <x v="0"/>
    <s v="user@domain.com"/>
    <s v="555-555-5555"/>
    <n v="6"/>
    <x v="1"/>
  </r>
  <r>
    <x v="0"/>
    <x v="4"/>
    <x v="3"/>
    <x v="1"/>
    <x v="4"/>
    <x v="2"/>
    <d v="2018-04-05T00:00:00"/>
    <x v="2"/>
    <s v="Email not provided"/>
    <s v="098-765-4321"/>
    <n v="7"/>
    <x v="1"/>
  </r>
  <r>
    <x v="9"/>
    <x v="4"/>
    <x v="4"/>
    <x v="2"/>
    <x v="2"/>
    <x v="3"/>
    <d v="2019-12-01T00:00:00"/>
    <x v="1"/>
    <s v="Email not provided"/>
    <s v="Phone not provided"/>
    <n v="6"/>
    <x v="0"/>
  </r>
  <r>
    <x v="2"/>
    <x v="1"/>
    <x v="0"/>
    <x v="2"/>
    <x v="1"/>
    <x v="0"/>
    <d v="2020-02-20T00:00:00"/>
    <x v="0"/>
    <s v="email@example.com"/>
    <s v="Phone not provided"/>
    <n v="5"/>
    <x v="0"/>
  </r>
  <r>
    <x v="8"/>
    <x v="2"/>
    <x v="1"/>
    <x v="2"/>
    <x v="1"/>
    <x v="3"/>
    <d v="2019-12-01T00:00:00"/>
    <x v="3"/>
    <s v="email@example.com"/>
    <s v="Phone not provided"/>
    <n v="6"/>
    <x v="1"/>
  </r>
  <r>
    <x v="2"/>
    <x v="0"/>
    <x v="3"/>
    <x v="1"/>
    <x v="0"/>
    <x v="4"/>
    <d v="2020-01-15T00:00:00"/>
    <x v="0"/>
    <s v="email@example.com"/>
    <s v="Phone not provided"/>
    <n v="6"/>
    <x v="1"/>
  </r>
  <r>
    <x v="2"/>
    <x v="0"/>
    <x v="4"/>
    <x v="0"/>
    <x v="1"/>
    <x v="3"/>
    <d v="2020-01-15T00:00:00"/>
    <x v="1"/>
    <s v="Email not provided"/>
    <s v="098-765-4321"/>
    <n v="6"/>
    <x v="0"/>
  </r>
  <r>
    <x v="5"/>
    <x v="2"/>
    <x v="3"/>
    <x v="0"/>
    <x v="3"/>
    <x v="1"/>
    <d v="2020-01-15T00:00:00"/>
    <x v="0"/>
    <s v="email@example.com"/>
    <s v="123-456-7890"/>
    <n v="6"/>
    <x v="1"/>
  </r>
  <r>
    <x v="8"/>
    <x v="4"/>
    <x v="1"/>
    <x v="2"/>
    <x v="0"/>
    <x v="3"/>
    <d v="2019-03-25T00:00:00"/>
    <x v="2"/>
    <s v="email@example.com"/>
    <s v="555-555-5555"/>
    <n v="6"/>
    <x v="1"/>
  </r>
  <r>
    <x v="2"/>
    <x v="1"/>
    <x v="1"/>
    <x v="2"/>
    <x v="3"/>
    <x v="0"/>
    <d v="2019-03-25T00:00:00"/>
    <x v="4"/>
    <s v="name@company.org"/>
    <s v="Phone not provided"/>
    <n v="6"/>
    <x v="1"/>
  </r>
  <r>
    <x v="5"/>
    <x v="1"/>
    <x v="2"/>
    <x v="2"/>
    <x v="2"/>
    <x v="0"/>
    <d v="2019-03-25T00:00:00"/>
    <x v="4"/>
    <s v="email@example.com"/>
    <s v="555-555-5555"/>
    <n v="6"/>
    <x v="2"/>
  </r>
  <r>
    <x v="5"/>
    <x v="1"/>
    <x v="2"/>
    <x v="2"/>
    <x v="4"/>
    <x v="3"/>
    <d v="2019-12-01T00:00:00"/>
    <x v="1"/>
    <s v="user@domain.com"/>
    <s v="123-456-7890"/>
    <n v="6"/>
    <x v="2"/>
  </r>
  <r>
    <x v="8"/>
    <x v="4"/>
    <x v="2"/>
    <x v="1"/>
    <x v="2"/>
    <x v="0"/>
    <d v="2019-03-25T00:00:00"/>
    <x v="4"/>
    <s v="Email not provided"/>
    <s v="Phone not provided"/>
    <n v="6"/>
    <x v="2"/>
  </r>
  <r>
    <x v="3"/>
    <x v="4"/>
    <x v="4"/>
    <x v="0"/>
    <x v="4"/>
    <x v="0"/>
    <d v="2020-02-20T00:00:00"/>
    <x v="4"/>
    <s v="Email not provided"/>
    <s v="555-555-5555"/>
    <n v="5"/>
    <x v="0"/>
  </r>
  <r>
    <x v="4"/>
    <x v="2"/>
    <x v="1"/>
    <x v="2"/>
    <x v="2"/>
    <x v="3"/>
    <d v="2020-01-15T00:00:00"/>
    <x v="3"/>
    <s v="name@company.org"/>
    <s v="123-456-7890"/>
    <n v="6"/>
    <x v="1"/>
  </r>
  <r>
    <x v="0"/>
    <x v="0"/>
    <x v="2"/>
    <x v="1"/>
    <x v="1"/>
    <x v="2"/>
    <d v="2019-12-01T00:00:00"/>
    <x v="1"/>
    <s v="Email not provided"/>
    <s v="555-555-5555"/>
    <n v="6"/>
    <x v="2"/>
  </r>
  <r>
    <x v="4"/>
    <x v="2"/>
    <x v="2"/>
    <x v="2"/>
    <x v="3"/>
    <x v="2"/>
    <d v="2020-01-15T00:00:00"/>
    <x v="1"/>
    <s v="Email not provided"/>
    <s v="098-765-4321"/>
    <n v="6"/>
    <x v="2"/>
  </r>
  <r>
    <x v="9"/>
    <x v="2"/>
    <x v="3"/>
    <x v="2"/>
    <x v="4"/>
    <x v="4"/>
    <d v="2019-03-25T00:00:00"/>
    <x v="4"/>
    <s v="user@domain.com"/>
    <s v="123-456-7890"/>
    <n v="6"/>
    <x v="1"/>
  </r>
  <r>
    <x v="0"/>
    <x v="4"/>
    <x v="3"/>
    <x v="0"/>
    <x v="0"/>
    <x v="0"/>
    <d v="2019-12-01T00:00:00"/>
    <x v="4"/>
    <s v="email@example.com"/>
    <s v="555-555-5555"/>
    <n v="6"/>
    <x v="1"/>
  </r>
  <r>
    <x v="9"/>
    <x v="1"/>
    <x v="2"/>
    <x v="2"/>
    <x v="3"/>
    <x v="3"/>
    <d v="2018-04-05T00:00:00"/>
    <x v="4"/>
    <s v="user@domain.com"/>
    <s v="098-765-4321"/>
    <n v="7"/>
    <x v="2"/>
  </r>
  <r>
    <x v="2"/>
    <x v="3"/>
    <x v="3"/>
    <x v="0"/>
    <x v="0"/>
    <x v="0"/>
    <d v="2020-02-20T00:00:00"/>
    <x v="2"/>
    <s v="email@example.com"/>
    <s v="098-765-4321"/>
    <n v="5"/>
    <x v="1"/>
  </r>
  <r>
    <x v="7"/>
    <x v="0"/>
    <x v="1"/>
    <x v="0"/>
    <x v="3"/>
    <x v="1"/>
    <d v="2019-03-25T00:00:00"/>
    <x v="0"/>
    <s v="email@example.com"/>
    <s v="123-456-7890"/>
    <n v="6"/>
    <x v="1"/>
  </r>
  <r>
    <x v="8"/>
    <x v="4"/>
    <x v="0"/>
    <x v="0"/>
    <x v="3"/>
    <x v="0"/>
    <d v="2019-03-25T00:00:00"/>
    <x v="2"/>
    <s v="Email not provided"/>
    <s v="Phone not provided"/>
    <n v="6"/>
    <x v="0"/>
  </r>
  <r>
    <x v="0"/>
    <x v="1"/>
    <x v="1"/>
    <x v="1"/>
    <x v="2"/>
    <x v="0"/>
    <d v="2020-02-20T00:00:00"/>
    <x v="1"/>
    <s v="email@example.com"/>
    <s v="Phone not provided"/>
    <n v="5"/>
    <x v="1"/>
  </r>
  <r>
    <x v="0"/>
    <x v="3"/>
    <x v="2"/>
    <x v="1"/>
    <x v="4"/>
    <x v="2"/>
    <d v="2020-02-20T00:00:00"/>
    <x v="3"/>
    <s v="name@company.org"/>
    <s v="123-456-7890"/>
    <n v="5"/>
    <x v="2"/>
  </r>
  <r>
    <x v="2"/>
    <x v="3"/>
    <x v="2"/>
    <x v="0"/>
    <x v="4"/>
    <x v="3"/>
    <d v="2018-04-05T00:00:00"/>
    <x v="0"/>
    <s v="name@company.org"/>
    <s v="098-765-4321"/>
    <n v="7"/>
    <x v="2"/>
  </r>
  <r>
    <x v="3"/>
    <x v="4"/>
    <x v="1"/>
    <x v="2"/>
    <x v="3"/>
    <x v="0"/>
    <d v="2019-03-25T00:00:00"/>
    <x v="3"/>
    <s v="name@company.org"/>
    <s v="098-765-4321"/>
    <n v="6"/>
    <x v="1"/>
  </r>
  <r>
    <x v="5"/>
    <x v="1"/>
    <x v="3"/>
    <x v="0"/>
    <x v="1"/>
    <x v="2"/>
    <d v="2019-03-25T00:00:00"/>
    <x v="1"/>
    <s v="Email not provided"/>
    <s v="123-456-7890"/>
    <n v="6"/>
    <x v="1"/>
  </r>
  <r>
    <x v="2"/>
    <x v="0"/>
    <x v="3"/>
    <x v="2"/>
    <x v="1"/>
    <x v="4"/>
    <d v="2020-01-15T00:00:00"/>
    <x v="1"/>
    <s v="user@domain.com"/>
    <s v="Phone not provided"/>
    <n v="6"/>
    <x v="1"/>
  </r>
  <r>
    <x v="6"/>
    <x v="3"/>
    <x v="2"/>
    <x v="0"/>
    <x v="0"/>
    <x v="2"/>
    <d v="2019-12-01T00:00:00"/>
    <x v="3"/>
    <s v="Email not provided"/>
    <s v="Phone not provided"/>
    <n v="6"/>
    <x v="2"/>
  </r>
  <r>
    <x v="5"/>
    <x v="4"/>
    <x v="2"/>
    <x v="2"/>
    <x v="0"/>
    <x v="2"/>
    <d v="2019-12-01T00:00:00"/>
    <x v="3"/>
    <s v="email@example.com"/>
    <s v="555-555-5555"/>
    <n v="6"/>
    <x v="2"/>
  </r>
  <r>
    <x v="8"/>
    <x v="4"/>
    <x v="4"/>
    <x v="1"/>
    <x v="2"/>
    <x v="2"/>
    <d v="2020-01-15T00:00:00"/>
    <x v="3"/>
    <s v="Email not provided"/>
    <s v="123-456-7890"/>
    <n v="6"/>
    <x v="0"/>
  </r>
  <r>
    <x v="5"/>
    <x v="1"/>
    <x v="2"/>
    <x v="2"/>
    <x v="3"/>
    <x v="0"/>
    <d v="2019-12-01T00:00:00"/>
    <x v="1"/>
    <s v="user@domain.com"/>
    <s v="Phone not provided"/>
    <n v="6"/>
    <x v="2"/>
  </r>
  <r>
    <x v="3"/>
    <x v="1"/>
    <x v="3"/>
    <x v="0"/>
    <x v="0"/>
    <x v="0"/>
    <d v="2020-02-20T00:00:00"/>
    <x v="4"/>
    <s v="user@domain.com"/>
    <s v="Phone not provided"/>
    <n v="5"/>
    <x v="1"/>
  </r>
  <r>
    <x v="5"/>
    <x v="0"/>
    <x v="1"/>
    <x v="1"/>
    <x v="0"/>
    <x v="4"/>
    <d v="2019-12-01T00:00:00"/>
    <x v="3"/>
    <s v="Email not provided"/>
    <s v="098-765-4321"/>
    <n v="6"/>
    <x v="1"/>
  </r>
  <r>
    <x v="8"/>
    <x v="2"/>
    <x v="3"/>
    <x v="2"/>
    <x v="3"/>
    <x v="1"/>
    <d v="2019-12-01T00:00:00"/>
    <x v="0"/>
    <s v="name@company.org"/>
    <s v="555-555-5555"/>
    <n v="6"/>
    <x v="1"/>
  </r>
  <r>
    <x v="3"/>
    <x v="1"/>
    <x v="1"/>
    <x v="2"/>
    <x v="2"/>
    <x v="1"/>
    <d v="2020-01-15T00:00:00"/>
    <x v="1"/>
    <s v="name@company.org"/>
    <s v="123-456-7890"/>
    <n v="6"/>
    <x v="1"/>
  </r>
  <r>
    <x v="4"/>
    <x v="3"/>
    <x v="2"/>
    <x v="2"/>
    <x v="0"/>
    <x v="1"/>
    <d v="2018-04-05T00:00:00"/>
    <x v="2"/>
    <s v="user@domain.com"/>
    <s v="098-765-4321"/>
    <n v="7"/>
    <x v="2"/>
  </r>
  <r>
    <x v="0"/>
    <x v="3"/>
    <x v="2"/>
    <x v="2"/>
    <x v="2"/>
    <x v="4"/>
    <d v="2019-12-01T00:00:00"/>
    <x v="2"/>
    <s v="Email not provided"/>
    <s v="098-765-4321"/>
    <n v="6"/>
    <x v="2"/>
  </r>
  <r>
    <x v="0"/>
    <x v="1"/>
    <x v="3"/>
    <x v="2"/>
    <x v="4"/>
    <x v="1"/>
    <d v="2019-12-01T00:00:00"/>
    <x v="0"/>
    <s v="Email not provided"/>
    <s v="Phone not provided"/>
    <n v="6"/>
    <x v="1"/>
  </r>
  <r>
    <x v="9"/>
    <x v="4"/>
    <x v="1"/>
    <x v="1"/>
    <x v="2"/>
    <x v="1"/>
    <d v="2018-04-05T00:00:00"/>
    <x v="4"/>
    <s v="email@example.com"/>
    <s v="Phone not provided"/>
    <n v="7"/>
    <x v="1"/>
  </r>
  <r>
    <x v="4"/>
    <x v="3"/>
    <x v="2"/>
    <x v="1"/>
    <x v="1"/>
    <x v="2"/>
    <d v="2020-01-15T00:00:00"/>
    <x v="3"/>
    <s v="name@company.org"/>
    <s v="123-456-7890"/>
    <n v="6"/>
    <x v="2"/>
  </r>
  <r>
    <x v="4"/>
    <x v="1"/>
    <x v="4"/>
    <x v="1"/>
    <x v="1"/>
    <x v="0"/>
    <d v="2018-04-05T00:00:00"/>
    <x v="1"/>
    <s v="user@domain.com"/>
    <s v="123-456-7890"/>
    <n v="7"/>
    <x v="0"/>
  </r>
  <r>
    <x v="5"/>
    <x v="0"/>
    <x v="1"/>
    <x v="1"/>
    <x v="2"/>
    <x v="0"/>
    <d v="2020-01-15T00:00:00"/>
    <x v="3"/>
    <s v="Email not provided"/>
    <s v="123-456-7890"/>
    <n v="6"/>
    <x v="1"/>
  </r>
  <r>
    <x v="0"/>
    <x v="1"/>
    <x v="2"/>
    <x v="0"/>
    <x v="1"/>
    <x v="2"/>
    <d v="2020-02-20T00:00:00"/>
    <x v="1"/>
    <s v="name@company.org"/>
    <s v="098-765-4321"/>
    <n v="5"/>
    <x v="2"/>
  </r>
  <r>
    <x v="8"/>
    <x v="3"/>
    <x v="4"/>
    <x v="1"/>
    <x v="4"/>
    <x v="2"/>
    <d v="2020-01-15T00:00:00"/>
    <x v="2"/>
    <s v="email@example.com"/>
    <s v="Phone not provided"/>
    <n v="6"/>
    <x v="0"/>
  </r>
  <r>
    <x v="1"/>
    <x v="2"/>
    <x v="4"/>
    <x v="2"/>
    <x v="3"/>
    <x v="2"/>
    <d v="2020-02-20T00:00:00"/>
    <x v="3"/>
    <s v="Email not provided"/>
    <s v="555-555-5555"/>
    <n v="5"/>
    <x v="0"/>
  </r>
  <r>
    <x v="1"/>
    <x v="0"/>
    <x v="0"/>
    <x v="2"/>
    <x v="1"/>
    <x v="0"/>
    <d v="2020-02-20T00:00:00"/>
    <x v="0"/>
    <s v="user@domain.com"/>
    <s v="098-765-4321"/>
    <n v="5"/>
    <x v="0"/>
  </r>
  <r>
    <x v="3"/>
    <x v="0"/>
    <x v="3"/>
    <x v="1"/>
    <x v="1"/>
    <x v="1"/>
    <d v="2020-01-15T00:00:00"/>
    <x v="4"/>
    <s v="name@company.org"/>
    <s v="555-555-5555"/>
    <n v="6"/>
    <x v="1"/>
  </r>
  <r>
    <x v="0"/>
    <x v="1"/>
    <x v="1"/>
    <x v="2"/>
    <x v="2"/>
    <x v="2"/>
    <d v="2019-03-25T00:00:00"/>
    <x v="0"/>
    <s v="Email not provided"/>
    <s v="Phone not provided"/>
    <n v="6"/>
    <x v="1"/>
  </r>
  <r>
    <x v="0"/>
    <x v="1"/>
    <x v="4"/>
    <x v="1"/>
    <x v="4"/>
    <x v="4"/>
    <d v="2020-01-15T00:00:00"/>
    <x v="4"/>
    <s v="email@example.com"/>
    <s v="Phone not provided"/>
    <n v="6"/>
    <x v="0"/>
  </r>
  <r>
    <x v="1"/>
    <x v="2"/>
    <x v="0"/>
    <x v="2"/>
    <x v="3"/>
    <x v="2"/>
    <d v="2019-12-01T00:00:00"/>
    <x v="3"/>
    <s v="email@example.com"/>
    <s v="123-456-7890"/>
    <n v="6"/>
    <x v="0"/>
  </r>
  <r>
    <x v="0"/>
    <x v="4"/>
    <x v="2"/>
    <x v="0"/>
    <x v="2"/>
    <x v="3"/>
    <d v="2019-12-01T00:00:00"/>
    <x v="3"/>
    <s v="name@company.org"/>
    <s v="555-555-5555"/>
    <n v="6"/>
    <x v="2"/>
  </r>
  <r>
    <x v="5"/>
    <x v="0"/>
    <x v="2"/>
    <x v="0"/>
    <x v="2"/>
    <x v="2"/>
    <d v="2019-03-25T00:00:00"/>
    <x v="4"/>
    <s v="Email not provided"/>
    <s v="098-765-4321"/>
    <n v="6"/>
    <x v="2"/>
  </r>
  <r>
    <x v="6"/>
    <x v="2"/>
    <x v="1"/>
    <x v="1"/>
    <x v="4"/>
    <x v="0"/>
    <d v="2020-02-20T00:00:00"/>
    <x v="2"/>
    <s v="email@example.com"/>
    <s v="555-555-5555"/>
    <n v="5"/>
    <x v="1"/>
  </r>
  <r>
    <x v="7"/>
    <x v="1"/>
    <x v="4"/>
    <x v="1"/>
    <x v="3"/>
    <x v="2"/>
    <d v="2019-03-25T00:00:00"/>
    <x v="1"/>
    <s v="user@domain.com"/>
    <s v="Phone not provided"/>
    <n v="6"/>
    <x v="0"/>
  </r>
  <r>
    <x v="4"/>
    <x v="1"/>
    <x v="3"/>
    <x v="1"/>
    <x v="4"/>
    <x v="3"/>
    <d v="2019-12-01T00:00:00"/>
    <x v="0"/>
    <s v="email@example.com"/>
    <s v="123-456-7890"/>
    <n v="6"/>
    <x v="1"/>
  </r>
  <r>
    <x v="9"/>
    <x v="0"/>
    <x v="0"/>
    <x v="2"/>
    <x v="3"/>
    <x v="4"/>
    <d v="2019-03-25T00:00:00"/>
    <x v="0"/>
    <s v="Email not provided"/>
    <s v="555-555-5555"/>
    <n v="6"/>
    <x v="0"/>
  </r>
  <r>
    <x v="3"/>
    <x v="1"/>
    <x v="4"/>
    <x v="1"/>
    <x v="4"/>
    <x v="1"/>
    <d v="2020-01-15T00:00:00"/>
    <x v="0"/>
    <s v="Email not provided"/>
    <s v="Phone not provided"/>
    <n v="6"/>
    <x v="0"/>
  </r>
  <r>
    <x v="6"/>
    <x v="3"/>
    <x v="3"/>
    <x v="0"/>
    <x v="2"/>
    <x v="2"/>
    <d v="2019-03-25T00:00:00"/>
    <x v="3"/>
    <s v="Email not provided"/>
    <s v="098-765-4321"/>
    <n v="6"/>
    <x v="1"/>
  </r>
  <r>
    <x v="1"/>
    <x v="1"/>
    <x v="4"/>
    <x v="2"/>
    <x v="2"/>
    <x v="3"/>
    <d v="2020-02-20T00:00:00"/>
    <x v="0"/>
    <s v="name@company.org"/>
    <s v="Phone not provided"/>
    <n v="5"/>
    <x v="0"/>
  </r>
  <r>
    <x v="4"/>
    <x v="4"/>
    <x v="1"/>
    <x v="1"/>
    <x v="0"/>
    <x v="3"/>
    <d v="2020-01-15T00:00:00"/>
    <x v="1"/>
    <s v="Email not provided"/>
    <s v="098-765-4321"/>
    <n v="6"/>
    <x v="1"/>
  </r>
  <r>
    <x v="0"/>
    <x v="4"/>
    <x v="1"/>
    <x v="2"/>
    <x v="1"/>
    <x v="4"/>
    <d v="2018-04-05T00:00:00"/>
    <x v="1"/>
    <s v="email@example.com"/>
    <s v="123-456-7890"/>
    <n v="7"/>
    <x v="1"/>
  </r>
  <r>
    <x v="9"/>
    <x v="1"/>
    <x v="1"/>
    <x v="2"/>
    <x v="4"/>
    <x v="0"/>
    <d v="2019-12-01T00:00:00"/>
    <x v="4"/>
    <s v="email@example.com"/>
    <s v="098-765-4321"/>
    <n v="6"/>
    <x v="1"/>
  </r>
  <r>
    <x v="0"/>
    <x v="1"/>
    <x v="2"/>
    <x v="1"/>
    <x v="0"/>
    <x v="2"/>
    <d v="2019-12-01T00:00:00"/>
    <x v="3"/>
    <s v="Email not provided"/>
    <s v="098-765-4321"/>
    <n v="6"/>
    <x v="2"/>
  </r>
  <r>
    <x v="8"/>
    <x v="1"/>
    <x v="2"/>
    <x v="2"/>
    <x v="1"/>
    <x v="3"/>
    <d v="2019-03-25T00:00:00"/>
    <x v="1"/>
    <s v="Email not provided"/>
    <s v="098-765-4321"/>
    <n v="6"/>
    <x v="2"/>
  </r>
  <r>
    <x v="8"/>
    <x v="2"/>
    <x v="0"/>
    <x v="0"/>
    <x v="4"/>
    <x v="4"/>
    <d v="2020-01-15T00:00:00"/>
    <x v="2"/>
    <s v="user@domain.com"/>
    <s v="098-765-4321"/>
    <n v="6"/>
    <x v="0"/>
  </r>
  <r>
    <x v="9"/>
    <x v="4"/>
    <x v="1"/>
    <x v="0"/>
    <x v="3"/>
    <x v="1"/>
    <d v="2018-04-05T00:00:00"/>
    <x v="3"/>
    <s v="Email not provided"/>
    <s v="123-456-7890"/>
    <n v="7"/>
    <x v="1"/>
  </r>
  <r>
    <x v="9"/>
    <x v="2"/>
    <x v="3"/>
    <x v="2"/>
    <x v="1"/>
    <x v="3"/>
    <d v="2020-01-15T00:00:00"/>
    <x v="3"/>
    <s v="user@domain.com"/>
    <s v="Phone not provided"/>
    <n v="6"/>
    <x v="1"/>
  </r>
  <r>
    <x v="1"/>
    <x v="4"/>
    <x v="4"/>
    <x v="1"/>
    <x v="2"/>
    <x v="4"/>
    <d v="2019-12-01T00:00:00"/>
    <x v="1"/>
    <s v="email@example.com"/>
    <s v="555-555-5555"/>
    <n v="6"/>
    <x v="0"/>
  </r>
  <r>
    <x v="9"/>
    <x v="3"/>
    <x v="2"/>
    <x v="2"/>
    <x v="0"/>
    <x v="0"/>
    <d v="2020-01-15T00:00:00"/>
    <x v="2"/>
    <s v="user@domain.com"/>
    <s v="Phone not provided"/>
    <n v="6"/>
    <x v="2"/>
  </r>
  <r>
    <x v="5"/>
    <x v="3"/>
    <x v="3"/>
    <x v="0"/>
    <x v="1"/>
    <x v="0"/>
    <d v="2018-04-05T00:00:00"/>
    <x v="4"/>
    <s v="user@domain.com"/>
    <s v="555-555-5555"/>
    <n v="7"/>
    <x v="1"/>
  </r>
  <r>
    <x v="0"/>
    <x v="0"/>
    <x v="2"/>
    <x v="2"/>
    <x v="1"/>
    <x v="3"/>
    <d v="2019-03-25T00:00:00"/>
    <x v="1"/>
    <s v="name@company.org"/>
    <s v="555-555-5555"/>
    <n v="6"/>
    <x v="2"/>
  </r>
  <r>
    <x v="6"/>
    <x v="2"/>
    <x v="2"/>
    <x v="2"/>
    <x v="2"/>
    <x v="3"/>
    <d v="2020-02-20T00:00:00"/>
    <x v="2"/>
    <s v="Email not provided"/>
    <s v="Phone not provided"/>
    <n v="5"/>
    <x v="2"/>
  </r>
  <r>
    <x v="2"/>
    <x v="1"/>
    <x v="3"/>
    <x v="0"/>
    <x v="4"/>
    <x v="2"/>
    <d v="2020-01-15T00:00:00"/>
    <x v="3"/>
    <s v="user@domain.com"/>
    <s v="123-456-7890"/>
    <n v="6"/>
    <x v="1"/>
  </r>
  <r>
    <x v="9"/>
    <x v="2"/>
    <x v="2"/>
    <x v="2"/>
    <x v="3"/>
    <x v="4"/>
    <d v="2020-02-20T00:00:00"/>
    <x v="2"/>
    <s v="email@example.com"/>
    <s v="Phone not provided"/>
    <n v="5"/>
    <x v="2"/>
  </r>
  <r>
    <x v="3"/>
    <x v="1"/>
    <x v="1"/>
    <x v="2"/>
    <x v="2"/>
    <x v="3"/>
    <d v="2019-12-01T00:00:00"/>
    <x v="3"/>
    <s v="Email not provided"/>
    <s v="123-456-7890"/>
    <n v="6"/>
    <x v="1"/>
  </r>
  <r>
    <x v="8"/>
    <x v="1"/>
    <x v="0"/>
    <x v="1"/>
    <x v="3"/>
    <x v="2"/>
    <d v="2019-03-25T00:00:00"/>
    <x v="1"/>
    <s v="user@domain.com"/>
    <s v="555-555-5555"/>
    <n v="6"/>
    <x v="0"/>
  </r>
  <r>
    <x v="5"/>
    <x v="2"/>
    <x v="4"/>
    <x v="1"/>
    <x v="4"/>
    <x v="2"/>
    <d v="2019-03-25T00:00:00"/>
    <x v="1"/>
    <s v="Email not provided"/>
    <s v="123-456-7890"/>
    <n v="6"/>
    <x v="0"/>
  </r>
  <r>
    <x v="4"/>
    <x v="1"/>
    <x v="0"/>
    <x v="0"/>
    <x v="1"/>
    <x v="3"/>
    <d v="2020-01-15T00:00:00"/>
    <x v="0"/>
    <s v="name@company.org"/>
    <s v="Phone not provided"/>
    <n v="6"/>
    <x v="0"/>
  </r>
  <r>
    <x v="2"/>
    <x v="3"/>
    <x v="4"/>
    <x v="0"/>
    <x v="3"/>
    <x v="0"/>
    <d v="2019-03-25T00:00:00"/>
    <x v="0"/>
    <s v="email@example.com"/>
    <s v="Phone not provided"/>
    <n v="6"/>
    <x v="0"/>
  </r>
  <r>
    <x v="6"/>
    <x v="3"/>
    <x v="4"/>
    <x v="0"/>
    <x v="0"/>
    <x v="4"/>
    <d v="2020-01-15T00:00:00"/>
    <x v="0"/>
    <s v="name@company.org"/>
    <s v="Phone not provided"/>
    <n v="6"/>
    <x v="0"/>
  </r>
  <r>
    <x v="2"/>
    <x v="0"/>
    <x v="0"/>
    <x v="1"/>
    <x v="0"/>
    <x v="4"/>
    <d v="2020-01-15T00:00:00"/>
    <x v="1"/>
    <s v="Email not provided"/>
    <s v="555-555-5555"/>
    <n v="6"/>
    <x v="0"/>
  </r>
  <r>
    <x v="9"/>
    <x v="2"/>
    <x v="3"/>
    <x v="0"/>
    <x v="2"/>
    <x v="0"/>
    <d v="2020-02-20T00:00:00"/>
    <x v="4"/>
    <s v="user@domain.com"/>
    <s v="Phone not provided"/>
    <n v="5"/>
    <x v="1"/>
  </r>
  <r>
    <x v="1"/>
    <x v="1"/>
    <x v="4"/>
    <x v="0"/>
    <x v="4"/>
    <x v="3"/>
    <d v="2019-03-25T00:00:00"/>
    <x v="1"/>
    <s v="user@domain.com"/>
    <s v="555-555-5555"/>
    <n v="6"/>
    <x v="0"/>
  </r>
  <r>
    <x v="8"/>
    <x v="1"/>
    <x v="0"/>
    <x v="0"/>
    <x v="2"/>
    <x v="4"/>
    <d v="2020-01-15T00:00:00"/>
    <x v="2"/>
    <s v="Email not provided"/>
    <s v="Phone not provided"/>
    <n v="6"/>
    <x v="0"/>
  </r>
  <r>
    <x v="8"/>
    <x v="3"/>
    <x v="4"/>
    <x v="1"/>
    <x v="2"/>
    <x v="3"/>
    <d v="2020-02-20T00:00:00"/>
    <x v="1"/>
    <s v="user@domain.com"/>
    <s v="555-555-5555"/>
    <n v="5"/>
    <x v="0"/>
  </r>
  <r>
    <x v="4"/>
    <x v="3"/>
    <x v="2"/>
    <x v="2"/>
    <x v="2"/>
    <x v="3"/>
    <d v="2018-04-05T00:00:00"/>
    <x v="1"/>
    <s v="email@example.com"/>
    <s v="Phone not provided"/>
    <n v="7"/>
    <x v="2"/>
  </r>
  <r>
    <x v="1"/>
    <x v="1"/>
    <x v="3"/>
    <x v="0"/>
    <x v="0"/>
    <x v="2"/>
    <d v="2020-02-20T00:00:00"/>
    <x v="3"/>
    <s v="Email not provided"/>
    <s v="Phone not provided"/>
    <n v="5"/>
    <x v="1"/>
  </r>
  <r>
    <x v="0"/>
    <x v="1"/>
    <x v="1"/>
    <x v="2"/>
    <x v="0"/>
    <x v="0"/>
    <d v="2020-02-20T00:00:00"/>
    <x v="3"/>
    <s v="name@company.org"/>
    <s v="555-555-5555"/>
    <n v="5"/>
    <x v="1"/>
  </r>
  <r>
    <x v="7"/>
    <x v="1"/>
    <x v="4"/>
    <x v="0"/>
    <x v="2"/>
    <x v="3"/>
    <d v="2020-01-15T00:00:00"/>
    <x v="3"/>
    <s v="Email not provided"/>
    <s v="Phone not provided"/>
    <n v="6"/>
    <x v="0"/>
  </r>
  <r>
    <x v="5"/>
    <x v="2"/>
    <x v="2"/>
    <x v="2"/>
    <x v="0"/>
    <x v="1"/>
    <d v="2019-12-01T00:00:00"/>
    <x v="1"/>
    <s v="user@domain.com"/>
    <s v="Phone not provided"/>
    <n v="6"/>
    <x v="2"/>
  </r>
  <r>
    <x v="8"/>
    <x v="2"/>
    <x v="1"/>
    <x v="1"/>
    <x v="4"/>
    <x v="0"/>
    <d v="2019-12-01T00:00:00"/>
    <x v="4"/>
    <s v="name@company.org"/>
    <s v="555-555-5555"/>
    <n v="6"/>
    <x v="1"/>
  </r>
  <r>
    <x v="3"/>
    <x v="4"/>
    <x v="1"/>
    <x v="1"/>
    <x v="2"/>
    <x v="4"/>
    <d v="2019-12-01T00:00:00"/>
    <x v="2"/>
    <s v="Email not provided"/>
    <s v="Phone not provided"/>
    <n v="6"/>
    <x v="1"/>
  </r>
  <r>
    <x v="8"/>
    <x v="4"/>
    <x v="4"/>
    <x v="0"/>
    <x v="0"/>
    <x v="2"/>
    <d v="2020-02-20T00:00:00"/>
    <x v="2"/>
    <s v="Email not provided"/>
    <s v="Phone not provided"/>
    <n v="5"/>
    <x v="0"/>
  </r>
  <r>
    <x v="2"/>
    <x v="0"/>
    <x v="0"/>
    <x v="2"/>
    <x v="3"/>
    <x v="4"/>
    <d v="2020-01-15T00:00:00"/>
    <x v="4"/>
    <s v="name@company.org"/>
    <s v="Phone not provided"/>
    <n v="6"/>
    <x v="0"/>
  </r>
  <r>
    <x v="8"/>
    <x v="3"/>
    <x v="4"/>
    <x v="1"/>
    <x v="2"/>
    <x v="4"/>
    <d v="2019-03-25T00:00:00"/>
    <x v="4"/>
    <s v="name@company.org"/>
    <s v="Phone not provided"/>
    <n v="6"/>
    <x v="0"/>
  </r>
  <r>
    <x v="8"/>
    <x v="2"/>
    <x v="2"/>
    <x v="0"/>
    <x v="2"/>
    <x v="0"/>
    <d v="2020-02-20T00:00:00"/>
    <x v="2"/>
    <s v="name@company.org"/>
    <s v="Phone not provided"/>
    <n v="5"/>
    <x v="2"/>
  </r>
  <r>
    <x v="7"/>
    <x v="1"/>
    <x v="1"/>
    <x v="0"/>
    <x v="4"/>
    <x v="4"/>
    <d v="2020-02-20T00:00:00"/>
    <x v="0"/>
    <s v="email@example.com"/>
    <s v="555-555-5555"/>
    <n v="5"/>
    <x v="1"/>
  </r>
  <r>
    <x v="7"/>
    <x v="1"/>
    <x v="4"/>
    <x v="1"/>
    <x v="1"/>
    <x v="3"/>
    <d v="2020-01-15T00:00:00"/>
    <x v="3"/>
    <s v="Email not provided"/>
    <s v="Phone not provided"/>
    <n v="6"/>
    <x v="0"/>
  </r>
  <r>
    <x v="6"/>
    <x v="1"/>
    <x v="0"/>
    <x v="1"/>
    <x v="1"/>
    <x v="4"/>
    <d v="2018-04-05T00:00:00"/>
    <x v="3"/>
    <s v="name@company.org"/>
    <s v="Phone not provided"/>
    <n v="7"/>
    <x v="0"/>
  </r>
  <r>
    <x v="0"/>
    <x v="3"/>
    <x v="4"/>
    <x v="0"/>
    <x v="4"/>
    <x v="2"/>
    <d v="2020-02-20T00:00:00"/>
    <x v="2"/>
    <s v="Email not provided"/>
    <s v="123-456-7890"/>
    <n v="5"/>
    <x v="0"/>
  </r>
  <r>
    <x v="3"/>
    <x v="4"/>
    <x v="3"/>
    <x v="2"/>
    <x v="4"/>
    <x v="2"/>
    <d v="2018-04-05T00:00:00"/>
    <x v="4"/>
    <s v="name@company.org"/>
    <s v="Phone not provided"/>
    <n v="7"/>
    <x v="1"/>
  </r>
  <r>
    <x v="8"/>
    <x v="1"/>
    <x v="0"/>
    <x v="2"/>
    <x v="4"/>
    <x v="1"/>
    <d v="2018-04-05T00:00:00"/>
    <x v="0"/>
    <s v="Email not provided"/>
    <s v="Phone not provided"/>
    <n v="7"/>
    <x v="0"/>
  </r>
  <r>
    <x v="8"/>
    <x v="0"/>
    <x v="2"/>
    <x v="2"/>
    <x v="1"/>
    <x v="2"/>
    <d v="2019-12-01T00:00:00"/>
    <x v="2"/>
    <s v="Email not provided"/>
    <s v="123-456-7890"/>
    <n v="6"/>
    <x v="2"/>
  </r>
  <r>
    <x v="5"/>
    <x v="3"/>
    <x v="1"/>
    <x v="0"/>
    <x v="4"/>
    <x v="4"/>
    <d v="2020-01-15T00:00:00"/>
    <x v="3"/>
    <s v="Email not provided"/>
    <s v="Phone not provided"/>
    <n v="6"/>
    <x v="1"/>
  </r>
  <r>
    <x v="7"/>
    <x v="4"/>
    <x v="4"/>
    <x v="1"/>
    <x v="0"/>
    <x v="2"/>
    <d v="2018-04-05T00:00:00"/>
    <x v="1"/>
    <s v="user@domain.com"/>
    <s v="098-765-4321"/>
    <n v="7"/>
    <x v="0"/>
  </r>
  <r>
    <x v="3"/>
    <x v="1"/>
    <x v="0"/>
    <x v="0"/>
    <x v="2"/>
    <x v="0"/>
    <d v="2020-01-15T00:00:00"/>
    <x v="4"/>
    <s v="name@company.org"/>
    <s v="098-765-4321"/>
    <n v="6"/>
    <x v="0"/>
  </r>
  <r>
    <x v="4"/>
    <x v="4"/>
    <x v="3"/>
    <x v="1"/>
    <x v="2"/>
    <x v="2"/>
    <d v="2019-12-01T00:00:00"/>
    <x v="1"/>
    <s v="user@domain.com"/>
    <s v="Phone not provided"/>
    <n v="6"/>
    <x v="1"/>
  </r>
  <r>
    <x v="6"/>
    <x v="0"/>
    <x v="0"/>
    <x v="2"/>
    <x v="3"/>
    <x v="3"/>
    <d v="2020-01-15T00:00:00"/>
    <x v="2"/>
    <s v="Email not provided"/>
    <s v="Phone not provided"/>
    <n v="6"/>
    <x v="0"/>
  </r>
  <r>
    <x v="0"/>
    <x v="3"/>
    <x v="2"/>
    <x v="2"/>
    <x v="3"/>
    <x v="0"/>
    <d v="2020-02-20T00:00:00"/>
    <x v="3"/>
    <s v="user@domain.com"/>
    <s v="098-765-4321"/>
    <n v="5"/>
    <x v="2"/>
  </r>
  <r>
    <x v="1"/>
    <x v="1"/>
    <x v="3"/>
    <x v="1"/>
    <x v="2"/>
    <x v="1"/>
    <d v="2018-04-05T00:00:00"/>
    <x v="0"/>
    <s v="Email not provided"/>
    <s v="555-555-5555"/>
    <n v="7"/>
    <x v="1"/>
  </r>
  <r>
    <x v="0"/>
    <x v="0"/>
    <x v="2"/>
    <x v="1"/>
    <x v="0"/>
    <x v="3"/>
    <d v="2020-01-15T00:00:00"/>
    <x v="1"/>
    <s v="Email not provided"/>
    <s v="555-555-5555"/>
    <n v="6"/>
    <x v="2"/>
  </r>
  <r>
    <x v="2"/>
    <x v="4"/>
    <x v="1"/>
    <x v="0"/>
    <x v="1"/>
    <x v="4"/>
    <d v="2019-03-25T00:00:00"/>
    <x v="0"/>
    <s v="Email not provided"/>
    <s v="123-456-7890"/>
    <n v="6"/>
    <x v="1"/>
  </r>
  <r>
    <x v="8"/>
    <x v="0"/>
    <x v="2"/>
    <x v="2"/>
    <x v="1"/>
    <x v="4"/>
    <d v="2020-01-15T00:00:00"/>
    <x v="3"/>
    <s v="user@domain.com"/>
    <s v="Phone not provided"/>
    <n v="6"/>
    <x v="2"/>
  </r>
  <r>
    <x v="6"/>
    <x v="3"/>
    <x v="4"/>
    <x v="0"/>
    <x v="0"/>
    <x v="4"/>
    <d v="2018-04-05T00:00:00"/>
    <x v="1"/>
    <s v="name@company.org"/>
    <s v="Phone not provided"/>
    <n v="7"/>
    <x v="0"/>
  </r>
  <r>
    <x v="2"/>
    <x v="2"/>
    <x v="0"/>
    <x v="0"/>
    <x v="1"/>
    <x v="3"/>
    <d v="2019-12-01T00:00:00"/>
    <x v="0"/>
    <s v="user@domain.com"/>
    <s v="098-765-4321"/>
    <n v="6"/>
    <x v="0"/>
  </r>
  <r>
    <x v="3"/>
    <x v="0"/>
    <x v="2"/>
    <x v="0"/>
    <x v="4"/>
    <x v="3"/>
    <d v="2019-12-01T00:00:00"/>
    <x v="0"/>
    <s v="name@company.org"/>
    <s v="Phone not provided"/>
    <n v="6"/>
    <x v="2"/>
  </r>
  <r>
    <x v="1"/>
    <x v="0"/>
    <x v="3"/>
    <x v="2"/>
    <x v="2"/>
    <x v="3"/>
    <d v="2018-04-05T00:00:00"/>
    <x v="1"/>
    <s v="name@company.org"/>
    <s v="Phone not provided"/>
    <n v="7"/>
    <x v="1"/>
  </r>
  <r>
    <x v="7"/>
    <x v="4"/>
    <x v="3"/>
    <x v="0"/>
    <x v="2"/>
    <x v="0"/>
    <d v="2020-02-20T00:00:00"/>
    <x v="3"/>
    <s v="Email not provided"/>
    <s v="098-765-4321"/>
    <n v="5"/>
    <x v="1"/>
  </r>
  <r>
    <x v="6"/>
    <x v="4"/>
    <x v="0"/>
    <x v="0"/>
    <x v="0"/>
    <x v="0"/>
    <d v="2020-02-20T00:00:00"/>
    <x v="0"/>
    <s v="user@domain.com"/>
    <s v="098-765-4321"/>
    <n v="5"/>
    <x v="0"/>
  </r>
  <r>
    <x v="6"/>
    <x v="1"/>
    <x v="2"/>
    <x v="0"/>
    <x v="1"/>
    <x v="4"/>
    <d v="2019-12-01T00:00:00"/>
    <x v="2"/>
    <s v="name@company.org"/>
    <s v="Phone not provided"/>
    <n v="6"/>
    <x v="2"/>
  </r>
  <r>
    <x v="8"/>
    <x v="4"/>
    <x v="0"/>
    <x v="0"/>
    <x v="3"/>
    <x v="2"/>
    <d v="2019-12-01T00:00:00"/>
    <x v="1"/>
    <s v="Email not provided"/>
    <s v="098-765-4321"/>
    <n v="6"/>
    <x v="0"/>
  </r>
  <r>
    <x v="9"/>
    <x v="1"/>
    <x v="4"/>
    <x v="0"/>
    <x v="3"/>
    <x v="4"/>
    <d v="2018-04-05T00:00:00"/>
    <x v="4"/>
    <s v="name@company.org"/>
    <s v="123-456-7890"/>
    <n v="7"/>
    <x v="0"/>
  </r>
  <r>
    <x v="6"/>
    <x v="3"/>
    <x v="2"/>
    <x v="0"/>
    <x v="1"/>
    <x v="1"/>
    <d v="2020-02-20T00:00:00"/>
    <x v="4"/>
    <s v="Email not provided"/>
    <s v="123-456-7890"/>
    <n v="5"/>
    <x v="2"/>
  </r>
  <r>
    <x v="5"/>
    <x v="3"/>
    <x v="3"/>
    <x v="2"/>
    <x v="3"/>
    <x v="0"/>
    <d v="2019-12-01T00:00:00"/>
    <x v="3"/>
    <s v="user@domain.com"/>
    <s v="Phone not provided"/>
    <n v="6"/>
    <x v="1"/>
  </r>
  <r>
    <x v="1"/>
    <x v="2"/>
    <x v="4"/>
    <x v="0"/>
    <x v="0"/>
    <x v="3"/>
    <d v="2020-02-20T00:00:00"/>
    <x v="2"/>
    <s v="user@domain.com"/>
    <s v="Phone not provided"/>
    <n v="5"/>
    <x v="0"/>
  </r>
  <r>
    <x v="1"/>
    <x v="2"/>
    <x v="2"/>
    <x v="1"/>
    <x v="0"/>
    <x v="0"/>
    <d v="2019-12-01T00:00:00"/>
    <x v="0"/>
    <s v="user@domain.com"/>
    <s v="123-456-7890"/>
    <n v="6"/>
    <x v="2"/>
  </r>
  <r>
    <x v="5"/>
    <x v="3"/>
    <x v="4"/>
    <x v="0"/>
    <x v="1"/>
    <x v="3"/>
    <d v="2020-01-15T00:00:00"/>
    <x v="4"/>
    <s v="name@company.org"/>
    <s v="123-456-7890"/>
    <n v="6"/>
    <x v="0"/>
  </r>
  <r>
    <x v="4"/>
    <x v="2"/>
    <x v="2"/>
    <x v="0"/>
    <x v="3"/>
    <x v="1"/>
    <d v="2019-03-25T00:00:00"/>
    <x v="3"/>
    <s v="email@example.com"/>
    <s v="Phone not provided"/>
    <n v="6"/>
    <x v="2"/>
  </r>
  <r>
    <x v="5"/>
    <x v="1"/>
    <x v="3"/>
    <x v="2"/>
    <x v="0"/>
    <x v="1"/>
    <d v="2020-01-15T00:00:00"/>
    <x v="2"/>
    <s v="name@company.org"/>
    <s v="555-555-5555"/>
    <n v="6"/>
    <x v="1"/>
  </r>
  <r>
    <x v="5"/>
    <x v="4"/>
    <x v="0"/>
    <x v="2"/>
    <x v="0"/>
    <x v="0"/>
    <d v="2019-12-01T00:00:00"/>
    <x v="2"/>
    <s v="name@company.org"/>
    <s v="098-765-4321"/>
    <n v="6"/>
    <x v="0"/>
  </r>
  <r>
    <x v="1"/>
    <x v="3"/>
    <x v="0"/>
    <x v="1"/>
    <x v="4"/>
    <x v="3"/>
    <d v="2019-03-25T00:00:00"/>
    <x v="3"/>
    <s v="Email not provided"/>
    <s v="123-456-7890"/>
    <n v="6"/>
    <x v="0"/>
  </r>
  <r>
    <x v="0"/>
    <x v="2"/>
    <x v="2"/>
    <x v="1"/>
    <x v="4"/>
    <x v="1"/>
    <d v="2019-03-25T00:00:00"/>
    <x v="3"/>
    <s v="Email not provided"/>
    <s v="555-555-5555"/>
    <n v="6"/>
    <x v="2"/>
  </r>
  <r>
    <x v="1"/>
    <x v="3"/>
    <x v="1"/>
    <x v="2"/>
    <x v="0"/>
    <x v="4"/>
    <d v="2019-12-01T00:00:00"/>
    <x v="0"/>
    <s v="name@company.org"/>
    <s v="Phone not provided"/>
    <n v="6"/>
    <x v="1"/>
  </r>
  <r>
    <x v="9"/>
    <x v="1"/>
    <x v="2"/>
    <x v="2"/>
    <x v="1"/>
    <x v="4"/>
    <d v="2019-12-01T00:00:00"/>
    <x v="3"/>
    <s v="Email not provided"/>
    <s v="555-555-5555"/>
    <n v="6"/>
    <x v="2"/>
  </r>
  <r>
    <x v="8"/>
    <x v="0"/>
    <x v="2"/>
    <x v="0"/>
    <x v="2"/>
    <x v="3"/>
    <d v="2020-02-20T00:00:00"/>
    <x v="0"/>
    <s v="Email not provided"/>
    <s v="Phone not provided"/>
    <n v="5"/>
    <x v="2"/>
  </r>
  <r>
    <x v="2"/>
    <x v="4"/>
    <x v="1"/>
    <x v="2"/>
    <x v="2"/>
    <x v="0"/>
    <d v="2019-12-01T00:00:00"/>
    <x v="0"/>
    <s v="name@company.org"/>
    <s v="Phone not provided"/>
    <n v="6"/>
    <x v="1"/>
  </r>
  <r>
    <x v="0"/>
    <x v="3"/>
    <x v="4"/>
    <x v="1"/>
    <x v="0"/>
    <x v="1"/>
    <d v="2018-04-05T00:00:00"/>
    <x v="1"/>
    <s v="email@example.com"/>
    <s v="Phone not provided"/>
    <n v="7"/>
    <x v="0"/>
  </r>
  <r>
    <x v="7"/>
    <x v="0"/>
    <x v="2"/>
    <x v="0"/>
    <x v="0"/>
    <x v="0"/>
    <d v="2019-12-01T00:00:00"/>
    <x v="2"/>
    <s v="Email not provided"/>
    <s v="555-555-5555"/>
    <n v="6"/>
    <x v="2"/>
  </r>
  <r>
    <x v="2"/>
    <x v="2"/>
    <x v="4"/>
    <x v="1"/>
    <x v="0"/>
    <x v="4"/>
    <d v="2018-04-05T00:00:00"/>
    <x v="2"/>
    <s v="user@domain.com"/>
    <s v="Phone not provided"/>
    <n v="7"/>
    <x v="0"/>
  </r>
  <r>
    <x v="8"/>
    <x v="0"/>
    <x v="3"/>
    <x v="0"/>
    <x v="1"/>
    <x v="1"/>
    <d v="2019-12-01T00:00:00"/>
    <x v="2"/>
    <s v="name@company.org"/>
    <s v="123-456-7890"/>
    <n v="6"/>
    <x v="1"/>
  </r>
  <r>
    <x v="9"/>
    <x v="4"/>
    <x v="2"/>
    <x v="2"/>
    <x v="4"/>
    <x v="0"/>
    <d v="2020-02-20T00:00:00"/>
    <x v="1"/>
    <s v="name@company.org"/>
    <s v="555-555-5555"/>
    <n v="5"/>
    <x v="2"/>
  </r>
  <r>
    <x v="9"/>
    <x v="3"/>
    <x v="1"/>
    <x v="1"/>
    <x v="0"/>
    <x v="2"/>
    <d v="2018-04-05T00:00:00"/>
    <x v="0"/>
    <s v="Email not provided"/>
    <s v="123-456-7890"/>
    <n v="7"/>
    <x v="1"/>
  </r>
  <r>
    <x v="7"/>
    <x v="1"/>
    <x v="3"/>
    <x v="0"/>
    <x v="0"/>
    <x v="3"/>
    <d v="2020-01-15T00:00:00"/>
    <x v="0"/>
    <s v="Email not provided"/>
    <s v="555-555-5555"/>
    <n v="6"/>
    <x v="1"/>
  </r>
  <r>
    <x v="0"/>
    <x v="2"/>
    <x v="0"/>
    <x v="0"/>
    <x v="3"/>
    <x v="3"/>
    <d v="2018-04-05T00:00:00"/>
    <x v="3"/>
    <s v="Email not provided"/>
    <s v="123-456-7890"/>
    <n v="7"/>
    <x v="0"/>
  </r>
  <r>
    <x v="4"/>
    <x v="3"/>
    <x v="1"/>
    <x v="2"/>
    <x v="1"/>
    <x v="2"/>
    <d v="2020-02-20T00:00:00"/>
    <x v="1"/>
    <s v="Email not provided"/>
    <s v="555-555-5555"/>
    <n v="5"/>
    <x v="1"/>
  </r>
  <r>
    <x v="5"/>
    <x v="4"/>
    <x v="2"/>
    <x v="2"/>
    <x v="0"/>
    <x v="4"/>
    <d v="2018-04-05T00:00:00"/>
    <x v="3"/>
    <s v="user@domain.com"/>
    <s v="Phone not provided"/>
    <n v="7"/>
    <x v="2"/>
  </r>
  <r>
    <x v="0"/>
    <x v="2"/>
    <x v="0"/>
    <x v="2"/>
    <x v="3"/>
    <x v="1"/>
    <d v="2019-12-01T00:00:00"/>
    <x v="1"/>
    <s v="Email not provided"/>
    <s v="098-765-4321"/>
    <n v="6"/>
    <x v="0"/>
  </r>
  <r>
    <x v="4"/>
    <x v="1"/>
    <x v="0"/>
    <x v="1"/>
    <x v="2"/>
    <x v="3"/>
    <d v="2019-12-01T00:00:00"/>
    <x v="3"/>
    <s v="Email not provided"/>
    <s v="Phone not provided"/>
    <n v="6"/>
    <x v="0"/>
  </r>
  <r>
    <x v="9"/>
    <x v="0"/>
    <x v="2"/>
    <x v="0"/>
    <x v="0"/>
    <x v="2"/>
    <d v="2020-02-20T00:00:00"/>
    <x v="4"/>
    <s v="Email not provided"/>
    <s v="123-456-7890"/>
    <n v="5"/>
    <x v="2"/>
  </r>
  <r>
    <x v="1"/>
    <x v="4"/>
    <x v="2"/>
    <x v="2"/>
    <x v="0"/>
    <x v="2"/>
    <d v="2019-03-25T00:00:00"/>
    <x v="2"/>
    <s v="Email not provided"/>
    <s v="Phone not provided"/>
    <n v="6"/>
    <x v="2"/>
  </r>
  <r>
    <x v="8"/>
    <x v="1"/>
    <x v="0"/>
    <x v="1"/>
    <x v="3"/>
    <x v="4"/>
    <d v="2019-12-01T00:00:00"/>
    <x v="2"/>
    <s v="email@example.com"/>
    <s v="Phone not provided"/>
    <n v="6"/>
    <x v="0"/>
  </r>
  <r>
    <x v="7"/>
    <x v="3"/>
    <x v="1"/>
    <x v="1"/>
    <x v="1"/>
    <x v="4"/>
    <d v="2020-01-15T00:00:00"/>
    <x v="0"/>
    <s v="email@example.com"/>
    <s v="098-765-4321"/>
    <n v="6"/>
    <x v="1"/>
  </r>
  <r>
    <x v="8"/>
    <x v="1"/>
    <x v="3"/>
    <x v="1"/>
    <x v="0"/>
    <x v="0"/>
    <d v="2020-02-20T00:00:00"/>
    <x v="4"/>
    <s v="name@company.org"/>
    <s v="123-456-7890"/>
    <n v="5"/>
    <x v="1"/>
  </r>
  <r>
    <x v="3"/>
    <x v="2"/>
    <x v="0"/>
    <x v="2"/>
    <x v="2"/>
    <x v="3"/>
    <d v="2018-04-05T00:00:00"/>
    <x v="2"/>
    <s v="name@company.org"/>
    <s v="Phone not provided"/>
    <n v="7"/>
    <x v="0"/>
  </r>
  <r>
    <x v="3"/>
    <x v="0"/>
    <x v="1"/>
    <x v="2"/>
    <x v="0"/>
    <x v="0"/>
    <d v="2018-04-05T00:00:00"/>
    <x v="0"/>
    <s v="Email not provided"/>
    <s v="555-555-5555"/>
    <n v="7"/>
    <x v="1"/>
  </r>
  <r>
    <x v="0"/>
    <x v="2"/>
    <x v="4"/>
    <x v="0"/>
    <x v="2"/>
    <x v="2"/>
    <d v="2020-01-15T00:00:00"/>
    <x v="4"/>
    <s v="Email not provided"/>
    <s v="Phone not provided"/>
    <n v="6"/>
    <x v="0"/>
  </r>
  <r>
    <x v="9"/>
    <x v="3"/>
    <x v="1"/>
    <x v="0"/>
    <x v="4"/>
    <x v="1"/>
    <d v="2019-12-01T00:00:00"/>
    <x v="2"/>
    <s v="user@domain.com"/>
    <s v="123-456-7890"/>
    <n v="6"/>
    <x v="1"/>
  </r>
  <r>
    <x v="9"/>
    <x v="2"/>
    <x v="3"/>
    <x v="2"/>
    <x v="4"/>
    <x v="1"/>
    <d v="2020-02-20T00:00:00"/>
    <x v="3"/>
    <s v="user@domain.com"/>
    <s v="Phone not provided"/>
    <n v="5"/>
    <x v="1"/>
  </r>
  <r>
    <x v="5"/>
    <x v="0"/>
    <x v="1"/>
    <x v="1"/>
    <x v="2"/>
    <x v="4"/>
    <d v="2020-01-15T00:00:00"/>
    <x v="1"/>
    <s v="email@example.com"/>
    <s v="123-456-7890"/>
    <n v="6"/>
    <x v="1"/>
  </r>
  <r>
    <x v="5"/>
    <x v="3"/>
    <x v="2"/>
    <x v="1"/>
    <x v="1"/>
    <x v="1"/>
    <d v="2019-12-01T00:00:00"/>
    <x v="4"/>
    <s v="name@company.org"/>
    <s v="555-555-5555"/>
    <n v="6"/>
    <x v="2"/>
  </r>
  <r>
    <x v="5"/>
    <x v="2"/>
    <x v="3"/>
    <x v="1"/>
    <x v="0"/>
    <x v="1"/>
    <d v="2020-02-20T00:00:00"/>
    <x v="0"/>
    <s v="email@example.com"/>
    <s v="098-765-4321"/>
    <n v="5"/>
    <x v="1"/>
  </r>
  <r>
    <x v="1"/>
    <x v="1"/>
    <x v="2"/>
    <x v="0"/>
    <x v="0"/>
    <x v="1"/>
    <d v="2018-04-05T00:00:00"/>
    <x v="4"/>
    <s v="email@example.com"/>
    <s v="Phone not provided"/>
    <n v="7"/>
    <x v="2"/>
  </r>
  <r>
    <x v="2"/>
    <x v="4"/>
    <x v="4"/>
    <x v="1"/>
    <x v="4"/>
    <x v="2"/>
    <d v="2020-02-20T00:00:00"/>
    <x v="0"/>
    <s v="name@company.org"/>
    <s v="123-456-7890"/>
    <n v="5"/>
    <x v="0"/>
  </r>
  <r>
    <x v="6"/>
    <x v="3"/>
    <x v="2"/>
    <x v="0"/>
    <x v="2"/>
    <x v="1"/>
    <d v="2019-03-25T00:00:00"/>
    <x v="4"/>
    <s v="user@domain.com"/>
    <s v="123-456-7890"/>
    <n v="6"/>
    <x v="2"/>
  </r>
  <r>
    <x v="2"/>
    <x v="4"/>
    <x v="2"/>
    <x v="0"/>
    <x v="0"/>
    <x v="1"/>
    <d v="2020-02-20T00:00:00"/>
    <x v="0"/>
    <s v="name@company.org"/>
    <s v="123-456-7890"/>
    <n v="5"/>
    <x v="2"/>
  </r>
  <r>
    <x v="8"/>
    <x v="3"/>
    <x v="1"/>
    <x v="1"/>
    <x v="0"/>
    <x v="1"/>
    <d v="2019-03-25T00:00:00"/>
    <x v="2"/>
    <s v="Email not provided"/>
    <s v="098-765-4321"/>
    <n v="6"/>
    <x v="1"/>
  </r>
  <r>
    <x v="2"/>
    <x v="1"/>
    <x v="3"/>
    <x v="1"/>
    <x v="1"/>
    <x v="0"/>
    <d v="2020-02-20T00:00:00"/>
    <x v="3"/>
    <s v="Email not provided"/>
    <s v="123-456-7890"/>
    <n v="5"/>
    <x v="1"/>
  </r>
  <r>
    <x v="1"/>
    <x v="4"/>
    <x v="4"/>
    <x v="2"/>
    <x v="3"/>
    <x v="2"/>
    <d v="2019-03-25T00:00:00"/>
    <x v="2"/>
    <s v="Email not provided"/>
    <s v="Phone not provided"/>
    <n v="6"/>
    <x v="0"/>
  </r>
  <r>
    <x v="8"/>
    <x v="1"/>
    <x v="2"/>
    <x v="2"/>
    <x v="4"/>
    <x v="4"/>
    <d v="2018-04-05T00:00:00"/>
    <x v="3"/>
    <s v="Email not provided"/>
    <s v="Phone not provided"/>
    <n v="7"/>
    <x v="2"/>
  </r>
  <r>
    <x v="2"/>
    <x v="0"/>
    <x v="2"/>
    <x v="1"/>
    <x v="4"/>
    <x v="0"/>
    <d v="2019-12-01T00:00:00"/>
    <x v="2"/>
    <s v="user@domain.com"/>
    <s v="123-456-7890"/>
    <n v="6"/>
    <x v="2"/>
  </r>
  <r>
    <x v="1"/>
    <x v="1"/>
    <x v="2"/>
    <x v="0"/>
    <x v="3"/>
    <x v="3"/>
    <d v="2019-03-25T00:00:00"/>
    <x v="2"/>
    <s v="user@domain.com"/>
    <s v="Phone not provided"/>
    <n v="6"/>
    <x v="2"/>
  </r>
  <r>
    <x v="6"/>
    <x v="2"/>
    <x v="4"/>
    <x v="0"/>
    <x v="0"/>
    <x v="2"/>
    <d v="2019-03-25T00:00:00"/>
    <x v="4"/>
    <s v="Email not provided"/>
    <s v="Phone not provided"/>
    <n v="6"/>
    <x v="0"/>
  </r>
  <r>
    <x v="2"/>
    <x v="1"/>
    <x v="1"/>
    <x v="0"/>
    <x v="1"/>
    <x v="2"/>
    <d v="2018-04-05T00:00:00"/>
    <x v="1"/>
    <s v="email@example.com"/>
    <s v="Phone not provided"/>
    <n v="7"/>
    <x v="1"/>
  </r>
  <r>
    <x v="1"/>
    <x v="1"/>
    <x v="4"/>
    <x v="0"/>
    <x v="1"/>
    <x v="3"/>
    <d v="2019-03-25T00:00:00"/>
    <x v="0"/>
    <s v="Email not provided"/>
    <s v="123-456-7890"/>
    <n v="6"/>
    <x v="0"/>
  </r>
  <r>
    <x v="5"/>
    <x v="3"/>
    <x v="2"/>
    <x v="0"/>
    <x v="4"/>
    <x v="3"/>
    <d v="2020-01-15T00:00:00"/>
    <x v="0"/>
    <s v="Email not provided"/>
    <s v="555-555-5555"/>
    <n v="6"/>
    <x v="2"/>
  </r>
  <r>
    <x v="9"/>
    <x v="2"/>
    <x v="0"/>
    <x v="2"/>
    <x v="1"/>
    <x v="3"/>
    <d v="2018-04-05T00:00:00"/>
    <x v="0"/>
    <s v="email@example.com"/>
    <s v="Phone not provided"/>
    <n v="7"/>
    <x v="0"/>
  </r>
  <r>
    <x v="5"/>
    <x v="2"/>
    <x v="2"/>
    <x v="1"/>
    <x v="3"/>
    <x v="4"/>
    <d v="2020-01-15T00:00:00"/>
    <x v="3"/>
    <s v="name@company.org"/>
    <s v="098-765-4321"/>
    <n v="6"/>
    <x v="2"/>
  </r>
  <r>
    <x v="9"/>
    <x v="1"/>
    <x v="4"/>
    <x v="2"/>
    <x v="0"/>
    <x v="1"/>
    <d v="2018-04-05T00:00:00"/>
    <x v="0"/>
    <s v="name@company.org"/>
    <s v="123-456-7890"/>
    <n v="7"/>
    <x v="0"/>
  </r>
  <r>
    <x v="7"/>
    <x v="1"/>
    <x v="2"/>
    <x v="0"/>
    <x v="3"/>
    <x v="2"/>
    <d v="2019-03-25T00:00:00"/>
    <x v="0"/>
    <s v="user@domain.com"/>
    <s v="098-765-4321"/>
    <n v="6"/>
    <x v="2"/>
  </r>
  <r>
    <x v="7"/>
    <x v="1"/>
    <x v="1"/>
    <x v="0"/>
    <x v="2"/>
    <x v="1"/>
    <d v="2020-01-15T00:00:00"/>
    <x v="4"/>
    <s v="Email not provided"/>
    <s v="555-555-5555"/>
    <n v="6"/>
    <x v="1"/>
  </r>
  <r>
    <x v="7"/>
    <x v="0"/>
    <x v="2"/>
    <x v="0"/>
    <x v="4"/>
    <x v="1"/>
    <d v="2019-03-25T00:00:00"/>
    <x v="2"/>
    <s v="user@domain.com"/>
    <s v="098-765-4321"/>
    <n v="6"/>
    <x v="2"/>
  </r>
  <r>
    <x v="6"/>
    <x v="1"/>
    <x v="1"/>
    <x v="0"/>
    <x v="1"/>
    <x v="3"/>
    <d v="2018-04-05T00:00:00"/>
    <x v="0"/>
    <s v="name@company.org"/>
    <s v="123-456-7890"/>
    <n v="7"/>
    <x v="1"/>
  </r>
  <r>
    <x v="5"/>
    <x v="1"/>
    <x v="4"/>
    <x v="1"/>
    <x v="2"/>
    <x v="4"/>
    <d v="2019-03-25T00:00:00"/>
    <x v="1"/>
    <s v="email@example.com"/>
    <s v="123-456-7890"/>
    <n v="6"/>
    <x v="0"/>
  </r>
  <r>
    <x v="9"/>
    <x v="4"/>
    <x v="1"/>
    <x v="0"/>
    <x v="1"/>
    <x v="0"/>
    <d v="2020-01-15T00:00:00"/>
    <x v="0"/>
    <s v="user@domain.com"/>
    <s v="555-555-5555"/>
    <n v="6"/>
    <x v="1"/>
  </r>
  <r>
    <x v="1"/>
    <x v="3"/>
    <x v="3"/>
    <x v="1"/>
    <x v="0"/>
    <x v="4"/>
    <d v="2020-01-15T00:00:00"/>
    <x v="3"/>
    <s v="Email not provided"/>
    <s v="123-456-7890"/>
    <n v="6"/>
    <x v="1"/>
  </r>
  <r>
    <x v="8"/>
    <x v="4"/>
    <x v="3"/>
    <x v="0"/>
    <x v="0"/>
    <x v="1"/>
    <d v="2019-03-25T00:00:00"/>
    <x v="3"/>
    <s v="Email not provided"/>
    <s v="555-555-5555"/>
    <n v="6"/>
    <x v="1"/>
  </r>
  <r>
    <x v="1"/>
    <x v="4"/>
    <x v="3"/>
    <x v="1"/>
    <x v="0"/>
    <x v="4"/>
    <d v="2020-02-20T00:00:00"/>
    <x v="3"/>
    <s v="email@example.com"/>
    <s v="555-555-5555"/>
    <n v="5"/>
    <x v="1"/>
  </r>
  <r>
    <x v="8"/>
    <x v="2"/>
    <x v="0"/>
    <x v="2"/>
    <x v="1"/>
    <x v="3"/>
    <d v="2018-04-05T00:00:00"/>
    <x v="0"/>
    <s v="name@company.org"/>
    <s v="123-456-7890"/>
    <n v="7"/>
    <x v="0"/>
  </r>
  <r>
    <x v="3"/>
    <x v="0"/>
    <x v="4"/>
    <x v="0"/>
    <x v="2"/>
    <x v="0"/>
    <d v="2018-04-05T00:00:00"/>
    <x v="4"/>
    <s v="Email not provided"/>
    <s v="Phone not provided"/>
    <n v="7"/>
    <x v="0"/>
  </r>
  <r>
    <x v="1"/>
    <x v="3"/>
    <x v="2"/>
    <x v="1"/>
    <x v="0"/>
    <x v="3"/>
    <d v="2019-03-25T00:00:00"/>
    <x v="1"/>
    <s v="Email not provided"/>
    <s v="555-555-5555"/>
    <n v="6"/>
    <x v="2"/>
  </r>
  <r>
    <x v="2"/>
    <x v="1"/>
    <x v="2"/>
    <x v="2"/>
    <x v="2"/>
    <x v="0"/>
    <d v="2020-02-20T00:00:00"/>
    <x v="0"/>
    <s v="Email not provided"/>
    <s v="123-456-7890"/>
    <n v="5"/>
    <x v="2"/>
  </r>
  <r>
    <x v="2"/>
    <x v="1"/>
    <x v="0"/>
    <x v="0"/>
    <x v="1"/>
    <x v="1"/>
    <d v="2020-01-15T00:00:00"/>
    <x v="4"/>
    <s v="user@domain.com"/>
    <s v="Phone not provided"/>
    <n v="6"/>
    <x v="0"/>
  </r>
  <r>
    <x v="0"/>
    <x v="1"/>
    <x v="1"/>
    <x v="0"/>
    <x v="2"/>
    <x v="0"/>
    <d v="2019-12-01T00:00:00"/>
    <x v="4"/>
    <s v="name@company.org"/>
    <s v="555-555-5555"/>
    <n v="6"/>
    <x v="1"/>
  </r>
  <r>
    <x v="5"/>
    <x v="1"/>
    <x v="0"/>
    <x v="0"/>
    <x v="1"/>
    <x v="0"/>
    <d v="2019-12-01T00:00:00"/>
    <x v="0"/>
    <s v="user@domain.com"/>
    <s v="Phone not provided"/>
    <n v="6"/>
    <x v="0"/>
  </r>
  <r>
    <x v="8"/>
    <x v="1"/>
    <x v="1"/>
    <x v="1"/>
    <x v="1"/>
    <x v="0"/>
    <d v="2019-03-25T00:00:00"/>
    <x v="0"/>
    <s v="name@company.org"/>
    <s v="Phone not provided"/>
    <n v="6"/>
    <x v="1"/>
  </r>
  <r>
    <x v="8"/>
    <x v="1"/>
    <x v="1"/>
    <x v="1"/>
    <x v="4"/>
    <x v="4"/>
    <d v="2020-02-20T00:00:00"/>
    <x v="4"/>
    <s v="Email not provided"/>
    <s v="Phone not provided"/>
    <n v="5"/>
    <x v="1"/>
  </r>
  <r>
    <x v="5"/>
    <x v="0"/>
    <x v="2"/>
    <x v="2"/>
    <x v="1"/>
    <x v="4"/>
    <d v="2020-02-20T00:00:00"/>
    <x v="4"/>
    <s v="Email not provided"/>
    <s v="Phone not provided"/>
    <n v="5"/>
    <x v="2"/>
  </r>
  <r>
    <x v="6"/>
    <x v="4"/>
    <x v="2"/>
    <x v="1"/>
    <x v="1"/>
    <x v="1"/>
    <d v="2018-04-05T00:00:00"/>
    <x v="4"/>
    <s v="user@domain.com"/>
    <s v="555-555-5555"/>
    <n v="7"/>
    <x v="2"/>
  </r>
  <r>
    <x v="0"/>
    <x v="1"/>
    <x v="3"/>
    <x v="1"/>
    <x v="3"/>
    <x v="0"/>
    <d v="2020-01-15T00:00:00"/>
    <x v="0"/>
    <s v="Email not provided"/>
    <s v="123-456-7890"/>
    <n v="6"/>
    <x v="1"/>
  </r>
  <r>
    <x v="6"/>
    <x v="2"/>
    <x v="1"/>
    <x v="0"/>
    <x v="0"/>
    <x v="2"/>
    <d v="2020-02-20T00:00:00"/>
    <x v="4"/>
    <s v="name@company.org"/>
    <s v="098-765-4321"/>
    <n v="5"/>
    <x v="1"/>
  </r>
  <r>
    <x v="6"/>
    <x v="1"/>
    <x v="2"/>
    <x v="0"/>
    <x v="4"/>
    <x v="1"/>
    <d v="2019-12-01T00:00:00"/>
    <x v="3"/>
    <s v="user@domain.com"/>
    <s v="123-456-7890"/>
    <n v="6"/>
    <x v="2"/>
  </r>
  <r>
    <x v="6"/>
    <x v="3"/>
    <x v="2"/>
    <x v="0"/>
    <x v="4"/>
    <x v="0"/>
    <d v="2020-01-15T00:00:00"/>
    <x v="0"/>
    <s v="user@domain.com"/>
    <s v="098-765-4321"/>
    <n v="6"/>
    <x v="2"/>
  </r>
  <r>
    <x v="5"/>
    <x v="0"/>
    <x v="3"/>
    <x v="0"/>
    <x v="4"/>
    <x v="0"/>
    <d v="2020-01-15T00:00:00"/>
    <x v="3"/>
    <s v="Email not provided"/>
    <s v="098-765-4321"/>
    <n v="6"/>
    <x v="1"/>
  </r>
  <r>
    <x v="6"/>
    <x v="3"/>
    <x v="1"/>
    <x v="0"/>
    <x v="3"/>
    <x v="4"/>
    <d v="2019-03-25T00:00:00"/>
    <x v="2"/>
    <s v="user@domain.com"/>
    <s v="555-555-5555"/>
    <n v="6"/>
    <x v="1"/>
  </r>
  <r>
    <x v="2"/>
    <x v="3"/>
    <x v="1"/>
    <x v="0"/>
    <x v="1"/>
    <x v="1"/>
    <d v="2020-02-20T00:00:00"/>
    <x v="0"/>
    <s v="Email not provided"/>
    <s v="Phone not provided"/>
    <n v="5"/>
    <x v="1"/>
  </r>
  <r>
    <x v="7"/>
    <x v="2"/>
    <x v="0"/>
    <x v="0"/>
    <x v="0"/>
    <x v="0"/>
    <d v="2019-03-25T00:00:00"/>
    <x v="2"/>
    <s v="Email not provided"/>
    <s v="123-456-7890"/>
    <n v="6"/>
    <x v="0"/>
  </r>
  <r>
    <x v="3"/>
    <x v="0"/>
    <x v="0"/>
    <x v="2"/>
    <x v="2"/>
    <x v="0"/>
    <d v="2020-02-20T00:00:00"/>
    <x v="4"/>
    <s v="Email not provided"/>
    <s v="Phone not provided"/>
    <n v="5"/>
    <x v="0"/>
  </r>
  <r>
    <x v="8"/>
    <x v="0"/>
    <x v="2"/>
    <x v="2"/>
    <x v="1"/>
    <x v="1"/>
    <d v="2018-04-05T00:00:00"/>
    <x v="4"/>
    <s v="name@company.org"/>
    <s v="Phone not provided"/>
    <n v="7"/>
    <x v="2"/>
  </r>
  <r>
    <x v="8"/>
    <x v="0"/>
    <x v="3"/>
    <x v="2"/>
    <x v="3"/>
    <x v="2"/>
    <d v="2019-03-25T00:00:00"/>
    <x v="1"/>
    <s v="Email not provided"/>
    <s v="555-555-5555"/>
    <n v="6"/>
    <x v="1"/>
  </r>
  <r>
    <x v="3"/>
    <x v="0"/>
    <x v="1"/>
    <x v="2"/>
    <x v="1"/>
    <x v="1"/>
    <d v="2019-03-25T00:00:00"/>
    <x v="4"/>
    <s v="Email not provided"/>
    <s v="555-555-5555"/>
    <n v="6"/>
    <x v="1"/>
  </r>
  <r>
    <x v="5"/>
    <x v="0"/>
    <x v="2"/>
    <x v="0"/>
    <x v="1"/>
    <x v="1"/>
    <d v="2019-12-01T00:00:00"/>
    <x v="2"/>
    <s v="email@example.com"/>
    <s v="Phone not provided"/>
    <n v="6"/>
    <x v="2"/>
  </r>
  <r>
    <x v="1"/>
    <x v="2"/>
    <x v="2"/>
    <x v="2"/>
    <x v="3"/>
    <x v="2"/>
    <d v="2019-03-25T00:00:00"/>
    <x v="4"/>
    <s v="email@example.com"/>
    <s v="123-456-7890"/>
    <n v="6"/>
    <x v="2"/>
  </r>
  <r>
    <x v="5"/>
    <x v="1"/>
    <x v="4"/>
    <x v="0"/>
    <x v="4"/>
    <x v="1"/>
    <d v="2020-02-20T00:00:00"/>
    <x v="0"/>
    <s v="user@domain.com"/>
    <s v="Phone not provided"/>
    <n v="5"/>
    <x v="0"/>
  </r>
  <r>
    <x v="8"/>
    <x v="3"/>
    <x v="0"/>
    <x v="2"/>
    <x v="4"/>
    <x v="0"/>
    <d v="2019-12-01T00:00:00"/>
    <x v="4"/>
    <s v="user@domain.com"/>
    <s v="123-456-7890"/>
    <n v="6"/>
    <x v="0"/>
  </r>
  <r>
    <x v="8"/>
    <x v="0"/>
    <x v="3"/>
    <x v="1"/>
    <x v="0"/>
    <x v="1"/>
    <d v="2019-03-25T00:00:00"/>
    <x v="1"/>
    <s v="email@example.com"/>
    <s v="098-765-4321"/>
    <n v="6"/>
    <x v="1"/>
  </r>
  <r>
    <x v="3"/>
    <x v="1"/>
    <x v="1"/>
    <x v="2"/>
    <x v="0"/>
    <x v="2"/>
    <d v="2019-03-25T00:00:00"/>
    <x v="4"/>
    <s v="Email not provided"/>
    <s v="555-555-5555"/>
    <n v="6"/>
    <x v="1"/>
  </r>
  <r>
    <x v="6"/>
    <x v="1"/>
    <x v="2"/>
    <x v="2"/>
    <x v="4"/>
    <x v="3"/>
    <d v="2018-04-05T00:00:00"/>
    <x v="2"/>
    <s v="user@domain.com"/>
    <s v="123-456-7890"/>
    <n v="7"/>
    <x v="2"/>
  </r>
  <r>
    <x v="5"/>
    <x v="3"/>
    <x v="1"/>
    <x v="0"/>
    <x v="2"/>
    <x v="1"/>
    <d v="2019-03-25T00:00:00"/>
    <x v="2"/>
    <s v="Email not provided"/>
    <s v="Phone not provided"/>
    <n v="6"/>
    <x v="1"/>
  </r>
  <r>
    <x v="9"/>
    <x v="2"/>
    <x v="4"/>
    <x v="2"/>
    <x v="1"/>
    <x v="4"/>
    <d v="2020-01-15T00:00:00"/>
    <x v="4"/>
    <s v="Email not provided"/>
    <s v="Phone not provided"/>
    <n v="6"/>
    <x v="0"/>
  </r>
  <r>
    <x v="3"/>
    <x v="1"/>
    <x v="3"/>
    <x v="1"/>
    <x v="2"/>
    <x v="0"/>
    <d v="2019-12-01T00:00:00"/>
    <x v="2"/>
    <s v="Email not provided"/>
    <s v="555-555-5555"/>
    <n v="6"/>
    <x v="1"/>
  </r>
  <r>
    <x v="2"/>
    <x v="1"/>
    <x v="2"/>
    <x v="0"/>
    <x v="1"/>
    <x v="0"/>
    <d v="2020-01-15T00:00:00"/>
    <x v="2"/>
    <s v="user@domain.com"/>
    <s v="Phone not provided"/>
    <n v="6"/>
    <x v="2"/>
  </r>
  <r>
    <x v="8"/>
    <x v="1"/>
    <x v="1"/>
    <x v="0"/>
    <x v="4"/>
    <x v="4"/>
    <d v="2019-12-01T00:00:00"/>
    <x v="1"/>
    <s v="Email not provided"/>
    <s v="Phone not provided"/>
    <n v="6"/>
    <x v="1"/>
  </r>
  <r>
    <x v="3"/>
    <x v="4"/>
    <x v="0"/>
    <x v="2"/>
    <x v="0"/>
    <x v="4"/>
    <d v="2018-04-05T00:00:00"/>
    <x v="0"/>
    <s v="user@domain.com"/>
    <s v="123-456-7890"/>
    <n v="7"/>
    <x v="0"/>
  </r>
  <r>
    <x v="5"/>
    <x v="4"/>
    <x v="4"/>
    <x v="0"/>
    <x v="0"/>
    <x v="1"/>
    <d v="2019-03-25T00:00:00"/>
    <x v="1"/>
    <s v="user@domain.com"/>
    <s v="Phone not provided"/>
    <n v="6"/>
    <x v="0"/>
  </r>
  <r>
    <x v="8"/>
    <x v="3"/>
    <x v="3"/>
    <x v="0"/>
    <x v="2"/>
    <x v="4"/>
    <d v="2019-03-25T00:00:00"/>
    <x v="3"/>
    <s v="Email not provided"/>
    <s v="555-555-5555"/>
    <n v="6"/>
    <x v="1"/>
  </r>
  <r>
    <x v="1"/>
    <x v="1"/>
    <x v="4"/>
    <x v="0"/>
    <x v="0"/>
    <x v="3"/>
    <d v="2019-03-25T00:00:00"/>
    <x v="1"/>
    <s v="email@example.com"/>
    <s v="123-456-7890"/>
    <n v="6"/>
    <x v="0"/>
  </r>
  <r>
    <x v="3"/>
    <x v="1"/>
    <x v="0"/>
    <x v="0"/>
    <x v="4"/>
    <x v="2"/>
    <d v="2019-12-01T00:00:00"/>
    <x v="4"/>
    <s v="Email not provided"/>
    <s v="098-765-4321"/>
    <n v="6"/>
    <x v="0"/>
  </r>
  <r>
    <x v="0"/>
    <x v="2"/>
    <x v="3"/>
    <x v="0"/>
    <x v="2"/>
    <x v="4"/>
    <d v="2019-03-25T00:00:00"/>
    <x v="0"/>
    <s v="Email not provided"/>
    <s v="Phone not provided"/>
    <n v="6"/>
    <x v="1"/>
  </r>
  <r>
    <x v="8"/>
    <x v="1"/>
    <x v="4"/>
    <x v="0"/>
    <x v="1"/>
    <x v="4"/>
    <d v="2020-01-15T00:00:00"/>
    <x v="4"/>
    <s v="name@company.org"/>
    <s v="Phone not provided"/>
    <n v="6"/>
    <x v="0"/>
  </r>
  <r>
    <x v="5"/>
    <x v="1"/>
    <x v="2"/>
    <x v="1"/>
    <x v="0"/>
    <x v="3"/>
    <d v="2019-03-25T00:00:00"/>
    <x v="3"/>
    <s v="Email not provided"/>
    <s v="123-456-7890"/>
    <n v="6"/>
    <x v="2"/>
  </r>
  <r>
    <x v="7"/>
    <x v="1"/>
    <x v="0"/>
    <x v="2"/>
    <x v="3"/>
    <x v="0"/>
    <d v="2018-04-05T00:00:00"/>
    <x v="0"/>
    <s v="user@domain.com"/>
    <s v="Phone not provided"/>
    <n v="7"/>
    <x v="0"/>
  </r>
  <r>
    <x v="9"/>
    <x v="0"/>
    <x v="0"/>
    <x v="1"/>
    <x v="0"/>
    <x v="0"/>
    <d v="2020-01-15T00:00:00"/>
    <x v="2"/>
    <s v="user@domain.com"/>
    <s v="Phone not provided"/>
    <n v="6"/>
    <x v="0"/>
  </r>
  <r>
    <x v="4"/>
    <x v="2"/>
    <x v="0"/>
    <x v="0"/>
    <x v="1"/>
    <x v="1"/>
    <d v="2019-03-25T00:00:00"/>
    <x v="1"/>
    <s v="Email not provided"/>
    <s v="555-555-5555"/>
    <n v="6"/>
    <x v="0"/>
  </r>
  <r>
    <x v="6"/>
    <x v="0"/>
    <x v="2"/>
    <x v="0"/>
    <x v="2"/>
    <x v="3"/>
    <d v="2019-03-25T00:00:00"/>
    <x v="4"/>
    <s v="name@company.org"/>
    <s v="Phone not provided"/>
    <n v="6"/>
    <x v="2"/>
  </r>
  <r>
    <x v="4"/>
    <x v="3"/>
    <x v="2"/>
    <x v="2"/>
    <x v="1"/>
    <x v="2"/>
    <d v="2020-02-20T00:00:00"/>
    <x v="3"/>
    <s v="Email not provided"/>
    <s v="098-765-4321"/>
    <n v="5"/>
    <x v="2"/>
  </r>
  <r>
    <x v="5"/>
    <x v="0"/>
    <x v="1"/>
    <x v="1"/>
    <x v="3"/>
    <x v="2"/>
    <d v="2019-12-01T00:00:00"/>
    <x v="2"/>
    <s v="name@company.org"/>
    <s v="Phone not provided"/>
    <n v="6"/>
    <x v="1"/>
  </r>
  <r>
    <x v="2"/>
    <x v="0"/>
    <x v="2"/>
    <x v="2"/>
    <x v="4"/>
    <x v="3"/>
    <d v="2020-01-15T00:00:00"/>
    <x v="1"/>
    <s v="name@company.org"/>
    <s v="Phone not provided"/>
    <n v="6"/>
    <x v="2"/>
  </r>
  <r>
    <x v="2"/>
    <x v="1"/>
    <x v="4"/>
    <x v="1"/>
    <x v="0"/>
    <x v="2"/>
    <d v="2020-02-20T00:00:00"/>
    <x v="2"/>
    <s v="Email not provided"/>
    <s v="Phone not provided"/>
    <n v="5"/>
    <x v="0"/>
  </r>
  <r>
    <x v="7"/>
    <x v="4"/>
    <x v="1"/>
    <x v="0"/>
    <x v="2"/>
    <x v="0"/>
    <d v="2018-04-05T00:00:00"/>
    <x v="1"/>
    <s v="user@domain.com"/>
    <s v="123-456-7890"/>
    <n v="7"/>
    <x v="1"/>
  </r>
  <r>
    <x v="6"/>
    <x v="1"/>
    <x v="4"/>
    <x v="2"/>
    <x v="4"/>
    <x v="2"/>
    <d v="2019-12-01T00:00:00"/>
    <x v="0"/>
    <s v="user@domain.com"/>
    <s v="Phone not provided"/>
    <n v="6"/>
    <x v="0"/>
  </r>
  <r>
    <x v="0"/>
    <x v="2"/>
    <x v="2"/>
    <x v="2"/>
    <x v="1"/>
    <x v="2"/>
    <d v="2020-01-15T00:00:00"/>
    <x v="2"/>
    <s v="name@company.org"/>
    <s v="Phone not provided"/>
    <n v="6"/>
    <x v="2"/>
  </r>
  <r>
    <x v="7"/>
    <x v="0"/>
    <x v="2"/>
    <x v="0"/>
    <x v="2"/>
    <x v="3"/>
    <d v="2019-03-25T00:00:00"/>
    <x v="2"/>
    <s v="user@domain.com"/>
    <s v="123-456-7890"/>
    <n v="6"/>
    <x v="2"/>
  </r>
  <r>
    <x v="4"/>
    <x v="2"/>
    <x v="2"/>
    <x v="2"/>
    <x v="4"/>
    <x v="3"/>
    <d v="2020-01-15T00:00:00"/>
    <x v="2"/>
    <s v="email@example.com"/>
    <s v="555-555-5555"/>
    <n v="6"/>
    <x v="2"/>
  </r>
  <r>
    <x v="7"/>
    <x v="4"/>
    <x v="2"/>
    <x v="1"/>
    <x v="2"/>
    <x v="2"/>
    <d v="2019-03-25T00:00:00"/>
    <x v="0"/>
    <s v="name@company.org"/>
    <s v="123-456-7890"/>
    <n v="6"/>
    <x v="2"/>
  </r>
  <r>
    <x v="4"/>
    <x v="4"/>
    <x v="2"/>
    <x v="1"/>
    <x v="3"/>
    <x v="4"/>
    <d v="2019-12-01T00:00:00"/>
    <x v="3"/>
    <s v="user@domain.com"/>
    <s v="098-765-4321"/>
    <n v="6"/>
    <x v="2"/>
  </r>
  <r>
    <x v="8"/>
    <x v="0"/>
    <x v="1"/>
    <x v="1"/>
    <x v="3"/>
    <x v="3"/>
    <d v="2019-03-25T00:00:00"/>
    <x v="1"/>
    <s v="email@example.com"/>
    <s v="123-456-7890"/>
    <n v="6"/>
    <x v="1"/>
  </r>
  <r>
    <x v="2"/>
    <x v="3"/>
    <x v="3"/>
    <x v="1"/>
    <x v="0"/>
    <x v="1"/>
    <d v="2018-04-05T00:00:00"/>
    <x v="2"/>
    <s v="Email not provided"/>
    <s v="555-555-5555"/>
    <n v="7"/>
    <x v="1"/>
  </r>
  <r>
    <x v="8"/>
    <x v="0"/>
    <x v="1"/>
    <x v="0"/>
    <x v="0"/>
    <x v="1"/>
    <d v="2019-03-25T00:00:00"/>
    <x v="0"/>
    <s v="user@domain.com"/>
    <s v="Phone not provided"/>
    <n v="6"/>
    <x v="1"/>
  </r>
  <r>
    <x v="9"/>
    <x v="1"/>
    <x v="4"/>
    <x v="2"/>
    <x v="3"/>
    <x v="0"/>
    <d v="2018-04-05T00:00:00"/>
    <x v="3"/>
    <s v="email@example.com"/>
    <s v="123-456-7890"/>
    <n v="7"/>
    <x v="0"/>
  </r>
  <r>
    <x v="6"/>
    <x v="1"/>
    <x v="1"/>
    <x v="1"/>
    <x v="2"/>
    <x v="2"/>
    <d v="2019-12-01T00:00:00"/>
    <x v="1"/>
    <s v="Email not provided"/>
    <s v="123-456-7890"/>
    <n v="6"/>
    <x v="1"/>
  </r>
  <r>
    <x v="0"/>
    <x v="3"/>
    <x v="0"/>
    <x v="0"/>
    <x v="3"/>
    <x v="4"/>
    <d v="2019-12-01T00:00:00"/>
    <x v="0"/>
    <s v="Email not provided"/>
    <s v="123-456-7890"/>
    <n v="6"/>
    <x v="0"/>
  </r>
  <r>
    <x v="4"/>
    <x v="0"/>
    <x v="4"/>
    <x v="2"/>
    <x v="0"/>
    <x v="0"/>
    <d v="2020-01-15T00:00:00"/>
    <x v="1"/>
    <s v="email@example.com"/>
    <s v="123-456-7890"/>
    <n v="6"/>
    <x v="0"/>
  </r>
  <r>
    <x v="0"/>
    <x v="2"/>
    <x v="2"/>
    <x v="2"/>
    <x v="3"/>
    <x v="2"/>
    <d v="2018-04-05T00:00:00"/>
    <x v="2"/>
    <s v="name@company.org"/>
    <s v="555-555-5555"/>
    <n v="7"/>
    <x v="2"/>
  </r>
  <r>
    <x v="4"/>
    <x v="3"/>
    <x v="4"/>
    <x v="0"/>
    <x v="3"/>
    <x v="3"/>
    <d v="2018-04-05T00:00:00"/>
    <x v="3"/>
    <s v="name@company.org"/>
    <s v="Phone not provided"/>
    <n v="7"/>
    <x v="0"/>
  </r>
  <r>
    <x v="5"/>
    <x v="3"/>
    <x v="3"/>
    <x v="0"/>
    <x v="2"/>
    <x v="1"/>
    <d v="2020-02-20T00:00:00"/>
    <x v="0"/>
    <s v="user@domain.com"/>
    <s v="Phone not provided"/>
    <n v="5"/>
    <x v="1"/>
  </r>
  <r>
    <x v="7"/>
    <x v="0"/>
    <x v="2"/>
    <x v="1"/>
    <x v="4"/>
    <x v="4"/>
    <d v="2020-02-20T00:00:00"/>
    <x v="3"/>
    <s v="Email not provided"/>
    <s v="123-456-7890"/>
    <n v="5"/>
    <x v="2"/>
  </r>
  <r>
    <x v="9"/>
    <x v="3"/>
    <x v="2"/>
    <x v="2"/>
    <x v="0"/>
    <x v="1"/>
    <d v="2020-02-20T00:00:00"/>
    <x v="2"/>
    <s v="name@company.org"/>
    <s v="555-555-5555"/>
    <n v="5"/>
    <x v="2"/>
  </r>
  <r>
    <x v="2"/>
    <x v="2"/>
    <x v="4"/>
    <x v="2"/>
    <x v="2"/>
    <x v="3"/>
    <d v="2019-03-25T00:00:00"/>
    <x v="3"/>
    <s v="name@company.org"/>
    <s v="555-555-5555"/>
    <n v="6"/>
    <x v="0"/>
  </r>
  <r>
    <x v="4"/>
    <x v="4"/>
    <x v="2"/>
    <x v="0"/>
    <x v="3"/>
    <x v="2"/>
    <d v="2020-02-20T00:00:00"/>
    <x v="3"/>
    <s v="Email not provided"/>
    <s v="123-456-7890"/>
    <n v="5"/>
    <x v="2"/>
  </r>
  <r>
    <x v="0"/>
    <x v="3"/>
    <x v="2"/>
    <x v="2"/>
    <x v="3"/>
    <x v="3"/>
    <d v="2018-04-05T00:00:00"/>
    <x v="4"/>
    <s v="Email not provided"/>
    <s v="098-765-4321"/>
    <n v="7"/>
    <x v="2"/>
  </r>
  <r>
    <x v="9"/>
    <x v="4"/>
    <x v="2"/>
    <x v="1"/>
    <x v="4"/>
    <x v="3"/>
    <d v="2019-03-25T00:00:00"/>
    <x v="3"/>
    <s v="name@company.org"/>
    <s v="123-456-7890"/>
    <n v="6"/>
    <x v="2"/>
  </r>
  <r>
    <x v="1"/>
    <x v="2"/>
    <x v="2"/>
    <x v="2"/>
    <x v="0"/>
    <x v="1"/>
    <d v="2019-12-01T00:00:00"/>
    <x v="1"/>
    <s v="email@example.com"/>
    <s v="098-765-4321"/>
    <n v="6"/>
    <x v="2"/>
  </r>
  <r>
    <x v="1"/>
    <x v="0"/>
    <x v="1"/>
    <x v="0"/>
    <x v="0"/>
    <x v="4"/>
    <d v="2020-01-15T00:00:00"/>
    <x v="0"/>
    <s v="user@domain.com"/>
    <s v="123-456-7890"/>
    <n v="6"/>
    <x v="1"/>
  </r>
  <r>
    <x v="8"/>
    <x v="1"/>
    <x v="2"/>
    <x v="0"/>
    <x v="1"/>
    <x v="3"/>
    <d v="2020-02-20T00:00:00"/>
    <x v="4"/>
    <s v="name@company.org"/>
    <s v="098-765-4321"/>
    <n v="5"/>
    <x v="2"/>
  </r>
  <r>
    <x v="2"/>
    <x v="3"/>
    <x v="0"/>
    <x v="1"/>
    <x v="0"/>
    <x v="1"/>
    <d v="2019-12-01T00:00:00"/>
    <x v="0"/>
    <s v="name@company.org"/>
    <s v="098-765-4321"/>
    <n v="6"/>
    <x v="0"/>
  </r>
  <r>
    <x v="5"/>
    <x v="1"/>
    <x v="3"/>
    <x v="1"/>
    <x v="4"/>
    <x v="4"/>
    <d v="2018-04-05T00:00:00"/>
    <x v="0"/>
    <s v="Email not provided"/>
    <s v="123-456-7890"/>
    <n v="7"/>
    <x v="1"/>
  </r>
  <r>
    <x v="0"/>
    <x v="2"/>
    <x v="2"/>
    <x v="2"/>
    <x v="1"/>
    <x v="2"/>
    <d v="2020-01-15T00:00:00"/>
    <x v="2"/>
    <s v="email@example.com"/>
    <s v="098-765-4321"/>
    <n v="6"/>
    <x v="2"/>
  </r>
  <r>
    <x v="7"/>
    <x v="3"/>
    <x v="4"/>
    <x v="2"/>
    <x v="1"/>
    <x v="2"/>
    <d v="2019-12-01T00:00:00"/>
    <x v="2"/>
    <s v="user@domain.com"/>
    <s v="Phone not provided"/>
    <n v="6"/>
    <x v="0"/>
  </r>
  <r>
    <x v="7"/>
    <x v="4"/>
    <x v="2"/>
    <x v="0"/>
    <x v="3"/>
    <x v="0"/>
    <d v="2020-01-15T00:00:00"/>
    <x v="4"/>
    <s v="name@company.org"/>
    <s v="Phone not provided"/>
    <n v="6"/>
    <x v="2"/>
  </r>
  <r>
    <x v="0"/>
    <x v="1"/>
    <x v="4"/>
    <x v="1"/>
    <x v="3"/>
    <x v="1"/>
    <d v="2020-02-20T00:00:00"/>
    <x v="2"/>
    <s v="user@domain.com"/>
    <s v="555-555-5555"/>
    <n v="5"/>
    <x v="0"/>
  </r>
  <r>
    <x v="6"/>
    <x v="1"/>
    <x v="2"/>
    <x v="1"/>
    <x v="0"/>
    <x v="4"/>
    <d v="2018-04-05T00:00:00"/>
    <x v="2"/>
    <s v="Email not provided"/>
    <s v="098-765-4321"/>
    <n v="7"/>
    <x v="2"/>
  </r>
  <r>
    <x v="5"/>
    <x v="3"/>
    <x v="4"/>
    <x v="1"/>
    <x v="1"/>
    <x v="3"/>
    <d v="2020-01-15T00:00:00"/>
    <x v="2"/>
    <s v="name@company.org"/>
    <s v="098-765-4321"/>
    <n v="6"/>
    <x v="0"/>
  </r>
  <r>
    <x v="9"/>
    <x v="1"/>
    <x v="2"/>
    <x v="2"/>
    <x v="3"/>
    <x v="2"/>
    <d v="2019-12-01T00:00:00"/>
    <x v="0"/>
    <s v="name@company.org"/>
    <s v="555-555-5555"/>
    <n v="6"/>
    <x v="2"/>
  </r>
  <r>
    <x v="4"/>
    <x v="3"/>
    <x v="1"/>
    <x v="1"/>
    <x v="4"/>
    <x v="4"/>
    <d v="2020-02-20T00:00:00"/>
    <x v="4"/>
    <s v="Email not provided"/>
    <s v="098-765-4321"/>
    <n v="5"/>
    <x v="1"/>
  </r>
  <r>
    <x v="6"/>
    <x v="0"/>
    <x v="4"/>
    <x v="0"/>
    <x v="3"/>
    <x v="1"/>
    <d v="2020-02-20T00:00:00"/>
    <x v="0"/>
    <s v="Email not provided"/>
    <s v="555-555-5555"/>
    <n v="5"/>
    <x v="0"/>
  </r>
  <r>
    <x v="4"/>
    <x v="4"/>
    <x v="4"/>
    <x v="0"/>
    <x v="3"/>
    <x v="0"/>
    <d v="2019-12-01T00:00:00"/>
    <x v="1"/>
    <s v="name@company.org"/>
    <s v="123-456-7890"/>
    <n v="6"/>
    <x v="0"/>
  </r>
  <r>
    <x v="4"/>
    <x v="1"/>
    <x v="0"/>
    <x v="2"/>
    <x v="1"/>
    <x v="2"/>
    <d v="2019-12-01T00:00:00"/>
    <x v="0"/>
    <s v="user@domain.com"/>
    <s v="Phone not provided"/>
    <n v="6"/>
    <x v="0"/>
  </r>
  <r>
    <x v="6"/>
    <x v="1"/>
    <x v="4"/>
    <x v="2"/>
    <x v="1"/>
    <x v="4"/>
    <d v="2020-01-15T00:00:00"/>
    <x v="1"/>
    <s v="email@example.com"/>
    <s v="Phone not provided"/>
    <n v="6"/>
    <x v="0"/>
  </r>
  <r>
    <x v="8"/>
    <x v="1"/>
    <x v="0"/>
    <x v="1"/>
    <x v="2"/>
    <x v="4"/>
    <d v="2019-03-25T00:00:00"/>
    <x v="3"/>
    <s v="user@domain.com"/>
    <s v="Phone not provided"/>
    <n v="6"/>
    <x v="0"/>
  </r>
  <r>
    <x v="1"/>
    <x v="2"/>
    <x v="3"/>
    <x v="2"/>
    <x v="4"/>
    <x v="4"/>
    <d v="2020-02-20T00:00:00"/>
    <x v="3"/>
    <s v="Email not provided"/>
    <s v="098-765-4321"/>
    <n v="5"/>
    <x v="1"/>
  </r>
  <r>
    <x v="4"/>
    <x v="3"/>
    <x v="2"/>
    <x v="0"/>
    <x v="1"/>
    <x v="1"/>
    <d v="2020-01-15T00:00:00"/>
    <x v="1"/>
    <s v="email@example.com"/>
    <s v="Phone not provided"/>
    <n v="6"/>
    <x v="2"/>
  </r>
  <r>
    <x v="6"/>
    <x v="1"/>
    <x v="0"/>
    <x v="1"/>
    <x v="0"/>
    <x v="1"/>
    <d v="2019-12-01T00:00:00"/>
    <x v="1"/>
    <s v="user@domain.com"/>
    <s v="123-456-7890"/>
    <n v="6"/>
    <x v="0"/>
  </r>
  <r>
    <x v="6"/>
    <x v="2"/>
    <x v="1"/>
    <x v="0"/>
    <x v="4"/>
    <x v="1"/>
    <d v="2020-01-15T00:00:00"/>
    <x v="0"/>
    <s v="user@domain.com"/>
    <s v="Phone not provided"/>
    <n v="6"/>
    <x v="1"/>
  </r>
  <r>
    <x v="3"/>
    <x v="1"/>
    <x v="2"/>
    <x v="1"/>
    <x v="4"/>
    <x v="3"/>
    <d v="2019-12-01T00:00:00"/>
    <x v="1"/>
    <s v="Email not provided"/>
    <s v="123-456-7890"/>
    <n v="6"/>
    <x v="2"/>
  </r>
  <r>
    <x v="8"/>
    <x v="3"/>
    <x v="0"/>
    <x v="2"/>
    <x v="1"/>
    <x v="4"/>
    <d v="2018-04-05T00:00:00"/>
    <x v="4"/>
    <s v="Email not provided"/>
    <s v="123-456-7890"/>
    <n v="7"/>
    <x v="0"/>
  </r>
  <r>
    <x v="2"/>
    <x v="1"/>
    <x v="2"/>
    <x v="1"/>
    <x v="4"/>
    <x v="2"/>
    <d v="2019-12-01T00:00:00"/>
    <x v="3"/>
    <s v="Email not provided"/>
    <s v="098-765-4321"/>
    <n v="6"/>
    <x v="2"/>
  </r>
  <r>
    <x v="3"/>
    <x v="0"/>
    <x v="2"/>
    <x v="1"/>
    <x v="1"/>
    <x v="1"/>
    <d v="2019-12-01T00:00:00"/>
    <x v="3"/>
    <s v="email@example.com"/>
    <s v="123-456-7890"/>
    <n v="6"/>
    <x v="2"/>
  </r>
  <r>
    <x v="3"/>
    <x v="1"/>
    <x v="2"/>
    <x v="0"/>
    <x v="3"/>
    <x v="1"/>
    <d v="2019-12-01T00:00:00"/>
    <x v="1"/>
    <s v="Email not provided"/>
    <s v="Phone not provided"/>
    <n v="6"/>
    <x v="2"/>
  </r>
  <r>
    <x v="0"/>
    <x v="2"/>
    <x v="3"/>
    <x v="0"/>
    <x v="2"/>
    <x v="4"/>
    <d v="2019-03-25T00:00:00"/>
    <x v="2"/>
    <s v="Email not provided"/>
    <s v="Phone not provided"/>
    <n v="6"/>
    <x v="1"/>
  </r>
  <r>
    <x v="1"/>
    <x v="4"/>
    <x v="1"/>
    <x v="1"/>
    <x v="3"/>
    <x v="1"/>
    <d v="2019-12-01T00:00:00"/>
    <x v="2"/>
    <s v="name@company.org"/>
    <s v="Phone not provided"/>
    <n v="6"/>
    <x v="1"/>
  </r>
  <r>
    <x v="6"/>
    <x v="0"/>
    <x v="2"/>
    <x v="2"/>
    <x v="1"/>
    <x v="3"/>
    <d v="2020-02-20T00:00:00"/>
    <x v="1"/>
    <s v="name@company.org"/>
    <s v="098-765-4321"/>
    <n v="5"/>
    <x v="2"/>
  </r>
  <r>
    <x v="1"/>
    <x v="2"/>
    <x v="2"/>
    <x v="2"/>
    <x v="1"/>
    <x v="3"/>
    <d v="2020-02-20T00:00:00"/>
    <x v="4"/>
    <s v="email@example.com"/>
    <s v="Phone not provided"/>
    <n v="5"/>
    <x v="2"/>
  </r>
  <r>
    <x v="5"/>
    <x v="3"/>
    <x v="0"/>
    <x v="0"/>
    <x v="3"/>
    <x v="1"/>
    <d v="2020-01-15T00:00:00"/>
    <x v="2"/>
    <s v="name@company.org"/>
    <s v="555-555-5555"/>
    <n v="6"/>
    <x v="0"/>
  </r>
  <r>
    <x v="0"/>
    <x v="0"/>
    <x v="2"/>
    <x v="2"/>
    <x v="0"/>
    <x v="4"/>
    <d v="2019-03-25T00:00:00"/>
    <x v="1"/>
    <s v="Email not provided"/>
    <s v="Phone not provided"/>
    <n v="6"/>
    <x v="2"/>
  </r>
  <r>
    <x v="2"/>
    <x v="2"/>
    <x v="0"/>
    <x v="0"/>
    <x v="0"/>
    <x v="4"/>
    <d v="2020-01-15T00:00:00"/>
    <x v="4"/>
    <s v="email@example.com"/>
    <s v="555-555-5555"/>
    <n v="6"/>
    <x v="0"/>
  </r>
  <r>
    <x v="1"/>
    <x v="3"/>
    <x v="3"/>
    <x v="2"/>
    <x v="0"/>
    <x v="4"/>
    <d v="2020-02-20T00:00:00"/>
    <x v="4"/>
    <s v="Email not provided"/>
    <s v="555-555-5555"/>
    <n v="5"/>
    <x v="1"/>
  </r>
  <r>
    <x v="7"/>
    <x v="1"/>
    <x v="3"/>
    <x v="1"/>
    <x v="1"/>
    <x v="0"/>
    <d v="2020-02-20T00:00:00"/>
    <x v="0"/>
    <s v="email@example.com"/>
    <s v="098-765-4321"/>
    <n v="5"/>
    <x v="1"/>
  </r>
  <r>
    <x v="4"/>
    <x v="4"/>
    <x v="4"/>
    <x v="0"/>
    <x v="4"/>
    <x v="1"/>
    <d v="2018-04-05T00:00:00"/>
    <x v="4"/>
    <s v="email@example.com"/>
    <s v="123-456-7890"/>
    <n v="7"/>
    <x v="0"/>
  </r>
  <r>
    <x v="5"/>
    <x v="3"/>
    <x v="3"/>
    <x v="0"/>
    <x v="1"/>
    <x v="4"/>
    <d v="2019-12-01T00:00:00"/>
    <x v="2"/>
    <s v="user@domain.com"/>
    <s v="555-555-5555"/>
    <n v="6"/>
    <x v="1"/>
  </r>
  <r>
    <x v="8"/>
    <x v="1"/>
    <x v="4"/>
    <x v="1"/>
    <x v="4"/>
    <x v="3"/>
    <d v="2020-02-20T00:00:00"/>
    <x v="2"/>
    <s v="user@domain.com"/>
    <s v="Phone not provided"/>
    <n v="5"/>
    <x v="0"/>
  </r>
  <r>
    <x v="2"/>
    <x v="3"/>
    <x v="1"/>
    <x v="0"/>
    <x v="3"/>
    <x v="2"/>
    <d v="2020-01-15T00:00:00"/>
    <x v="1"/>
    <s v="email@example.com"/>
    <s v="123-456-7890"/>
    <n v="6"/>
    <x v="1"/>
  </r>
  <r>
    <x v="5"/>
    <x v="3"/>
    <x v="0"/>
    <x v="2"/>
    <x v="2"/>
    <x v="2"/>
    <d v="2020-01-15T00:00:00"/>
    <x v="1"/>
    <s v="name@company.org"/>
    <s v="Phone not provided"/>
    <n v="6"/>
    <x v="0"/>
  </r>
  <r>
    <x v="4"/>
    <x v="4"/>
    <x v="1"/>
    <x v="2"/>
    <x v="4"/>
    <x v="4"/>
    <d v="2019-12-01T00:00:00"/>
    <x v="4"/>
    <s v="user@domain.com"/>
    <s v="Phone not provided"/>
    <n v="6"/>
    <x v="1"/>
  </r>
  <r>
    <x v="0"/>
    <x v="1"/>
    <x v="3"/>
    <x v="0"/>
    <x v="0"/>
    <x v="2"/>
    <d v="2019-12-01T00:00:00"/>
    <x v="3"/>
    <s v="Email not provided"/>
    <s v="123-456-7890"/>
    <n v="6"/>
    <x v="1"/>
  </r>
  <r>
    <x v="4"/>
    <x v="2"/>
    <x v="1"/>
    <x v="2"/>
    <x v="1"/>
    <x v="2"/>
    <d v="2018-04-05T00:00:00"/>
    <x v="0"/>
    <s v="Email not provided"/>
    <s v="123-456-7890"/>
    <n v="7"/>
    <x v="1"/>
  </r>
  <r>
    <x v="3"/>
    <x v="2"/>
    <x v="1"/>
    <x v="0"/>
    <x v="3"/>
    <x v="0"/>
    <d v="2019-03-25T00:00:00"/>
    <x v="3"/>
    <s v="user@domain.com"/>
    <s v="Phone not provided"/>
    <n v="6"/>
    <x v="1"/>
  </r>
  <r>
    <x v="4"/>
    <x v="3"/>
    <x v="1"/>
    <x v="1"/>
    <x v="0"/>
    <x v="3"/>
    <d v="2020-01-15T00:00:00"/>
    <x v="4"/>
    <s v="email@example.com"/>
    <s v="098-765-4321"/>
    <n v="6"/>
    <x v="1"/>
  </r>
  <r>
    <x v="3"/>
    <x v="1"/>
    <x v="3"/>
    <x v="0"/>
    <x v="3"/>
    <x v="3"/>
    <d v="2019-12-01T00:00:00"/>
    <x v="4"/>
    <s v="name@company.org"/>
    <s v="Phone not provided"/>
    <n v="6"/>
    <x v="1"/>
  </r>
  <r>
    <x v="0"/>
    <x v="1"/>
    <x v="2"/>
    <x v="1"/>
    <x v="2"/>
    <x v="0"/>
    <d v="2020-01-15T00:00:00"/>
    <x v="3"/>
    <s v="Email not provided"/>
    <s v="Phone not provided"/>
    <n v="6"/>
    <x v="2"/>
  </r>
  <r>
    <x v="9"/>
    <x v="4"/>
    <x v="1"/>
    <x v="2"/>
    <x v="1"/>
    <x v="0"/>
    <d v="2019-12-01T00:00:00"/>
    <x v="0"/>
    <s v="user@domain.com"/>
    <s v="098-765-4321"/>
    <n v="6"/>
    <x v="1"/>
  </r>
  <r>
    <x v="3"/>
    <x v="1"/>
    <x v="4"/>
    <x v="1"/>
    <x v="1"/>
    <x v="2"/>
    <d v="2020-02-20T00:00:00"/>
    <x v="3"/>
    <s v="name@company.org"/>
    <s v="123-456-7890"/>
    <n v="5"/>
    <x v="0"/>
  </r>
  <r>
    <x v="8"/>
    <x v="2"/>
    <x v="3"/>
    <x v="2"/>
    <x v="2"/>
    <x v="1"/>
    <d v="2020-01-15T00:00:00"/>
    <x v="1"/>
    <s v="name@company.org"/>
    <s v="Phone not provided"/>
    <n v="6"/>
    <x v="1"/>
  </r>
  <r>
    <x v="4"/>
    <x v="4"/>
    <x v="1"/>
    <x v="0"/>
    <x v="1"/>
    <x v="2"/>
    <d v="2020-02-20T00:00:00"/>
    <x v="2"/>
    <s v="name@company.org"/>
    <s v="Phone not provided"/>
    <n v="5"/>
    <x v="1"/>
  </r>
  <r>
    <x v="4"/>
    <x v="0"/>
    <x v="2"/>
    <x v="2"/>
    <x v="4"/>
    <x v="0"/>
    <d v="2020-01-15T00:00:00"/>
    <x v="1"/>
    <s v="email@example.com"/>
    <s v="Phone not provided"/>
    <n v="6"/>
    <x v="2"/>
  </r>
  <r>
    <x v="8"/>
    <x v="2"/>
    <x v="3"/>
    <x v="0"/>
    <x v="3"/>
    <x v="3"/>
    <d v="2019-03-25T00:00:00"/>
    <x v="2"/>
    <s v="Email not provided"/>
    <s v="098-765-4321"/>
    <n v="6"/>
    <x v="1"/>
  </r>
  <r>
    <x v="7"/>
    <x v="4"/>
    <x v="2"/>
    <x v="0"/>
    <x v="0"/>
    <x v="2"/>
    <d v="2018-04-05T00:00:00"/>
    <x v="4"/>
    <s v="name@company.org"/>
    <s v="Phone not provided"/>
    <n v="7"/>
    <x v="2"/>
  </r>
  <r>
    <x v="6"/>
    <x v="2"/>
    <x v="2"/>
    <x v="1"/>
    <x v="2"/>
    <x v="1"/>
    <d v="2020-02-20T00:00:00"/>
    <x v="0"/>
    <s v="Email not provided"/>
    <s v="098-765-4321"/>
    <n v="5"/>
    <x v="2"/>
  </r>
  <r>
    <x v="9"/>
    <x v="1"/>
    <x v="4"/>
    <x v="1"/>
    <x v="4"/>
    <x v="2"/>
    <d v="2019-12-01T00:00:00"/>
    <x v="3"/>
    <s v="user@domain.com"/>
    <s v="123-456-7890"/>
    <n v="6"/>
    <x v="0"/>
  </r>
  <r>
    <x v="2"/>
    <x v="0"/>
    <x v="1"/>
    <x v="1"/>
    <x v="0"/>
    <x v="4"/>
    <d v="2019-03-25T00:00:00"/>
    <x v="0"/>
    <s v="Email not provided"/>
    <s v="098-765-4321"/>
    <n v="6"/>
    <x v="1"/>
  </r>
  <r>
    <x v="3"/>
    <x v="1"/>
    <x v="2"/>
    <x v="1"/>
    <x v="0"/>
    <x v="2"/>
    <d v="2020-01-15T00:00:00"/>
    <x v="3"/>
    <s v="email@example.com"/>
    <s v="098-765-4321"/>
    <n v="6"/>
    <x v="2"/>
  </r>
  <r>
    <x v="8"/>
    <x v="0"/>
    <x v="2"/>
    <x v="2"/>
    <x v="2"/>
    <x v="0"/>
    <d v="2020-02-20T00:00:00"/>
    <x v="1"/>
    <s v="email@example.com"/>
    <s v="Phone not provided"/>
    <n v="5"/>
    <x v="2"/>
  </r>
  <r>
    <x v="0"/>
    <x v="3"/>
    <x v="3"/>
    <x v="2"/>
    <x v="4"/>
    <x v="3"/>
    <d v="2020-01-15T00:00:00"/>
    <x v="1"/>
    <s v="Email not provided"/>
    <s v="Phone not provided"/>
    <n v="6"/>
    <x v="1"/>
  </r>
  <r>
    <x v="3"/>
    <x v="4"/>
    <x v="2"/>
    <x v="2"/>
    <x v="0"/>
    <x v="3"/>
    <d v="2020-01-15T00:00:00"/>
    <x v="3"/>
    <s v="Email not provided"/>
    <s v="Phone not provided"/>
    <n v="6"/>
    <x v="2"/>
  </r>
  <r>
    <x v="6"/>
    <x v="0"/>
    <x v="4"/>
    <x v="0"/>
    <x v="0"/>
    <x v="0"/>
    <d v="2020-01-15T00:00:00"/>
    <x v="0"/>
    <s v="email@example.com"/>
    <s v="555-555-5555"/>
    <n v="6"/>
    <x v="0"/>
  </r>
  <r>
    <x v="0"/>
    <x v="1"/>
    <x v="4"/>
    <x v="2"/>
    <x v="4"/>
    <x v="4"/>
    <d v="2018-04-05T00:00:00"/>
    <x v="3"/>
    <s v="email@example.com"/>
    <s v="098-765-4321"/>
    <n v="7"/>
    <x v="0"/>
  </r>
  <r>
    <x v="5"/>
    <x v="2"/>
    <x v="0"/>
    <x v="2"/>
    <x v="1"/>
    <x v="0"/>
    <d v="2018-04-05T00:00:00"/>
    <x v="4"/>
    <s v="Email not provided"/>
    <s v="555-555-5555"/>
    <n v="7"/>
    <x v="0"/>
  </r>
  <r>
    <x v="4"/>
    <x v="0"/>
    <x v="4"/>
    <x v="2"/>
    <x v="0"/>
    <x v="2"/>
    <d v="2019-12-01T00:00:00"/>
    <x v="1"/>
    <s v="email@example.com"/>
    <s v="Phone not provided"/>
    <n v="6"/>
    <x v="0"/>
  </r>
  <r>
    <x v="5"/>
    <x v="4"/>
    <x v="2"/>
    <x v="1"/>
    <x v="3"/>
    <x v="0"/>
    <d v="2020-02-20T00:00:00"/>
    <x v="4"/>
    <s v="Email not provided"/>
    <s v="Phone not provided"/>
    <n v="5"/>
    <x v="2"/>
  </r>
  <r>
    <x v="3"/>
    <x v="0"/>
    <x v="2"/>
    <x v="2"/>
    <x v="4"/>
    <x v="0"/>
    <d v="2019-03-25T00:00:00"/>
    <x v="1"/>
    <s v="Email not provided"/>
    <s v="Phone not provided"/>
    <n v="6"/>
    <x v="2"/>
  </r>
  <r>
    <x v="6"/>
    <x v="1"/>
    <x v="4"/>
    <x v="0"/>
    <x v="0"/>
    <x v="4"/>
    <d v="2019-03-25T00:00:00"/>
    <x v="1"/>
    <s v="Email not provided"/>
    <s v="Phone not provided"/>
    <n v="6"/>
    <x v="0"/>
  </r>
  <r>
    <x v="9"/>
    <x v="2"/>
    <x v="3"/>
    <x v="1"/>
    <x v="2"/>
    <x v="2"/>
    <d v="2019-03-25T00:00:00"/>
    <x v="2"/>
    <s v="user@domain.com"/>
    <s v="Phone not provided"/>
    <n v="6"/>
    <x v="1"/>
  </r>
  <r>
    <x v="3"/>
    <x v="4"/>
    <x v="0"/>
    <x v="0"/>
    <x v="3"/>
    <x v="1"/>
    <d v="2020-01-15T00:00:00"/>
    <x v="4"/>
    <s v="Email not provided"/>
    <s v="123-456-7890"/>
    <n v="6"/>
    <x v="0"/>
  </r>
  <r>
    <x v="8"/>
    <x v="4"/>
    <x v="2"/>
    <x v="2"/>
    <x v="0"/>
    <x v="1"/>
    <d v="2018-04-05T00:00:00"/>
    <x v="4"/>
    <s v="Email not provided"/>
    <s v="098-765-4321"/>
    <n v="7"/>
    <x v="2"/>
  </r>
  <r>
    <x v="1"/>
    <x v="3"/>
    <x v="0"/>
    <x v="1"/>
    <x v="3"/>
    <x v="3"/>
    <d v="2020-02-20T00:00:00"/>
    <x v="2"/>
    <s v="user@domain.com"/>
    <s v="Phone not provided"/>
    <n v="5"/>
    <x v="0"/>
  </r>
  <r>
    <x v="3"/>
    <x v="1"/>
    <x v="2"/>
    <x v="0"/>
    <x v="3"/>
    <x v="0"/>
    <d v="2020-01-15T00:00:00"/>
    <x v="0"/>
    <s v="name@company.org"/>
    <s v="Phone not provided"/>
    <n v="6"/>
    <x v="2"/>
  </r>
  <r>
    <x v="4"/>
    <x v="3"/>
    <x v="3"/>
    <x v="2"/>
    <x v="1"/>
    <x v="3"/>
    <d v="2018-04-05T00:00:00"/>
    <x v="4"/>
    <s v="email@example.com"/>
    <s v="Phone not provided"/>
    <n v="7"/>
    <x v="1"/>
  </r>
  <r>
    <x v="4"/>
    <x v="4"/>
    <x v="0"/>
    <x v="0"/>
    <x v="3"/>
    <x v="4"/>
    <d v="2018-04-05T00:00:00"/>
    <x v="3"/>
    <s v="Email not provided"/>
    <s v="Phone not provided"/>
    <n v="7"/>
    <x v="0"/>
  </r>
  <r>
    <x v="3"/>
    <x v="2"/>
    <x v="1"/>
    <x v="0"/>
    <x v="1"/>
    <x v="1"/>
    <d v="2020-02-20T00:00:00"/>
    <x v="2"/>
    <s v="email@example.com"/>
    <s v="Phone not provided"/>
    <n v="5"/>
    <x v="1"/>
  </r>
  <r>
    <x v="0"/>
    <x v="0"/>
    <x v="2"/>
    <x v="0"/>
    <x v="4"/>
    <x v="0"/>
    <d v="2020-02-20T00:00:00"/>
    <x v="4"/>
    <s v="Email not provided"/>
    <s v="555-555-5555"/>
    <n v="5"/>
    <x v="2"/>
  </r>
  <r>
    <x v="1"/>
    <x v="0"/>
    <x v="2"/>
    <x v="2"/>
    <x v="1"/>
    <x v="4"/>
    <d v="2020-02-20T00:00:00"/>
    <x v="0"/>
    <s v="email@example.com"/>
    <s v="098-765-4321"/>
    <n v="5"/>
    <x v="2"/>
  </r>
  <r>
    <x v="8"/>
    <x v="2"/>
    <x v="2"/>
    <x v="2"/>
    <x v="2"/>
    <x v="4"/>
    <d v="2020-01-15T00:00:00"/>
    <x v="4"/>
    <s v="user@domain.com"/>
    <s v="098-765-4321"/>
    <n v="6"/>
    <x v="2"/>
  </r>
  <r>
    <x v="3"/>
    <x v="4"/>
    <x v="1"/>
    <x v="0"/>
    <x v="0"/>
    <x v="0"/>
    <d v="2019-12-01T00:00:00"/>
    <x v="1"/>
    <s v="email@example.com"/>
    <s v="123-456-7890"/>
    <n v="6"/>
    <x v="1"/>
  </r>
  <r>
    <x v="0"/>
    <x v="0"/>
    <x v="0"/>
    <x v="1"/>
    <x v="4"/>
    <x v="4"/>
    <d v="2020-02-20T00:00:00"/>
    <x v="3"/>
    <s v="email@example.com"/>
    <s v="123-456-7890"/>
    <n v="5"/>
    <x v="0"/>
  </r>
  <r>
    <x v="4"/>
    <x v="0"/>
    <x v="1"/>
    <x v="1"/>
    <x v="4"/>
    <x v="0"/>
    <d v="2019-12-01T00:00:00"/>
    <x v="2"/>
    <s v="email@example.com"/>
    <s v="123-456-7890"/>
    <n v="6"/>
    <x v="1"/>
  </r>
  <r>
    <x v="4"/>
    <x v="0"/>
    <x v="1"/>
    <x v="2"/>
    <x v="2"/>
    <x v="0"/>
    <d v="2020-01-15T00:00:00"/>
    <x v="1"/>
    <s v="name@company.org"/>
    <s v="098-765-4321"/>
    <n v="6"/>
    <x v="1"/>
  </r>
  <r>
    <x v="6"/>
    <x v="1"/>
    <x v="0"/>
    <x v="2"/>
    <x v="1"/>
    <x v="2"/>
    <d v="2019-12-01T00:00:00"/>
    <x v="0"/>
    <s v="name@company.org"/>
    <s v="555-555-5555"/>
    <n v="6"/>
    <x v="0"/>
  </r>
  <r>
    <x v="3"/>
    <x v="1"/>
    <x v="3"/>
    <x v="2"/>
    <x v="0"/>
    <x v="3"/>
    <d v="2019-03-25T00:00:00"/>
    <x v="1"/>
    <s v="Email not provided"/>
    <s v="098-765-4321"/>
    <n v="6"/>
    <x v="1"/>
  </r>
  <r>
    <x v="1"/>
    <x v="1"/>
    <x v="1"/>
    <x v="2"/>
    <x v="1"/>
    <x v="4"/>
    <d v="2019-12-01T00:00:00"/>
    <x v="1"/>
    <s v="user@domain.com"/>
    <s v="098-765-4321"/>
    <n v="6"/>
    <x v="1"/>
  </r>
  <r>
    <x v="7"/>
    <x v="3"/>
    <x v="1"/>
    <x v="2"/>
    <x v="3"/>
    <x v="4"/>
    <d v="2020-02-20T00:00:00"/>
    <x v="0"/>
    <s v="email@example.com"/>
    <s v="098-765-4321"/>
    <n v="5"/>
    <x v="1"/>
  </r>
  <r>
    <x v="1"/>
    <x v="2"/>
    <x v="3"/>
    <x v="1"/>
    <x v="1"/>
    <x v="2"/>
    <d v="2020-01-15T00:00:00"/>
    <x v="1"/>
    <s v="email@example.com"/>
    <s v="098-765-4321"/>
    <n v="6"/>
    <x v="1"/>
  </r>
  <r>
    <x v="4"/>
    <x v="2"/>
    <x v="1"/>
    <x v="2"/>
    <x v="4"/>
    <x v="2"/>
    <d v="2020-02-20T00:00:00"/>
    <x v="2"/>
    <s v="email@example.com"/>
    <s v="555-555-5555"/>
    <n v="5"/>
    <x v="1"/>
  </r>
  <r>
    <x v="4"/>
    <x v="2"/>
    <x v="1"/>
    <x v="0"/>
    <x v="0"/>
    <x v="2"/>
    <d v="2019-03-25T00:00:00"/>
    <x v="4"/>
    <s v="email@example.com"/>
    <s v="123-456-7890"/>
    <n v="6"/>
    <x v="1"/>
  </r>
  <r>
    <x v="5"/>
    <x v="1"/>
    <x v="1"/>
    <x v="0"/>
    <x v="1"/>
    <x v="1"/>
    <d v="2020-02-20T00:00:00"/>
    <x v="1"/>
    <s v="name@company.org"/>
    <s v="Phone not provided"/>
    <n v="5"/>
    <x v="1"/>
  </r>
  <r>
    <x v="4"/>
    <x v="1"/>
    <x v="2"/>
    <x v="1"/>
    <x v="0"/>
    <x v="1"/>
    <d v="2020-02-20T00:00:00"/>
    <x v="2"/>
    <s v="Email not provided"/>
    <s v="123-456-7890"/>
    <n v="5"/>
    <x v="2"/>
  </r>
  <r>
    <x v="8"/>
    <x v="4"/>
    <x v="4"/>
    <x v="0"/>
    <x v="0"/>
    <x v="1"/>
    <d v="2020-02-20T00:00:00"/>
    <x v="4"/>
    <s v="Email not provided"/>
    <s v="123-456-7890"/>
    <n v="5"/>
    <x v="0"/>
  </r>
  <r>
    <x v="2"/>
    <x v="4"/>
    <x v="3"/>
    <x v="1"/>
    <x v="3"/>
    <x v="0"/>
    <d v="2018-04-05T00:00:00"/>
    <x v="4"/>
    <s v="user@domain.com"/>
    <s v="Phone not provided"/>
    <n v="7"/>
    <x v="1"/>
  </r>
  <r>
    <x v="3"/>
    <x v="1"/>
    <x v="1"/>
    <x v="1"/>
    <x v="3"/>
    <x v="4"/>
    <d v="2019-03-25T00:00:00"/>
    <x v="1"/>
    <s v="email@example.com"/>
    <s v="098-765-4321"/>
    <n v="6"/>
    <x v="1"/>
  </r>
  <r>
    <x v="1"/>
    <x v="4"/>
    <x v="2"/>
    <x v="0"/>
    <x v="4"/>
    <x v="3"/>
    <d v="2020-02-20T00:00:00"/>
    <x v="2"/>
    <s v="Email not provided"/>
    <s v="555-555-5555"/>
    <n v="5"/>
    <x v="2"/>
  </r>
  <r>
    <x v="2"/>
    <x v="2"/>
    <x v="3"/>
    <x v="2"/>
    <x v="2"/>
    <x v="0"/>
    <d v="2020-02-20T00:00:00"/>
    <x v="1"/>
    <s v="Email not provided"/>
    <s v="555-555-5555"/>
    <n v="5"/>
    <x v="1"/>
  </r>
  <r>
    <x v="0"/>
    <x v="3"/>
    <x v="2"/>
    <x v="0"/>
    <x v="0"/>
    <x v="4"/>
    <d v="2020-02-20T00:00:00"/>
    <x v="0"/>
    <s v="Email not provided"/>
    <s v="123-456-7890"/>
    <n v="5"/>
    <x v="2"/>
  </r>
  <r>
    <x v="7"/>
    <x v="0"/>
    <x v="2"/>
    <x v="0"/>
    <x v="2"/>
    <x v="4"/>
    <d v="2020-01-15T00:00:00"/>
    <x v="4"/>
    <s v="name@company.org"/>
    <s v="Phone not provided"/>
    <n v="6"/>
    <x v="2"/>
  </r>
  <r>
    <x v="8"/>
    <x v="1"/>
    <x v="1"/>
    <x v="1"/>
    <x v="4"/>
    <x v="2"/>
    <d v="2018-04-05T00:00:00"/>
    <x v="1"/>
    <s v="Email not provided"/>
    <s v="Phone not provided"/>
    <n v="7"/>
    <x v="1"/>
  </r>
  <r>
    <x v="1"/>
    <x v="1"/>
    <x v="2"/>
    <x v="0"/>
    <x v="0"/>
    <x v="2"/>
    <d v="2020-01-15T00:00:00"/>
    <x v="4"/>
    <s v="Email not provided"/>
    <s v="098-765-4321"/>
    <n v="6"/>
    <x v="2"/>
  </r>
  <r>
    <x v="2"/>
    <x v="1"/>
    <x v="2"/>
    <x v="1"/>
    <x v="0"/>
    <x v="0"/>
    <d v="2018-04-05T00:00:00"/>
    <x v="2"/>
    <s v="name@company.org"/>
    <s v="123-456-7890"/>
    <n v="7"/>
    <x v="2"/>
  </r>
  <r>
    <x v="7"/>
    <x v="1"/>
    <x v="3"/>
    <x v="2"/>
    <x v="2"/>
    <x v="2"/>
    <d v="2020-02-20T00:00:00"/>
    <x v="3"/>
    <s v="Email not provided"/>
    <s v="555-555-5555"/>
    <n v="5"/>
    <x v="1"/>
  </r>
  <r>
    <x v="5"/>
    <x v="2"/>
    <x v="3"/>
    <x v="2"/>
    <x v="1"/>
    <x v="4"/>
    <d v="2019-03-25T00:00:00"/>
    <x v="1"/>
    <s v="Email not provided"/>
    <s v="Phone not provided"/>
    <n v="6"/>
    <x v="1"/>
  </r>
  <r>
    <x v="8"/>
    <x v="4"/>
    <x v="2"/>
    <x v="2"/>
    <x v="3"/>
    <x v="2"/>
    <d v="2019-12-01T00:00:00"/>
    <x v="1"/>
    <s v="Email not provided"/>
    <s v="Phone not provided"/>
    <n v="6"/>
    <x v="2"/>
  </r>
  <r>
    <x v="8"/>
    <x v="2"/>
    <x v="3"/>
    <x v="0"/>
    <x v="1"/>
    <x v="1"/>
    <d v="2019-12-01T00:00:00"/>
    <x v="4"/>
    <s v="name@company.org"/>
    <s v="123-456-7890"/>
    <n v="6"/>
    <x v="1"/>
  </r>
  <r>
    <x v="5"/>
    <x v="1"/>
    <x v="2"/>
    <x v="1"/>
    <x v="2"/>
    <x v="2"/>
    <d v="2020-02-20T00:00:00"/>
    <x v="2"/>
    <s v="email@example.com"/>
    <s v="Phone not provided"/>
    <n v="5"/>
    <x v="2"/>
  </r>
  <r>
    <x v="3"/>
    <x v="2"/>
    <x v="4"/>
    <x v="2"/>
    <x v="3"/>
    <x v="4"/>
    <d v="2020-01-15T00:00:00"/>
    <x v="0"/>
    <s v="user@domain.com"/>
    <s v="555-555-5555"/>
    <n v="6"/>
    <x v="0"/>
  </r>
  <r>
    <x v="5"/>
    <x v="4"/>
    <x v="2"/>
    <x v="1"/>
    <x v="1"/>
    <x v="0"/>
    <d v="2019-03-25T00:00:00"/>
    <x v="2"/>
    <s v="Email not provided"/>
    <s v="123-456-7890"/>
    <n v="6"/>
    <x v="2"/>
  </r>
  <r>
    <x v="8"/>
    <x v="3"/>
    <x v="2"/>
    <x v="1"/>
    <x v="3"/>
    <x v="3"/>
    <d v="2018-04-05T00:00:00"/>
    <x v="1"/>
    <s v="name@company.org"/>
    <s v="Phone not provided"/>
    <n v="7"/>
    <x v="2"/>
  </r>
  <r>
    <x v="8"/>
    <x v="1"/>
    <x v="3"/>
    <x v="2"/>
    <x v="0"/>
    <x v="2"/>
    <d v="2020-02-20T00:00:00"/>
    <x v="0"/>
    <s v="Email not provided"/>
    <s v="Phone not provided"/>
    <n v="5"/>
    <x v="1"/>
  </r>
  <r>
    <x v="2"/>
    <x v="3"/>
    <x v="2"/>
    <x v="2"/>
    <x v="1"/>
    <x v="4"/>
    <d v="2019-03-25T00:00:00"/>
    <x v="2"/>
    <s v="name@company.org"/>
    <s v="098-765-4321"/>
    <n v="6"/>
    <x v="2"/>
  </r>
  <r>
    <x v="4"/>
    <x v="0"/>
    <x v="2"/>
    <x v="1"/>
    <x v="3"/>
    <x v="3"/>
    <d v="2019-03-25T00:00:00"/>
    <x v="3"/>
    <s v="user@domain.com"/>
    <s v="555-555-5555"/>
    <n v="6"/>
    <x v="2"/>
  </r>
  <r>
    <x v="7"/>
    <x v="3"/>
    <x v="3"/>
    <x v="2"/>
    <x v="3"/>
    <x v="3"/>
    <d v="2018-04-05T00:00:00"/>
    <x v="4"/>
    <s v="user@domain.com"/>
    <s v="555-555-5555"/>
    <n v="7"/>
    <x v="1"/>
  </r>
  <r>
    <x v="5"/>
    <x v="0"/>
    <x v="4"/>
    <x v="1"/>
    <x v="3"/>
    <x v="1"/>
    <d v="2019-03-25T00:00:00"/>
    <x v="2"/>
    <s v="email@example.com"/>
    <s v="Phone not provided"/>
    <n v="6"/>
    <x v="0"/>
  </r>
  <r>
    <x v="7"/>
    <x v="0"/>
    <x v="4"/>
    <x v="1"/>
    <x v="1"/>
    <x v="3"/>
    <d v="2020-01-15T00:00:00"/>
    <x v="2"/>
    <s v="email@example.com"/>
    <s v="123-456-7890"/>
    <n v="6"/>
    <x v="0"/>
  </r>
  <r>
    <x v="5"/>
    <x v="3"/>
    <x v="3"/>
    <x v="2"/>
    <x v="4"/>
    <x v="4"/>
    <d v="2020-01-15T00:00:00"/>
    <x v="3"/>
    <s v="user@domain.com"/>
    <s v="Phone not provided"/>
    <n v="6"/>
    <x v="1"/>
  </r>
  <r>
    <x v="0"/>
    <x v="1"/>
    <x v="0"/>
    <x v="0"/>
    <x v="1"/>
    <x v="4"/>
    <d v="2020-01-15T00:00:00"/>
    <x v="1"/>
    <s v="Email not provided"/>
    <s v="Phone not provided"/>
    <n v="6"/>
    <x v="0"/>
  </r>
  <r>
    <x v="8"/>
    <x v="4"/>
    <x v="3"/>
    <x v="2"/>
    <x v="2"/>
    <x v="2"/>
    <d v="2019-03-25T00:00:00"/>
    <x v="4"/>
    <s v="Email not provided"/>
    <s v="098-765-4321"/>
    <n v="6"/>
    <x v="1"/>
  </r>
  <r>
    <x v="4"/>
    <x v="2"/>
    <x v="3"/>
    <x v="0"/>
    <x v="1"/>
    <x v="2"/>
    <d v="2020-01-15T00:00:00"/>
    <x v="2"/>
    <s v="Email not provided"/>
    <s v="098-765-4321"/>
    <n v="6"/>
    <x v="1"/>
  </r>
  <r>
    <x v="2"/>
    <x v="2"/>
    <x v="4"/>
    <x v="1"/>
    <x v="3"/>
    <x v="2"/>
    <d v="2018-04-05T00:00:00"/>
    <x v="0"/>
    <s v="email@example.com"/>
    <s v="098-765-4321"/>
    <n v="7"/>
    <x v="0"/>
  </r>
  <r>
    <x v="4"/>
    <x v="4"/>
    <x v="4"/>
    <x v="1"/>
    <x v="0"/>
    <x v="3"/>
    <d v="2019-03-25T00:00:00"/>
    <x v="2"/>
    <s v="Email not provided"/>
    <s v="Phone not provided"/>
    <n v="6"/>
    <x v="0"/>
  </r>
  <r>
    <x v="4"/>
    <x v="0"/>
    <x v="3"/>
    <x v="0"/>
    <x v="1"/>
    <x v="3"/>
    <d v="2019-12-01T00:00:00"/>
    <x v="4"/>
    <s v="email@example.com"/>
    <s v="Phone not provided"/>
    <n v="6"/>
    <x v="1"/>
  </r>
  <r>
    <x v="4"/>
    <x v="0"/>
    <x v="3"/>
    <x v="1"/>
    <x v="1"/>
    <x v="1"/>
    <d v="2019-03-25T00:00:00"/>
    <x v="2"/>
    <s v="user@domain.com"/>
    <s v="555-555-5555"/>
    <n v="6"/>
    <x v="1"/>
  </r>
  <r>
    <x v="7"/>
    <x v="1"/>
    <x v="3"/>
    <x v="0"/>
    <x v="3"/>
    <x v="2"/>
    <d v="2018-04-05T00:00:00"/>
    <x v="3"/>
    <s v="Email not provided"/>
    <s v="123-456-7890"/>
    <n v="7"/>
    <x v="1"/>
  </r>
  <r>
    <x v="5"/>
    <x v="1"/>
    <x v="4"/>
    <x v="0"/>
    <x v="0"/>
    <x v="0"/>
    <d v="2019-12-01T00:00:00"/>
    <x v="2"/>
    <s v="Email not provided"/>
    <s v="555-555-5555"/>
    <n v="6"/>
    <x v="0"/>
  </r>
  <r>
    <x v="9"/>
    <x v="3"/>
    <x v="3"/>
    <x v="1"/>
    <x v="0"/>
    <x v="1"/>
    <d v="2019-03-25T00:00:00"/>
    <x v="2"/>
    <s v="user@domain.com"/>
    <s v="Phone not provided"/>
    <n v="6"/>
    <x v="1"/>
  </r>
  <r>
    <x v="0"/>
    <x v="0"/>
    <x v="3"/>
    <x v="0"/>
    <x v="2"/>
    <x v="0"/>
    <d v="2020-01-15T00:00:00"/>
    <x v="0"/>
    <s v="Email not provided"/>
    <s v="555-555-5555"/>
    <n v="6"/>
    <x v="1"/>
  </r>
  <r>
    <x v="1"/>
    <x v="2"/>
    <x v="1"/>
    <x v="2"/>
    <x v="1"/>
    <x v="3"/>
    <d v="2020-02-20T00:00:00"/>
    <x v="3"/>
    <s v="Email not provided"/>
    <s v="Phone not provided"/>
    <n v="5"/>
    <x v="1"/>
  </r>
  <r>
    <x v="4"/>
    <x v="1"/>
    <x v="0"/>
    <x v="2"/>
    <x v="0"/>
    <x v="1"/>
    <d v="2020-02-20T00:00:00"/>
    <x v="3"/>
    <s v="name@company.org"/>
    <s v="098-765-4321"/>
    <n v="5"/>
    <x v="0"/>
  </r>
  <r>
    <x v="3"/>
    <x v="3"/>
    <x v="2"/>
    <x v="1"/>
    <x v="0"/>
    <x v="1"/>
    <d v="2020-01-15T00:00:00"/>
    <x v="2"/>
    <s v="email@example.com"/>
    <s v="Phone not provided"/>
    <n v="6"/>
    <x v="2"/>
  </r>
  <r>
    <x v="7"/>
    <x v="1"/>
    <x v="0"/>
    <x v="1"/>
    <x v="4"/>
    <x v="4"/>
    <d v="2020-02-20T00:00:00"/>
    <x v="0"/>
    <s v="Email not provided"/>
    <s v="Phone not provided"/>
    <n v="5"/>
    <x v="0"/>
  </r>
  <r>
    <x v="2"/>
    <x v="3"/>
    <x v="1"/>
    <x v="0"/>
    <x v="4"/>
    <x v="3"/>
    <d v="2020-02-20T00:00:00"/>
    <x v="2"/>
    <s v="user@domain.com"/>
    <s v="555-555-5555"/>
    <n v="5"/>
    <x v="1"/>
  </r>
  <r>
    <x v="1"/>
    <x v="3"/>
    <x v="2"/>
    <x v="0"/>
    <x v="0"/>
    <x v="3"/>
    <d v="2020-01-15T00:00:00"/>
    <x v="2"/>
    <s v="Email not provided"/>
    <s v="Phone not provided"/>
    <n v="6"/>
    <x v="2"/>
  </r>
  <r>
    <x v="9"/>
    <x v="4"/>
    <x v="3"/>
    <x v="0"/>
    <x v="2"/>
    <x v="1"/>
    <d v="2020-01-15T00:00:00"/>
    <x v="4"/>
    <s v="Email not provided"/>
    <s v="555-555-5555"/>
    <n v="6"/>
    <x v="1"/>
  </r>
  <r>
    <x v="3"/>
    <x v="0"/>
    <x v="1"/>
    <x v="0"/>
    <x v="0"/>
    <x v="3"/>
    <d v="2019-03-25T00:00:00"/>
    <x v="4"/>
    <s v="email@example.com"/>
    <s v="555-555-5555"/>
    <n v="6"/>
    <x v="1"/>
  </r>
  <r>
    <x v="9"/>
    <x v="1"/>
    <x v="3"/>
    <x v="2"/>
    <x v="3"/>
    <x v="1"/>
    <d v="2019-03-25T00:00:00"/>
    <x v="0"/>
    <s v="name@company.org"/>
    <s v="Phone not provided"/>
    <n v="6"/>
    <x v="1"/>
  </r>
  <r>
    <x v="1"/>
    <x v="1"/>
    <x v="4"/>
    <x v="2"/>
    <x v="1"/>
    <x v="4"/>
    <d v="2020-01-15T00:00:00"/>
    <x v="1"/>
    <s v="email@example.com"/>
    <s v="555-555-5555"/>
    <n v="6"/>
    <x v="0"/>
  </r>
  <r>
    <x v="4"/>
    <x v="4"/>
    <x v="2"/>
    <x v="1"/>
    <x v="2"/>
    <x v="1"/>
    <d v="2018-04-05T00:00:00"/>
    <x v="4"/>
    <s v="Email not provided"/>
    <s v="098-765-4321"/>
    <n v="7"/>
    <x v="2"/>
  </r>
  <r>
    <x v="3"/>
    <x v="2"/>
    <x v="1"/>
    <x v="0"/>
    <x v="3"/>
    <x v="3"/>
    <d v="2020-02-20T00:00:00"/>
    <x v="1"/>
    <s v="Email not provided"/>
    <s v="555-555-5555"/>
    <n v="5"/>
    <x v="1"/>
  </r>
  <r>
    <x v="9"/>
    <x v="2"/>
    <x v="4"/>
    <x v="0"/>
    <x v="2"/>
    <x v="3"/>
    <d v="2019-03-25T00:00:00"/>
    <x v="3"/>
    <s v="Email not provided"/>
    <s v="098-765-4321"/>
    <n v="6"/>
    <x v="0"/>
  </r>
  <r>
    <x v="2"/>
    <x v="0"/>
    <x v="1"/>
    <x v="1"/>
    <x v="3"/>
    <x v="1"/>
    <d v="2020-02-20T00:00:00"/>
    <x v="4"/>
    <s v="Email not provided"/>
    <s v="Phone not provided"/>
    <n v="5"/>
    <x v="1"/>
  </r>
  <r>
    <x v="5"/>
    <x v="0"/>
    <x v="1"/>
    <x v="0"/>
    <x v="1"/>
    <x v="1"/>
    <d v="2019-12-01T00:00:00"/>
    <x v="4"/>
    <s v="user@domain.com"/>
    <s v="Phone not provided"/>
    <n v="6"/>
    <x v="1"/>
  </r>
  <r>
    <x v="8"/>
    <x v="1"/>
    <x v="4"/>
    <x v="0"/>
    <x v="1"/>
    <x v="1"/>
    <d v="2020-01-15T00:00:00"/>
    <x v="0"/>
    <s v="name@company.org"/>
    <s v="098-765-4321"/>
    <n v="6"/>
    <x v="0"/>
  </r>
  <r>
    <x v="5"/>
    <x v="4"/>
    <x v="2"/>
    <x v="0"/>
    <x v="4"/>
    <x v="2"/>
    <d v="2018-04-05T00:00:00"/>
    <x v="1"/>
    <s v="Email not provided"/>
    <s v="Phone not provided"/>
    <n v="7"/>
    <x v="2"/>
  </r>
  <r>
    <x v="1"/>
    <x v="2"/>
    <x v="0"/>
    <x v="0"/>
    <x v="3"/>
    <x v="3"/>
    <d v="2019-12-01T00:00:00"/>
    <x v="4"/>
    <s v="Email not provided"/>
    <s v="Phone not provided"/>
    <n v="6"/>
    <x v="0"/>
  </r>
  <r>
    <x v="7"/>
    <x v="3"/>
    <x v="3"/>
    <x v="0"/>
    <x v="4"/>
    <x v="3"/>
    <d v="2019-12-01T00:00:00"/>
    <x v="4"/>
    <s v="Email not provided"/>
    <s v="098-765-4321"/>
    <n v="6"/>
    <x v="1"/>
  </r>
  <r>
    <x v="8"/>
    <x v="1"/>
    <x v="1"/>
    <x v="1"/>
    <x v="3"/>
    <x v="2"/>
    <d v="2019-12-01T00:00:00"/>
    <x v="0"/>
    <s v="name@company.org"/>
    <s v="Phone not provided"/>
    <n v="6"/>
    <x v="1"/>
  </r>
  <r>
    <x v="0"/>
    <x v="0"/>
    <x v="3"/>
    <x v="0"/>
    <x v="4"/>
    <x v="1"/>
    <d v="2020-01-15T00:00:00"/>
    <x v="0"/>
    <s v="email@example.com"/>
    <s v="123-456-7890"/>
    <n v="6"/>
    <x v="1"/>
  </r>
  <r>
    <x v="2"/>
    <x v="1"/>
    <x v="2"/>
    <x v="1"/>
    <x v="1"/>
    <x v="4"/>
    <d v="2019-03-25T00:00:00"/>
    <x v="1"/>
    <s v="name@company.org"/>
    <s v="Phone not provided"/>
    <n v="6"/>
    <x v="2"/>
  </r>
  <r>
    <x v="0"/>
    <x v="1"/>
    <x v="4"/>
    <x v="0"/>
    <x v="2"/>
    <x v="1"/>
    <d v="2020-01-15T00:00:00"/>
    <x v="3"/>
    <s v="name@company.org"/>
    <s v="Phone not provided"/>
    <n v="6"/>
    <x v="0"/>
  </r>
  <r>
    <x v="3"/>
    <x v="1"/>
    <x v="3"/>
    <x v="2"/>
    <x v="4"/>
    <x v="1"/>
    <d v="2019-03-25T00:00:00"/>
    <x v="3"/>
    <s v="name@company.org"/>
    <s v="Phone not provided"/>
    <n v="6"/>
    <x v="1"/>
  </r>
  <r>
    <x v="8"/>
    <x v="2"/>
    <x v="4"/>
    <x v="2"/>
    <x v="3"/>
    <x v="2"/>
    <d v="2019-12-01T00:00:00"/>
    <x v="2"/>
    <s v="Email not provided"/>
    <s v="Phone not provided"/>
    <n v="6"/>
    <x v="0"/>
  </r>
  <r>
    <x v="0"/>
    <x v="0"/>
    <x v="3"/>
    <x v="2"/>
    <x v="3"/>
    <x v="3"/>
    <d v="2019-12-01T00:00:00"/>
    <x v="4"/>
    <s v="Email not provided"/>
    <s v="555-555-5555"/>
    <n v="6"/>
    <x v="1"/>
  </r>
  <r>
    <x v="0"/>
    <x v="1"/>
    <x v="0"/>
    <x v="2"/>
    <x v="1"/>
    <x v="1"/>
    <d v="2018-04-05T00:00:00"/>
    <x v="1"/>
    <s v="user@domain.com"/>
    <s v="Phone not provided"/>
    <n v="7"/>
    <x v="0"/>
  </r>
  <r>
    <x v="9"/>
    <x v="0"/>
    <x v="0"/>
    <x v="1"/>
    <x v="3"/>
    <x v="3"/>
    <d v="2019-03-25T00:00:00"/>
    <x v="4"/>
    <s v="email@example.com"/>
    <s v="Phone not provided"/>
    <n v="6"/>
    <x v="0"/>
  </r>
  <r>
    <x v="5"/>
    <x v="3"/>
    <x v="0"/>
    <x v="1"/>
    <x v="0"/>
    <x v="0"/>
    <d v="2019-12-01T00:00:00"/>
    <x v="1"/>
    <s v="Email not provided"/>
    <s v="098-765-4321"/>
    <n v="6"/>
    <x v="0"/>
  </r>
  <r>
    <x v="9"/>
    <x v="1"/>
    <x v="0"/>
    <x v="0"/>
    <x v="2"/>
    <x v="3"/>
    <d v="2020-02-20T00:00:00"/>
    <x v="1"/>
    <s v="name@company.org"/>
    <s v="123-456-7890"/>
    <n v="5"/>
    <x v="0"/>
  </r>
  <r>
    <x v="8"/>
    <x v="3"/>
    <x v="0"/>
    <x v="2"/>
    <x v="4"/>
    <x v="4"/>
    <d v="2018-04-05T00:00:00"/>
    <x v="1"/>
    <s v="email@example.com"/>
    <s v="555-555-5555"/>
    <n v="7"/>
    <x v="0"/>
  </r>
  <r>
    <x v="8"/>
    <x v="0"/>
    <x v="0"/>
    <x v="1"/>
    <x v="2"/>
    <x v="4"/>
    <d v="2020-01-15T00:00:00"/>
    <x v="4"/>
    <s v="email@example.com"/>
    <s v="098-765-4321"/>
    <n v="6"/>
    <x v="0"/>
  </r>
  <r>
    <x v="1"/>
    <x v="0"/>
    <x v="4"/>
    <x v="0"/>
    <x v="1"/>
    <x v="1"/>
    <d v="2018-04-05T00:00:00"/>
    <x v="0"/>
    <s v="user@domain.com"/>
    <s v="123-456-7890"/>
    <n v="7"/>
    <x v="0"/>
  </r>
  <r>
    <x v="9"/>
    <x v="2"/>
    <x v="1"/>
    <x v="0"/>
    <x v="4"/>
    <x v="3"/>
    <d v="2020-02-20T00:00:00"/>
    <x v="4"/>
    <s v="Email not provided"/>
    <s v="123-456-7890"/>
    <n v="5"/>
    <x v="1"/>
  </r>
  <r>
    <x v="6"/>
    <x v="1"/>
    <x v="3"/>
    <x v="1"/>
    <x v="4"/>
    <x v="1"/>
    <d v="2019-03-25T00:00:00"/>
    <x v="1"/>
    <s v="name@company.org"/>
    <s v="123-456-7890"/>
    <n v="6"/>
    <x v="1"/>
  </r>
  <r>
    <x v="5"/>
    <x v="1"/>
    <x v="0"/>
    <x v="2"/>
    <x v="0"/>
    <x v="2"/>
    <d v="2020-01-15T00:00:00"/>
    <x v="2"/>
    <s v="Email not provided"/>
    <s v="098-765-4321"/>
    <n v="6"/>
    <x v="0"/>
  </r>
  <r>
    <x v="8"/>
    <x v="3"/>
    <x v="4"/>
    <x v="0"/>
    <x v="1"/>
    <x v="4"/>
    <d v="2020-01-15T00:00:00"/>
    <x v="3"/>
    <s v="user@domain.com"/>
    <s v="555-555-5555"/>
    <n v="6"/>
    <x v="0"/>
  </r>
  <r>
    <x v="1"/>
    <x v="1"/>
    <x v="4"/>
    <x v="2"/>
    <x v="3"/>
    <x v="1"/>
    <d v="2019-03-25T00:00:00"/>
    <x v="1"/>
    <s v="Email not provided"/>
    <s v="555-555-5555"/>
    <n v="6"/>
    <x v="0"/>
  </r>
  <r>
    <x v="9"/>
    <x v="4"/>
    <x v="4"/>
    <x v="2"/>
    <x v="0"/>
    <x v="2"/>
    <d v="2018-04-05T00:00:00"/>
    <x v="2"/>
    <s v="email@example.com"/>
    <s v="123-456-7890"/>
    <n v="7"/>
    <x v="0"/>
  </r>
  <r>
    <x v="5"/>
    <x v="1"/>
    <x v="1"/>
    <x v="2"/>
    <x v="0"/>
    <x v="1"/>
    <d v="2019-12-01T00:00:00"/>
    <x v="0"/>
    <s v="name@company.org"/>
    <s v="098-765-4321"/>
    <n v="6"/>
    <x v="1"/>
  </r>
  <r>
    <x v="9"/>
    <x v="2"/>
    <x v="3"/>
    <x v="0"/>
    <x v="2"/>
    <x v="3"/>
    <d v="2018-04-05T00:00:00"/>
    <x v="1"/>
    <s v="Email not provided"/>
    <s v="123-456-7890"/>
    <n v="7"/>
    <x v="1"/>
  </r>
  <r>
    <x v="0"/>
    <x v="3"/>
    <x v="1"/>
    <x v="2"/>
    <x v="2"/>
    <x v="3"/>
    <d v="2020-02-20T00:00:00"/>
    <x v="2"/>
    <s v="user@domain.com"/>
    <s v="Phone not provided"/>
    <n v="5"/>
    <x v="1"/>
  </r>
  <r>
    <x v="1"/>
    <x v="3"/>
    <x v="2"/>
    <x v="0"/>
    <x v="2"/>
    <x v="3"/>
    <d v="2019-12-01T00:00:00"/>
    <x v="1"/>
    <s v="Email not provided"/>
    <s v="555-555-5555"/>
    <n v="6"/>
    <x v="2"/>
  </r>
  <r>
    <x v="5"/>
    <x v="4"/>
    <x v="4"/>
    <x v="2"/>
    <x v="0"/>
    <x v="3"/>
    <d v="2018-04-05T00:00:00"/>
    <x v="4"/>
    <s v="email@example.com"/>
    <s v="Phone not provided"/>
    <n v="7"/>
    <x v="0"/>
  </r>
  <r>
    <x v="4"/>
    <x v="2"/>
    <x v="2"/>
    <x v="0"/>
    <x v="3"/>
    <x v="0"/>
    <d v="2019-03-25T00:00:00"/>
    <x v="2"/>
    <s v="name@company.org"/>
    <s v="123-456-7890"/>
    <n v="6"/>
    <x v="2"/>
  </r>
  <r>
    <x v="3"/>
    <x v="1"/>
    <x v="2"/>
    <x v="2"/>
    <x v="4"/>
    <x v="2"/>
    <d v="2020-02-20T00:00:00"/>
    <x v="4"/>
    <s v="Email not provided"/>
    <s v="Phone not provided"/>
    <n v="5"/>
    <x v="2"/>
  </r>
  <r>
    <x v="3"/>
    <x v="2"/>
    <x v="0"/>
    <x v="1"/>
    <x v="2"/>
    <x v="2"/>
    <d v="2020-02-20T00:00:00"/>
    <x v="4"/>
    <s v="Email not provided"/>
    <s v="555-555-5555"/>
    <n v="5"/>
    <x v="0"/>
  </r>
  <r>
    <x v="5"/>
    <x v="1"/>
    <x v="0"/>
    <x v="2"/>
    <x v="3"/>
    <x v="3"/>
    <d v="2020-02-20T00:00:00"/>
    <x v="2"/>
    <s v="email@example.com"/>
    <s v="098-765-4321"/>
    <n v="5"/>
    <x v="0"/>
  </r>
  <r>
    <x v="9"/>
    <x v="2"/>
    <x v="1"/>
    <x v="2"/>
    <x v="1"/>
    <x v="0"/>
    <d v="2019-12-01T00:00:00"/>
    <x v="3"/>
    <s v="Email not provided"/>
    <s v="555-555-5555"/>
    <n v="6"/>
    <x v="1"/>
  </r>
  <r>
    <x v="1"/>
    <x v="2"/>
    <x v="3"/>
    <x v="0"/>
    <x v="2"/>
    <x v="3"/>
    <d v="2020-01-15T00:00:00"/>
    <x v="2"/>
    <s v="user@domain.com"/>
    <s v="098-765-4321"/>
    <n v="6"/>
    <x v="1"/>
  </r>
  <r>
    <x v="3"/>
    <x v="0"/>
    <x v="2"/>
    <x v="0"/>
    <x v="4"/>
    <x v="0"/>
    <d v="2019-12-01T00:00:00"/>
    <x v="3"/>
    <s v="Email not provided"/>
    <s v="098-765-4321"/>
    <n v="6"/>
    <x v="2"/>
  </r>
  <r>
    <x v="1"/>
    <x v="3"/>
    <x v="3"/>
    <x v="2"/>
    <x v="1"/>
    <x v="3"/>
    <d v="2018-04-05T00:00:00"/>
    <x v="1"/>
    <s v="Email not provided"/>
    <s v="123-456-7890"/>
    <n v="7"/>
    <x v="1"/>
  </r>
  <r>
    <x v="3"/>
    <x v="2"/>
    <x v="1"/>
    <x v="1"/>
    <x v="1"/>
    <x v="4"/>
    <d v="2020-01-15T00:00:00"/>
    <x v="1"/>
    <s v="Email not provided"/>
    <s v="123-456-7890"/>
    <n v="6"/>
    <x v="1"/>
  </r>
  <r>
    <x v="0"/>
    <x v="4"/>
    <x v="0"/>
    <x v="1"/>
    <x v="4"/>
    <x v="4"/>
    <d v="2018-04-05T00:00:00"/>
    <x v="2"/>
    <s v="email@example.com"/>
    <s v="555-555-5555"/>
    <n v="7"/>
    <x v="0"/>
  </r>
  <r>
    <x v="9"/>
    <x v="2"/>
    <x v="3"/>
    <x v="0"/>
    <x v="2"/>
    <x v="1"/>
    <d v="2020-01-15T00:00:00"/>
    <x v="1"/>
    <s v="email@example.com"/>
    <s v="Phone not provided"/>
    <n v="6"/>
    <x v="1"/>
  </r>
  <r>
    <x v="0"/>
    <x v="1"/>
    <x v="3"/>
    <x v="1"/>
    <x v="0"/>
    <x v="3"/>
    <d v="2019-12-01T00:00:00"/>
    <x v="0"/>
    <s v="user@domain.com"/>
    <s v="555-555-5555"/>
    <n v="6"/>
    <x v="1"/>
  </r>
  <r>
    <x v="3"/>
    <x v="3"/>
    <x v="0"/>
    <x v="2"/>
    <x v="4"/>
    <x v="2"/>
    <d v="2020-02-20T00:00:00"/>
    <x v="4"/>
    <s v="Email not provided"/>
    <s v="Phone not provided"/>
    <n v="5"/>
    <x v="0"/>
  </r>
  <r>
    <x v="4"/>
    <x v="1"/>
    <x v="2"/>
    <x v="0"/>
    <x v="4"/>
    <x v="1"/>
    <d v="2019-03-25T00:00:00"/>
    <x v="4"/>
    <s v="email@example.com"/>
    <s v="098-765-4321"/>
    <n v="6"/>
    <x v="2"/>
  </r>
  <r>
    <x v="4"/>
    <x v="3"/>
    <x v="0"/>
    <x v="2"/>
    <x v="4"/>
    <x v="4"/>
    <d v="2020-02-20T00:00:00"/>
    <x v="3"/>
    <s v="user@domain.com"/>
    <s v="098-765-4321"/>
    <n v="5"/>
    <x v="0"/>
  </r>
  <r>
    <x v="0"/>
    <x v="1"/>
    <x v="3"/>
    <x v="0"/>
    <x v="1"/>
    <x v="3"/>
    <d v="2019-12-01T00:00:00"/>
    <x v="1"/>
    <s v="user@domain.com"/>
    <s v="123-456-7890"/>
    <n v="6"/>
    <x v="1"/>
  </r>
  <r>
    <x v="4"/>
    <x v="2"/>
    <x v="2"/>
    <x v="0"/>
    <x v="3"/>
    <x v="1"/>
    <d v="2020-01-15T00:00:00"/>
    <x v="3"/>
    <s v="Email not provided"/>
    <s v="Phone not provided"/>
    <n v="6"/>
    <x v="2"/>
  </r>
  <r>
    <x v="3"/>
    <x v="2"/>
    <x v="2"/>
    <x v="0"/>
    <x v="0"/>
    <x v="3"/>
    <d v="2020-02-20T00:00:00"/>
    <x v="4"/>
    <s v="name@company.org"/>
    <s v="123-456-7890"/>
    <n v="5"/>
    <x v="2"/>
  </r>
  <r>
    <x v="5"/>
    <x v="0"/>
    <x v="0"/>
    <x v="0"/>
    <x v="2"/>
    <x v="4"/>
    <d v="2019-12-01T00:00:00"/>
    <x v="4"/>
    <s v="Email not provided"/>
    <s v="Phone not provided"/>
    <n v="6"/>
    <x v="0"/>
  </r>
  <r>
    <x v="0"/>
    <x v="4"/>
    <x v="3"/>
    <x v="1"/>
    <x v="2"/>
    <x v="1"/>
    <d v="2018-04-05T00:00:00"/>
    <x v="1"/>
    <s v="name@company.org"/>
    <s v="555-555-5555"/>
    <n v="7"/>
    <x v="1"/>
  </r>
  <r>
    <x v="7"/>
    <x v="1"/>
    <x v="1"/>
    <x v="2"/>
    <x v="3"/>
    <x v="4"/>
    <d v="2019-03-25T00:00:00"/>
    <x v="0"/>
    <s v="user@domain.com"/>
    <s v="555-555-5555"/>
    <n v="6"/>
    <x v="1"/>
  </r>
  <r>
    <x v="9"/>
    <x v="1"/>
    <x v="3"/>
    <x v="2"/>
    <x v="4"/>
    <x v="0"/>
    <d v="2020-02-20T00:00:00"/>
    <x v="0"/>
    <s v="email@example.com"/>
    <s v="Phone not provided"/>
    <n v="5"/>
    <x v="1"/>
  </r>
  <r>
    <x v="4"/>
    <x v="0"/>
    <x v="4"/>
    <x v="2"/>
    <x v="0"/>
    <x v="4"/>
    <d v="2020-01-15T00:00:00"/>
    <x v="1"/>
    <s v="Email not provided"/>
    <s v="123-456-7890"/>
    <n v="6"/>
    <x v="0"/>
  </r>
  <r>
    <x v="4"/>
    <x v="1"/>
    <x v="2"/>
    <x v="0"/>
    <x v="2"/>
    <x v="3"/>
    <d v="2018-04-05T00:00:00"/>
    <x v="1"/>
    <s v="user@domain.com"/>
    <s v="123-456-7890"/>
    <n v="7"/>
    <x v="2"/>
  </r>
  <r>
    <x v="8"/>
    <x v="1"/>
    <x v="1"/>
    <x v="1"/>
    <x v="2"/>
    <x v="2"/>
    <d v="2019-12-01T00:00:00"/>
    <x v="3"/>
    <s v="email@example.com"/>
    <s v="Phone not provided"/>
    <n v="6"/>
    <x v="1"/>
  </r>
  <r>
    <x v="6"/>
    <x v="0"/>
    <x v="2"/>
    <x v="2"/>
    <x v="4"/>
    <x v="4"/>
    <d v="2019-03-25T00:00:00"/>
    <x v="1"/>
    <s v="user@domain.com"/>
    <s v="555-555-5555"/>
    <n v="6"/>
    <x v="2"/>
  </r>
  <r>
    <x v="0"/>
    <x v="2"/>
    <x v="1"/>
    <x v="1"/>
    <x v="3"/>
    <x v="2"/>
    <d v="2020-01-15T00:00:00"/>
    <x v="0"/>
    <s v="Email not provided"/>
    <s v="123-456-7890"/>
    <n v="6"/>
    <x v="1"/>
  </r>
  <r>
    <x v="2"/>
    <x v="1"/>
    <x v="2"/>
    <x v="0"/>
    <x v="0"/>
    <x v="0"/>
    <d v="2019-12-01T00:00:00"/>
    <x v="1"/>
    <s v="name@company.org"/>
    <s v="Phone not provided"/>
    <n v="6"/>
    <x v="2"/>
  </r>
  <r>
    <x v="4"/>
    <x v="2"/>
    <x v="2"/>
    <x v="2"/>
    <x v="3"/>
    <x v="1"/>
    <d v="2019-12-01T00:00:00"/>
    <x v="3"/>
    <s v="user@domain.com"/>
    <s v="555-555-5555"/>
    <n v="6"/>
    <x v="2"/>
  </r>
  <r>
    <x v="9"/>
    <x v="0"/>
    <x v="1"/>
    <x v="1"/>
    <x v="3"/>
    <x v="1"/>
    <d v="2020-02-20T00:00:00"/>
    <x v="3"/>
    <s v="email@example.com"/>
    <s v="Phone not provided"/>
    <n v="5"/>
    <x v="1"/>
  </r>
  <r>
    <x v="7"/>
    <x v="2"/>
    <x v="2"/>
    <x v="0"/>
    <x v="0"/>
    <x v="2"/>
    <d v="2020-02-20T00:00:00"/>
    <x v="3"/>
    <s v="Email not provided"/>
    <s v="Phone not provided"/>
    <n v="5"/>
    <x v="2"/>
  </r>
  <r>
    <x v="4"/>
    <x v="3"/>
    <x v="2"/>
    <x v="1"/>
    <x v="0"/>
    <x v="1"/>
    <d v="2020-01-15T00:00:00"/>
    <x v="3"/>
    <s v="Email not provided"/>
    <s v="098-765-4321"/>
    <n v="6"/>
    <x v="2"/>
  </r>
  <r>
    <x v="7"/>
    <x v="1"/>
    <x v="4"/>
    <x v="2"/>
    <x v="2"/>
    <x v="4"/>
    <d v="2019-12-01T00:00:00"/>
    <x v="2"/>
    <s v="Email not provided"/>
    <s v="Phone not provided"/>
    <n v="6"/>
    <x v="0"/>
  </r>
  <r>
    <x v="3"/>
    <x v="1"/>
    <x v="3"/>
    <x v="2"/>
    <x v="2"/>
    <x v="2"/>
    <d v="2020-02-20T00:00:00"/>
    <x v="1"/>
    <s v="name@company.org"/>
    <s v="Phone not provided"/>
    <n v="5"/>
    <x v="1"/>
  </r>
  <r>
    <x v="3"/>
    <x v="4"/>
    <x v="3"/>
    <x v="0"/>
    <x v="0"/>
    <x v="3"/>
    <d v="2019-03-25T00:00:00"/>
    <x v="4"/>
    <s v="Email not provided"/>
    <s v="123-456-7890"/>
    <n v="6"/>
    <x v="1"/>
  </r>
  <r>
    <x v="6"/>
    <x v="1"/>
    <x v="2"/>
    <x v="0"/>
    <x v="1"/>
    <x v="4"/>
    <d v="2019-03-25T00:00:00"/>
    <x v="1"/>
    <s v="Email not provided"/>
    <s v="098-765-4321"/>
    <n v="6"/>
    <x v="2"/>
  </r>
  <r>
    <x v="5"/>
    <x v="2"/>
    <x v="2"/>
    <x v="0"/>
    <x v="2"/>
    <x v="4"/>
    <d v="2019-12-01T00:00:00"/>
    <x v="2"/>
    <s v="email@example.com"/>
    <s v="Phone not provided"/>
    <n v="6"/>
    <x v="2"/>
  </r>
  <r>
    <x v="2"/>
    <x v="1"/>
    <x v="4"/>
    <x v="1"/>
    <x v="1"/>
    <x v="4"/>
    <d v="2020-02-20T00:00:00"/>
    <x v="3"/>
    <s v="user@domain.com"/>
    <s v="123-456-7890"/>
    <n v="5"/>
    <x v="0"/>
  </r>
  <r>
    <x v="8"/>
    <x v="2"/>
    <x v="2"/>
    <x v="1"/>
    <x v="0"/>
    <x v="3"/>
    <d v="2020-01-15T00:00:00"/>
    <x v="2"/>
    <s v="name@company.org"/>
    <s v="098-765-4321"/>
    <n v="6"/>
    <x v="2"/>
  </r>
  <r>
    <x v="6"/>
    <x v="3"/>
    <x v="1"/>
    <x v="1"/>
    <x v="2"/>
    <x v="0"/>
    <d v="2020-01-15T00:00:00"/>
    <x v="0"/>
    <s v="Email not provided"/>
    <s v="555-555-5555"/>
    <n v="6"/>
    <x v="1"/>
  </r>
  <r>
    <x v="1"/>
    <x v="0"/>
    <x v="0"/>
    <x v="0"/>
    <x v="3"/>
    <x v="1"/>
    <d v="2020-01-15T00:00:00"/>
    <x v="0"/>
    <s v="name@company.org"/>
    <s v="123-456-7890"/>
    <n v="6"/>
    <x v="0"/>
  </r>
  <r>
    <x v="8"/>
    <x v="1"/>
    <x v="0"/>
    <x v="2"/>
    <x v="0"/>
    <x v="2"/>
    <d v="2019-03-25T00:00:00"/>
    <x v="1"/>
    <s v="Email not provided"/>
    <s v="Phone not provided"/>
    <n v="6"/>
    <x v="0"/>
  </r>
  <r>
    <x v="0"/>
    <x v="3"/>
    <x v="0"/>
    <x v="2"/>
    <x v="4"/>
    <x v="0"/>
    <d v="2020-02-20T00:00:00"/>
    <x v="1"/>
    <s v="name@company.org"/>
    <s v="Phone not provided"/>
    <n v="5"/>
    <x v="0"/>
  </r>
  <r>
    <x v="9"/>
    <x v="3"/>
    <x v="4"/>
    <x v="1"/>
    <x v="1"/>
    <x v="2"/>
    <d v="2020-02-20T00:00:00"/>
    <x v="4"/>
    <s v="Email not provided"/>
    <s v="098-765-4321"/>
    <n v="5"/>
    <x v="0"/>
  </r>
  <r>
    <x v="1"/>
    <x v="1"/>
    <x v="4"/>
    <x v="1"/>
    <x v="0"/>
    <x v="1"/>
    <d v="2019-03-25T00:00:00"/>
    <x v="4"/>
    <s v="user@domain.com"/>
    <s v="123-456-7890"/>
    <n v="6"/>
    <x v="0"/>
  </r>
  <r>
    <x v="1"/>
    <x v="2"/>
    <x v="2"/>
    <x v="2"/>
    <x v="0"/>
    <x v="3"/>
    <d v="2020-01-15T00:00:00"/>
    <x v="0"/>
    <s v="user@domain.com"/>
    <s v="555-555-5555"/>
    <n v="6"/>
    <x v="2"/>
  </r>
  <r>
    <x v="6"/>
    <x v="4"/>
    <x v="0"/>
    <x v="2"/>
    <x v="2"/>
    <x v="4"/>
    <d v="2020-01-15T00:00:00"/>
    <x v="3"/>
    <s v="name@company.org"/>
    <s v="Phone not provided"/>
    <n v="6"/>
    <x v="0"/>
  </r>
  <r>
    <x v="5"/>
    <x v="3"/>
    <x v="1"/>
    <x v="1"/>
    <x v="2"/>
    <x v="4"/>
    <d v="2019-12-01T00:00:00"/>
    <x v="2"/>
    <s v="email@example.com"/>
    <s v="Phone not provided"/>
    <n v="6"/>
    <x v="1"/>
  </r>
  <r>
    <x v="6"/>
    <x v="1"/>
    <x v="2"/>
    <x v="1"/>
    <x v="2"/>
    <x v="3"/>
    <d v="2018-04-05T00:00:00"/>
    <x v="4"/>
    <s v="name@company.org"/>
    <s v="123-456-7890"/>
    <n v="7"/>
    <x v="2"/>
  </r>
  <r>
    <x v="0"/>
    <x v="3"/>
    <x v="1"/>
    <x v="2"/>
    <x v="4"/>
    <x v="0"/>
    <d v="2020-02-20T00:00:00"/>
    <x v="4"/>
    <s v="Email not provided"/>
    <s v="555-555-5555"/>
    <n v="5"/>
    <x v="1"/>
  </r>
  <r>
    <x v="4"/>
    <x v="4"/>
    <x v="2"/>
    <x v="0"/>
    <x v="2"/>
    <x v="0"/>
    <d v="2020-02-20T00:00:00"/>
    <x v="3"/>
    <s v="user@domain.com"/>
    <s v="098-765-4321"/>
    <n v="5"/>
    <x v="2"/>
  </r>
  <r>
    <x v="4"/>
    <x v="2"/>
    <x v="0"/>
    <x v="1"/>
    <x v="0"/>
    <x v="2"/>
    <d v="2020-02-20T00:00:00"/>
    <x v="3"/>
    <s v="user@domain.com"/>
    <s v="123-456-7890"/>
    <n v="5"/>
    <x v="0"/>
  </r>
  <r>
    <x v="5"/>
    <x v="2"/>
    <x v="0"/>
    <x v="2"/>
    <x v="2"/>
    <x v="3"/>
    <d v="2018-04-05T00:00:00"/>
    <x v="1"/>
    <s v="user@domain.com"/>
    <s v="098-765-4321"/>
    <n v="7"/>
    <x v="0"/>
  </r>
  <r>
    <x v="0"/>
    <x v="1"/>
    <x v="0"/>
    <x v="2"/>
    <x v="3"/>
    <x v="0"/>
    <d v="2019-12-01T00:00:00"/>
    <x v="2"/>
    <s v="email@example.com"/>
    <s v="Phone not provided"/>
    <n v="6"/>
    <x v="0"/>
  </r>
  <r>
    <x v="5"/>
    <x v="3"/>
    <x v="4"/>
    <x v="2"/>
    <x v="2"/>
    <x v="3"/>
    <d v="2018-04-05T00:00:00"/>
    <x v="3"/>
    <s v="email@example.com"/>
    <s v="098-765-4321"/>
    <n v="7"/>
    <x v="0"/>
  </r>
  <r>
    <x v="7"/>
    <x v="2"/>
    <x v="2"/>
    <x v="2"/>
    <x v="4"/>
    <x v="1"/>
    <d v="2020-01-15T00:00:00"/>
    <x v="4"/>
    <s v="Email not provided"/>
    <s v="555-555-5555"/>
    <n v="6"/>
    <x v="2"/>
  </r>
  <r>
    <x v="4"/>
    <x v="4"/>
    <x v="4"/>
    <x v="0"/>
    <x v="3"/>
    <x v="4"/>
    <d v="2020-01-15T00:00:00"/>
    <x v="4"/>
    <s v="name@company.org"/>
    <s v="Phone not provided"/>
    <n v="6"/>
    <x v="0"/>
  </r>
  <r>
    <x v="1"/>
    <x v="1"/>
    <x v="4"/>
    <x v="2"/>
    <x v="0"/>
    <x v="4"/>
    <d v="2020-02-20T00:00:00"/>
    <x v="0"/>
    <s v="name@company.org"/>
    <s v="555-555-5555"/>
    <n v="5"/>
    <x v="0"/>
  </r>
  <r>
    <x v="2"/>
    <x v="0"/>
    <x v="3"/>
    <x v="1"/>
    <x v="0"/>
    <x v="4"/>
    <d v="2019-03-25T00:00:00"/>
    <x v="3"/>
    <s v="Email not provided"/>
    <s v="098-765-4321"/>
    <n v="6"/>
    <x v="1"/>
  </r>
  <r>
    <x v="9"/>
    <x v="0"/>
    <x v="1"/>
    <x v="0"/>
    <x v="1"/>
    <x v="3"/>
    <d v="2020-02-20T00:00:00"/>
    <x v="1"/>
    <s v="user@domain.com"/>
    <s v="123-456-7890"/>
    <n v="5"/>
    <x v="1"/>
  </r>
  <r>
    <x v="0"/>
    <x v="0"/>
    <x v="1"/>
    <x v="2"/>
    <x v="3"/>
    <x v="3"/>
    <d v="2019-03-25T00:00:00"/>
    <x v="2"/>
    <s v="email@example.com"/>
    <s v="Phone not provided"/>
    <n v="6"/>
    <x v="1"/>
  </r>
  <r>
    <x v="8"/>
    <x v="3"/>
    <x v="2"/>
    <x v="0"/>
    <x v="1"/>
    <x v="2"/>
    <d v="2018-04-05T00:00:00"/>
    <x v="1"/>
    <s v="Email not provided"/>
    <s v="Phone not provided"/>
    <n v="7"/>
    <x v="2"/>
  </r>
  <r>
    <x v="5"/>
    <x v="1"/>
    <x v="4"/>
    <x v="1"/>
    <x v="3"/>
    <x v="4"/>
    <d v="2020-01-15T00:00:00"/>
    <x v="4"/>
    <s v="Email not provided"/>
    <s v="123-456-7890"/>
    <n v="6"/>
    <x v="0"/>
  </r>
  <r>
    <x v="9"/>
    <x v="2"/>
    <x v="2"/>
    <x v="2"/>
    <x v="3"/>
    <x v="2"/>
    <d v="2019-03-25T00:00:00"/>
    <x v="1"/>
    <s v="email@example.com"/>
    <s v="123-456-7890"/>
    <n v="6"/>
    <x v="2"/>
  </r>
  <r>
    <x v="8"/>
    <x v="1"/>
    <x v="3"/>
    <x v="1"/>
    <x v="4"/>
    <x v="4"/>
    <d v="2018-04-05T00:00:00"/>
    <x v="4"/>
    <s v="name@company.org"/>
    <s v="555-555-5555"/>
    <n v="7"/>
    <x v="1"/>
  </r>
  <r>
    <x v="9"/>
    <x v="4"/>
    <x v="3"/>
    <x v="2"/>
    <x v="1"/>
    <x v="2"/>
    <d v="2020-01-15T00:00:00"/>
    <x v="4"/>
    <s v="user@domain.com"/>
    <s v="098-765-4321"/>
    <n v="6"/>
    <x v="1"/>
  </r>
  <r>
    <x v="2"/>
    <x v="1"/>
    <x v="1"/>
    <x v="2"/>
    <x v="4"/>
    <x v="2"/>
    <d v="2019-03-25T00:00:00"/>
    <x v="4"/>
    <s v="name@company.org"/>
    <s v="555-555-5555"/>
    <n v="6"/>
    <x v="1"/>
  </r>
  <r>
    <x v="8"/>
    <x v="4"/>
    <x v="4"/>
    <x v="2"/>
    <x v="3"/>
    <x v="1"/>
    <d v="2020-02-20T00:00:00"/>
    <x v="4"/>
    <s v="Email not provided"/>
    <s v="098-765-4321"/>
    <n v="5"/>
    <x v="0"/>
  </r>
  <r>
    <x v="6"/>
    <x v="3"/>
    <x v="2"/>
    <x v="2"/>
    <x v="0"/>
    <x v="2"/>
    <d v="2020-02-20T00:00:00"/>
    <x v="4"/>
    <s v="user@domain.com"/>
    <s v="555-555-5555"/>
    <n v="5"/>
    <x v="2"/>
  </r>
  <r>
    <x v="3"/>
    <x v="0"/>
    <x v="4"/>
    <x v="2"/>
    <x v="3"/>
    <x v="3"/>
    <d v="2020-02-20T00:00:00"/>
    <x v="0"/>
    <s v="Email not provided"/>
    <s v="123-456-7890"/>
    <n v="5"/>
    <x v="0"/>
  </r>
  <r>
    <x v="6"/>
    <x v="3"/>
    <x v="0"/>
    <x v="0"/>
    <x v="4"/>
    <x v="2"/>
    <d v="2018-04-05T00:00:00"/>
    <x v="1"/>
    <s v="Email not provided"/>
    <s v="Phone not provided"/>
    <n v="7"/>
    <x v="0"/>
  </r>
  <r>
    <x v="4"/>
    <x v="1"/>
    <x v="4"/>
    <x v="2"/>
    <x v="1"/>
    <x v="4"/>
    <d v="2020-02-20T00:00:00"/>
    <x v="0"/>
    <s v="name@company.org"/>
    <s v="098-765-4321"/>
    <n v="5"/>
    <x v="0"/>
  </r>
  <r>
    <x v="3"/>
    <x v="1"/>
    <x v="0"/>
    <x v="2"/>
    <x v="1"/>
    <x v="2"/>
    <d v="2019-12-01T00:00:00"/>
    <x v="0"/>
    <s v="name@company.org"/>
    <s v="Phone not provided"/>
    <n v="6"/>
    <x v="0"/>
  </r>
  <r>
    <x v="6"/>
    <x v="4"/>
    <x v="0"/>
    <x v="0"/>
    <x v="4"/>
    <x v="0"/>
    <d v="2020-01-15T00:00:00"/>
    <x v="3"/>
    <s v="name@company.org"/>
    <s v="Phone not provided"/>
    <n v="6"/>
    <x v="0"/>
  </r>
  <r>
    <x v="3"/>
    <x v="2"/>
    <x v="2"/>
    <x v="0"/>
    <x v="1"/>
    <x v="4"/>
    <d v="2018-04-05T00:00:00"/>
    <x v="3"/>
    <s v="email@example.com"/>
    <s v="123-456-7890"/>
    <n v="7"/>
    <x v="2"/>
  </r>
  <r>
    <x v="3"/>
    <x v="2"/>
    <x v="2"/>
    <x v="0"/>
    <x v="2"/>
    <x v="0"/>
    <d v="2020-02-20T00:00:00"/>
    <x v="3"/>
    <s v="Email not provided"/>
    <s v="555-555-5555"/>
    <n v="5"/>
    <x v="2"/>
  </r>
  <r>
    <x v="1"/>
    <x v="4"/>
    <x v="1"/>
    <x v="0"/>
    <x v="0"/>
    <x v="4"/>
    <d v="2020-01-15T00:00:00"/>
    <x v="2"/>
    <s v="user@domain.com"/>
    <s v="555-555-5555"/>
    <n v="6"/>
    <x v="1"/>
  </r>
  <r>
    <x v="5"/>
    <x v="1"/>
    <x v="4"/>
    <x v="0"/>
    <x v="0"/>
    <x v="3"/>
    <d v="2019-03-25T00:00:00"/>
    <x v="3"/>
    <s v="name@company.org"/>
    <s v="123-456-7890"/>
    <n v="6"/>
    <x v="0"/>
  </r>
  <r>
    <x v="5"/>
    <x v="1"/>
    <x v="0"/>
    <x v="0"/>
    <x v="0"/>
    <x v="3"/>
    <d v="2020-02-20T00:00:00"/>
    <x v="1"/>
    <s v="name@company.org"/>
    <s v="Phone not provided"/>
    <n v="5"/>
    <x v="0"/>
  </r>
  <r>
    <x v="1"/>
    <x v="1"/>
    <x v="4"/>
    <x v="2"/>
    <x v="1"/>
    <x v="3"/>
    <d v="2020-01-15T00:00:00"/>
    <x v="0"/>
    <s v="email@example.com"/>
    <s v="Phone not provided"/>
    <n v="6"/>
    <x v="0"/>
  </r>
  <r>
    <x v="9"/>
    <x v="3"/>
    <x v="2"/>
    <x v="2"/>
    <x v="1"/>
    <x v="0"/>
    <d v="2019-12-01T00:00:00"/>
    <x v="1"/>
    <s v="user@domain.com"/>
    <s v="555-555-5555"/>
    <n v="6"/>
    <x v="2"/>
  </r>
  <r>
    <x v="7"/>
    <x v="1"/>
    <x v="1"/>
    <x v="1"/>
    <x v="3"/>
    <x v="1"/>
    <d v="2019-03-25T00:00:00"/>
    <x v="3"/>
    <s v="Email not provided"/>
    <s v="098-765-4321"/>
    <n v="6"/>
    <x v="1"/>
  </r>
  <r>
    <x v="9"/>
    <x v="1"/>
    <x v="2"/>
    <x v="2"/>
    <x v="3"/>
    <x v="4"/>
    <d v="2019-12-01T00:00:00"/>
    <x v="2"/>
    <s v="Email not provided"/>
    <s v="Phone not provided"/>
    <n v="6"/>
    <x v="2"/>
  </r>
  <r>
    <x v="8"/>
    <x v="0"/>
    <x v="1"/>
    <x v="2"/>
    <x v="0"/>
    <x v="3"/>
    <d v="2020-01-15T00:00:00"/>
    <x v="2"/>
    <s v="email@example.com"/>
    <s v="098-765-4321"/>
    <n v="6"/>
    <x v="1"/>
  </r>
  <r>
    <x v="8"/>
    <x v="1"/>
    <x v="3"/>
    <x v="0"/>
    <x v="2"/>
    <x v="4"/>
    <d v="2019-12-01T00:00:00"/>
    <x v="0"/>
    <s v="Email not provided"/>
    <s v="Phone not provided"/>
    <n v="6"/>
    <x v="1"/>
  </r>
  <r>
    <x v="3"/>
    <x v="4"/>
    <x v="1"/>
    <x v="0"/>
    <x v="3"/>
    <x v="0"/>
    <d v="2020-01-15T00:00:00"/>
    <x v="1"/>
    <s v="Email not provided"/>
    <s v="098-765-4321"/>
    <n v="6"/>
    <x v="1"/>
  </r>
  <r>
    <x v="6"/>
    <x v="0"/>
    <x v="2"/>
    <x v="2"/>
    <x v="3"/>
    <x v="1"/>
    <d v="2020-01-15T00:00:00"/>
    <x v="4"/>
    <s v="name@company.org"/>
    <s v="Phone not provided"/>
    <n v="6"/>
    <x v="2"/>
  </r>
  <r>
    <x v="6"/>
    <x v="3"/>
    <x v="2"/>
    <x v="1"/>
    <x v="1"/>
    <x v="0"/>
    <d v="2019-12-01T00:00:00"/>
    <x v="1"/>
    <s v="name@company.org"/>
    <s v="098-765-4321"/>
    <n v="6"/>
    <x v="2"/>
  </r>
  <r>
    <x v="5"/>
    <x v="4"/>
    <x v="0"/>
    <x v="0"/>
    <x v="2"/>
    <x v="4"/>
    <d v="2020-01-15T00:00:00"/>
    <x v="3"/>
    <s v="user@domain.com"/>
    <s v="098-765-4321"/>
    <n v="6"/>
    <x v="0"/>
  </r>
  <r>
    <x v="0"/>
    <x v="0"/>
    <x v="3"/>
    <x v="2"/>
    <x v="0"/>
    <x v="1"/>
    <d v="2020-02-20T00:00:00"/>
    <x v="4"/>
    <s v="Email not provided"/>
    <s v="098-765-4321"/>
    <n v="5"/>
    <x v="1"/>
  </r>
  <r>
    <x v="9"/>
    <x v="4"/>
    <x v="2"/>
    <x v="2"/>
    <x v="3"/>
    <x v="1"/>
    <d v="2020-01-15T00:00:00"/>
    <x v="2"/>
    <s v="name@company.org"/>
    <s v="098-765-4321"/>
    <n v="6"/>
    <x v="2"/>
  </r>
  <r>
    <x v="4"/>
    <x v="3"/>
    <x v="4"/>
    <x v="1"/>
    <x v="2"/>
    <x v="0"/>
    <d v="2018-04-05T00:00:00"/>
    <x v="0"/>
    <s v="name@company.org"/>
    <s v="123-456-7890"/>
    <n v="7"/>
    <x v="0"/>
  </r>
  <r>
    <x v="2"/>
    <x v="1"/>
    <x v="2"/>
    <x v="1"/>
    <x v="2"/>
    <x v="3"/>
    <d v="2020-01-15T00:00:00"/>
    <x v="0"/>
    <s v="user@domain.com"/>
    <s v="Phone not provided"/>
    <n v="6"/>
    <x v="2"/>
  </r>
  <r>
    <x v="6"/>
    <x v="3"/>
    <x v="0"/>
    <x v="0"/>
    <x v="0"/>
    <x v="4"/>
    <d v="2018-04-05T00:00:00"/>
    <x v="2"/>
    <s v="Email not provided"/>
    <s v="Phone not provided"/>
    <n v="7"/>
    <x v="0"/>
  </r>
  <r>
    <x v="2"/>
    <x v="3"/>
    <x v="1"/>
    <x v="1"/>
    <x v="2"/>
    <x v="2"/>
    <d v="2020-01-15T00:00:00"/>
    <x v="3"/>
    <s v="name@company.org"/>
    <s v="Phone not provided"/>
    <n v="6"/>
    <x v="1"/>
  </r>
  <r>
    <x v="3"/>
    <x v="4"/>
    <x v="0"/>
    <x v="2"/>
    <x v="2"/>
    <x v="2"/>
    <d v="2020-01-15T00:00:00"/>
    <x v="2"/>
    <s v="email@example.com"/>
    <s v="123-456-7890"/>
    <n v="6"/>
    <x v="0"/>
  </r>
  <r>
    <x v="2"/>
    <x v="2"/>
    <x v="4"/>
    <x v="2"/>
    <x v="2"/>
    <x v="0"/>
    <d v="2019-12-01T00:00:00"/>
    <x v="3"/>
    <s v="email@example.com"/>
    <s v="123-456-7890"/>
    <n v="6"/>
    <x v="0"/>
  </r>
  <r>
    <x v="4"/>
    <x v="1"/>
    <x v="3"/>
    <x v="1"/>
    <x v="3"/>
    <x v="4"/>
    <d v="2020-02-20T00:00:00"/>
    <x v="4"/>
    <s v="Email not provided"/>
    <s v="123-456-7890"/>
    <n v="5"/>
    <x v="1"/>
  </r>
  <r>
    <x v="1"/>
    <x v="1"/>
    <x v="3"/>
    <x v="1"/>
    <x v="0"/>
    <x v="4"/>
    <d v="2020-02-20T00:00:00"/>
    <x v="2"/>
    <s v="Email not provided"/>
    <s v="123-456-7890"/>
    <n v="5"/>
    <x v="1"/>
  </r>
  <r>
    <x v="4"/>
    <x v="1"/>
    <x v="2"/>
    <x v="1"/>
    <x v="2"/>
    <x v="0"/>
    <d v="2019-03-25T00:00:00"/>
    <x v="3"/>
    <s v="user@domain.com"/>
    <s v="098-765-4321"/>
    <n v="6"/>
    <x v="2"/>
  </r>
  <r>
    <x v="2"/>
    <x v="1"/>
    <x v="3"/>
    <x v="1"/>
    <x v="2"/>
    <x v="4"/>
    <d v="2019-12-01T00:00:00"/>
    <x v="4"/>
    <s v="email@example.com"/>
    <s v="Phone not provided"/>
    <n v="6"/>
    <x v="1"/>
  </r>
  <r>
    <x v="4"/>
    <x v="1"/>
    <x v="2"/>
    <x v="0"/>
    <x v="3"/>
    <x v="3"/>
    <d v="2019-12-01T00:00:00"/>
    <x v="2"/>
    <s v="email@example.com"/>
    <s v="555-555-5555"/>
    <n v="6"/>
    <x v="2"/>
  </r>
  <r>
    <x v="7"/>
    <x v="2"/>
    <x v="2"/>
    <x v="1"/>
    <x v="0"/>
    <x v="0"/>
    <d v="2020-02-20T00:00:00"/>
    <x v="0"/>
    <s v="Email not provided"/>
    <s v="Phone not provided"/>
    <n v="5"/>
    <x v="2"/>
  </r>
  <r>
    <x v="3"/>
    <x v="1"/>
    <x v="2"/>
    <x v="0"/>
    <x v="1"/>
    <x v="3"/>
    <d v="2019-12-01T00:00:00"/>
    <x v="2"/>
    <s v="Email not provided"/>
    <s v="123-456-7890"/>
    <n v="6"/>
    <x v="2"/>
  </r>
  <r>
    <x v="9"/>
    <x v="2"/>
    <x v="1"/>
    <x v="2"/>
    <x v="3"/>
    <x v="4"/>
    <d v="2020-02-20T00:00:00"/>
    <x v="1"/>
    <s v="Email not provided"/>
    <s v="Phone not provided"/>
    <n v="5"/>
    <x v="1"/>
  </r>
  <r>
    <x v="1"/>
    <x v="1"/>
    <x v="2"/>
    <x v="1"/>
    <x v="0"/>
    <x v="0"/>
    <d v="2019-12-01T00:00:00"/>
    <x v="2"/>
    <s v="Email not provided"/>
    <s v="123-456-7890"/>
    <n v="6"/>
    <x v="2"/>
  </r>
  <r>
    <x v="6"/>
    <x v="0"/>
    <x v="2"/>
    <x v="0"/>
    <x v="2"/>
    <x v="4"/>
    <d v="2020-01-15T00:00:00"/>
    <x v="1"/>
    <s v="email@example.com"/>
    <s v="123-456-7890"/>
    <n v="6"/>
    <x v="2"/>
  </r>
  <r>
    <x v="8"/>
    <x v="4"/>
    <x v="2"/>
    <x v="1"/>
    <x v="0"/>
    <x v="0"/>
    <d v="2020-02-20T00:00:00"/>
    <x v="4"/>
    <s v="user@domain.com"/>
    <s v="123-456-7890"/>
    <n v="5"/>
    <x v="2"/>
  </r>
  <r>
    <x v="9"/>
    <x v="1"/>
    <x v="2"/>
    <x v="2"/>
    <x v="0"/>
    <x v="4"/>
    <d v="2020-02-20T00:00:00"/>
    <x v="2"/>
    <s v="email@example.com"/>
    <s v="123-456-7890"/>
    <n v="5"/>
    <x v="2"/>
  </r>
  <r>
    <x v="8"/>
    <x v="1"/>
    <x v="0"/>
    <x v="2"/>
    <x v="0"/>
    <x v="3"/>
    <d v="2018-04-05T00:00:00"/>
    <x v="4"/>
    <s v="Email not provided"/>
    <s v="123-456-7890"/>
    <n v="7"/>
    <x v="0"/>
  </r>
  <r>
    <x v="3"/>
    <x v="3"/>
    <x v="2"/>
    <x v="2"/>
    <x v="1"/>
    <x v="3"/>
    <d v="2019-12-01T00:00:00"/>
    <x v="4"/>
    <s v="email@example.com"/>
    <s v="Phone not provided"/>
    <n v="6"/>
    <x v="2"/>
  </r>
  <r>
    <x v="1"/>
    <x v="3"/>
    <x v="1"/>
    <x v="1"/>
    <x v="0"/>
    <x v="4"/>
    <d v="2019-12-01T00:00:00"/>
    <x v="3"/>
    <s v="user@domain.com"/>
    <s v="Phone not provided"/>
    <n v="6"/>
    <x v="1"/>
  </r>
  <r>
    <x v="5"/>
    <x v="3"/>
    <x v="3"/>
    <x v="1"/>
    <x v="1"/>
    <x v="0"/>
    <d v="2020-02-20T00:00:00"/>
    <x v="4"/>
    <s v="name@company.org"/>
    <s v="123-456-7890"/>
    <n v="5"/>
    <x v="1"/>
  </r>
  <r>
    <x v="6"/>
    <x v="4"/>
    <x v="3"/>
    <x v="0"/>
    <x v="2"/>
    <x v="2"/>
    <d v="2020-01-15T00:00:00"/>
    <x v="4"/>
    <s v="email@example.com"/>
    <s v="123-456-7890"/>
    <n v="6"/>
    <x v="1"/>
  </r>
  <r>
    <x v="7"/>
    <x v="3"/>
    <x v="4"/>
    <x v="2"/>
    <x v="1"/>
    <x v="3"/>
    <d v="2020-01-15T00:00:00"/>
    <x v="2"/>
    <s v="Email not provided"/>
    <s v="123-456-7890"/>
    <n v="6"/>
    <x v="0"/>
  </r>
  <r>
    <x v="5"/>
    <x v="2"/>
    <x v="4"/>
    <x v="1"/>
    <x v="2"/>
    <x v="3"/>
    <d v="2020-01-15T00:00:00"/>
    <x v="2"/>
    <s v="name@company.org"/>
    <s v="123-456-7890"/>
    <n v="6"/>
    <x v="0"/>
  </r>
  <r>
    <x v="3"/>
    <x v="1"/>
    <x v="3"/>
    <x v="2"/>
    <x v="2"/>
    <x v="2"/>
    <d v="2019-12-01T00:00:00"/>
    <x v="0"/>
    <s v="Email not provided"/>
    <s v="098-765-4321"/>
    <n v="6"/>
    <x v="1"/>
  </r>
  <r>
    <x v="9"/>
    <x v="0"/>
    <x v="3"/>
    <x v="2"/>
    <x v="1"/>
    <x v="4"/>
    <d v="2018-04-05T00:00:00"/>
    <x v="3"/>
    <s v="Email not provided"/>
    <s v="098-765-4321"/>
    <n v="7"/>
    <x v="1"/>
  </r>
  <r>
    <x v="7"/>
    <x v="1"/>
    <x v="1"/>
    <x v="0"/>
    <x v="3"/>
    <x v="0"/>
    <d v="2020-02-20T00:00:00"/>
    <x v="4"/>
    <s v="Email not provided"/>
    <s v="555-555-5555"/>
    <n v="5"/>
    <x v="1"/>
  </r>
  <r>
    <x v="4"/>
    <x v="2"/>
    <x v="2"/>
    <x v="0"/>
    <x v="4"/>
    <x v="4"/>
    <d v="2019-03-25T00:00:00"/>
    <x v="3"/>
    <s v="email@example.com"/>
    <s v="123-456-7890"/>
    <n v="6"/>
    <x v="2"/>
  </r>
  <r>
    <x v="2"/>
    <x v="0"/>
    <x v="4"/>
    <x v="0"/>
    <x v="0"/>
    <x v="1"/>
    <d v="2018-04-05T00:00:00"/>
    <x v="1"/>
    <s v="Email not provided"/>
    <s v="555-555-5555"/>
    <n v="7"/>
    <x v="0"/>
  </r>
  <r>
    <x v="7"/>
    <x v="2"/>
    <x v="2"/>
    <x v="0"/>
    <x v="4"/>
    <x v="3"/>
    <d v="2019-03-25T00:00:00"/>
    <x v="4"/>
    <s v="name@company.org"/>
    <s v="Phone not provided"/>
    <n v="6"/>
    <x v="2"/>
  </r>
  <r>
    <x v="3"/>
    <x v="2"/>
    <x v="1"/>
    <x v="2"/>
    <x v="0"/>
    <x v="1"/>
    <d v="2018-04-05T00:00:00"/>
    <x v="3"/>
    <s v="user@domain.com"/>
    <s v="555-555-5555"/>
    <n v="7"/>
    <x v="1"/>
  </r>
  <r>
    <x v="0"/>
    <x v="1"/>
    <x v="3"/>
    <x v="0"/>
    <x v="0"/>
    <x v="3"/>
    <d v="2020-01-15T00:00:00"/>
    <x v="0"/>
    <s v="Email not provided"/>
    <s v="Phone not provided"/>
    <n v="6"/>
    <x v="1"/>
  </r>
  <r>
    <x v="2"/>
    <x v="1"/>
    <x v="2"/>
    <x v="0"/>
    <x v="2"/>
    <x v="3"/>
    <d v="2019-12-01T00:00:00"/>
    <x v="0"/>
    <s v="email@example.com"/>
    <s v="098-765-4321"/>
    <n v="6"/>
    <x v="2"/>
  </r>
  <r>
    <x v="8"/>
    <x v="3"/>
    <x v="2"/>
    <x v="0"/>
    <x v="0"/>
    <x v="1"/>
    <d v="2019-03-25T00:00:00"/>
    <x v="4"/>
    <s v="Email not provided"/>
    <s v="098-765-4321"/>
    <n v="6"/>
    <x v="2"/>
  </r>
  <r>
    <x v="6"/>
    <x v="4"/>
    <x v="3"/>
    <x v="0"/>
    <x v="0"/>
    <x v="1"/>
    <d v="2018-04-05T00:00:00"/>
    <x v="1"/>
    <s v="user@domain.com"/>
    <s v="123-456-7890"/>
    <n v="7"/>
    <x v="1"/>
  </r>
  <r>
    <x v="8"/>
    <x v="1"/>
    <x v="3"/>
    <x v="2"/>
    <x v="1"/>
    <x v="4"/>
    <d v="2019-12-01T00:00:00"/>
    <x v="0"/>
    <s v="name@company.org"/>
    <s v="123-456-7890"/>
    <n v="6"/>
    <x v="1"/>
  </r>
  <r>
    <x v="7"/>
    <x v="4"/>
    <x v="0"/>
    <x v="0"/>
    <x v="4"/>
    <x v="1"/>
    <d v="2019-03-25T00:00:00"/>
    <x v="0"/>
    <s v="Email not provided"/>
    <s v="Phone not provided"/>
    <n v="6"/>
    <x v="0"/>
  </r>
  <r>
    <x v="8"/>
    <x v="1"/>
    <x v="2"/>
    <x v="2"/>
    <x v="1"/>
    <x v="4"/>
    <d v="2020-02-20T00:00:00"/>
    <x v="1"/>
    <s v="Email not provided"/>
    <s v="Phone not provided"/>
    <n v="5"/>
    <x v="2"/>
  </r>
  <r>
    <x v="3"/>
    <x v="1"/>
    <x v="2"/>
    <x v="1"/>
    <x v="0"/>
    <x v="4"/>
    <d v="2018-04-05T00:00:00"/>
    <x v="3"/>
    <s v="user@domain.com"/>
    <s v="Phone not provided"/>
    <n v="7"/>
    <x v="2"/>
  </r>
  <r>
    <x v="4"/>
    <x v="1"/>
    <x v="2"/>
    <x v="2"/>
    <x v="2"/>
    <x v="4"/>
    <d v="2020-02-20T00:00:00"/>
    <x v="0"/>
    <s v="email@example.com"/>
    <s v="123-456-7890"/>
    <n v="5"/>
    <x v="2"/>
  </r>
  <r>
    <x v="9"/>
    <x v="0"/>
    <x v="3"/>
    <x v="2"/>
    <x v="1"/>
    <x v="3"/>
    <d v="2020-01-15T00:00:00"/>
    <x v="2"/>
    <s v="name@company.org"/>
    <s v="123-456-7890"/>
    <n v="6"/>
    <x v="1"/>
  </r>
  <r>
    <x v="6"/>
    <x v="4"/>
    <x v="2"/>
    <x v="0"/>
    <x v="1"/>
    <x v="3"/>
    <d v="2020-02-20T00:00:00"/>
    <x v="0"/>
    <s v="user@domain.com"/>
    <s v="Phone not provided"/>
    <n v="5"/>
    <x v="2"/>
  </r>
  <r>
    <x v="8"/>
    <x v="1"/>
    <x v="1"/>
    <x v="1"/>
    <x v="3"/>
    <x v="1"/>
    <d v="2020-02-20T00:00:00"/>
    <x v="3"/>
    <s v="Email not provided"/>
    <s v="Phone not provided"/>
    <n v="5"/>
    <x v="1"/>
  </r>
  <r>
    <x v="8"/>
    <x v="1"/>
    <x v="0"/>
    <x v="1"/>
    <x v="0"/>
    <x v="3"/>
    <d v="2018-04-05T00:00:00"/>
    <x v="3"/>
    <s v="name@company.org"/>
    <s v="Phone not provided"/>
    <n v="7"/>
    <x v="0"/>
  </r>
  <r>
    <x v="7"/>
    <x v="2"/>
    <x v="3"/>
    <x v="1"/>
    <x v="2"/>
    <x v="1"/>
    <d v="2020-01-15T00:00:00"/>
    <x v="4"/>
    <s v="Email not provided"/>
    <s v="098-765-4321"/>
    <n v="6"/>
    <x v="1"/>
  </r>
  <r>
    <x v="9"/>
    <x v="2"/>
    <x v="4"/>
    <x v="1"/>
    <x v="1"/>
    <x v="3"/>
    <d v="2020-02-20T00:00:00"/>
    <x v="2"/>
    <s v="user@domain.com"/>
    <s v="555-555-5555"/>
    <n v="5"/>
    <x v="0"/>
  </r>
  <r>
    <x v="5"/>
    <x v="2"/>
    <x v="4"/>
    <x v="2"/>
    <x v="1"/>
    <x v="0"/>
    <d v="2019-12-01T00:00:00"/>
    <x v="3"/>
    <s v="Email not provided"/>
    <s v="555-555-5555"/>
    <n v="6"/>
    <x v="0"/>
  </r>
  <r>
    <x v="8"/>
    <x v="1"/>
    <x v="0"/>
    <x v="1"/>
    <x v="2"/>
    <x v="0"/>
    <d v="2019-03-25T00:00:00"/>
    <x v="1"/>
    <s v="Email not provided"/>
    <s v="123-456-7890"/>
    <n v="6"/>
    <x v="0"/>
  </r>
  <r>
    <x v="3"/>
    <x v="1"/>
    <x v="1"/>
    <x v="2"/>
    <x v="0"/>
    <x v="1"/>
    <d v="2020-02-20T00:00:00"/>
    <x v="2"/>
    <s v="Email not provided"/>
    <s v="098-765-4321"/>
    <n v="5"/>
    <x v="1"/>
  </r>
  <r>
    <x v="0"/>
    <x v="4"/>
    <x v="3"/>
    <x v="2"/>
    <x v="3"/>
    <x v="3"/>
    <d v="2020-01-15T00:00:00"/>
    <x v="2"/>
    <s v="email@example.com"/>
    <s v="Phone not provided"/>
    <n v="6"/>
    <x v="1"/>
  </r>
  <r>
    <x v="6"/>
    <x v="1"/>
    <x v="2"/>
    <x v="2"/>
    <x v="1"/>
    <x v="3"/>
    <d v="2020-02-20T00:00:00"/>
    <x v="1"/>
    <s v="Email not provided"/>
    <s v="123-456-7890"/>
    <n v="5"/>
    <x v="2"/>
  </r>
  <r>
    <x v="8"/>
    <x v="0"/>
    <x v="0"/>
    <x v="1"/>
    <x v="3"/>
    <x v="4"/>
    <d v="2019-03-25T00:00:00"/>
    <x v="0"/>
    <s v="Email not provided"/>
    <s v="098-765-4321"/>
    <n v="6"/>
    <x v="0"/>
  </r>
  <r>
    <x v="3"/>
    <x v="2"/>
    <x v="1"/>
    <x v="0"/>
    <x v="4"/>
    <x v="2"/>
    <d v="2020-01-15T00:00:00"/>
    <x v="1"/>
    <s v="Email not provided"/>
    <s v="Phone not provided"/>
    <n v="6"/>
    <x v="1"/>
  </r>
  <r>
    <x v="3"/>
    <x v="1"/>
    <x v="2"/>
    <x v="0"/>
    <x v="0"/>
    <x v="1"/>
    <d v="2018-04-05T00:00:00"/>
    <x v="1"/>
    <s v="name@company.org"/>
    <s v="098-765-4321"/>
    <n v="7"/>
    <x v="2"/>
  </r>
  <r>
    <x v="6"/>
    <x v="1"/>
    <x v="4"/>
    <x v="1"/>
    <x v="4"/>
    <x v="2"/>
    <d v="2020-01-15T00:00:00"/>
    <x v="0"/>
    <s v="Email not provided"/>
    <s v="123-456-7890"/>
    <n v="6"/>
    <x v="0"/>
  </r>
  <r>
    <x v="5"/>
    <x v="0"/>
    <x v="4"/>
    <x v="0"/>
    <x v="4"/>
    <x v="2"/>
    <d v="2018-04-05T00:00:00"/>
    <x v="0"/>
    <s v="Email not provided"/>
    <s v="555-555-5555"/>
    <n v="7"/>
    <x v="0"/>
  </r>
  <r>
    <x v="3"/>
    <x v="3"/>
    <x v="2"/>
    <x v="0"/>
    <x v="4"/>
    <x v="1"/>
    <d v="2020-01-15T00:00:00"/>
    <x v="0"/>
    <s v="user@domain.com"/>
    <s v="Phone not provided"/>
    <n v="6"/>
    <x v="2"/>
  </r>
  <r>
    <x v="0"/>
    <x v="1"/>
    <x v="0"/>
    <x v="2"/>
    <x v="0"/>
    <x v="3"/>
    <d v="2019-03-25T00:00:00"/>
    <x v="0"/>
    <s v="email@example.com"/>
    <s v="Phone not provided"/>
    <n v="6"/>
    <x v="0"/>
  </r>
  <r>
    <x v="3"/>
    <x v="4"/>
    <x v="4"/>
    <x v="2"/>
    <x v="0"/>
    <x v="1"/>
    <d v="2019-03-25T00:00:00"/>
    <x v="0"/>
    <s v="name@company.org"/>
    <s v="098-765-4321"/>
    <n v="6"/>
    <x v="0"/>
  </r>
  <r>
    <x v="3"/>
    <x v="3"/>
    <x v="3"/>
    <x v="1"/>
    <x v="2"/>
    <x v="2"/>
    <d v="2020-01-15T00:00:00"/>
    <x v="1"/>
    <s v="Email not provided"/>
    <s v="123-456-7890"/>
    <n v="6"/>
    <x v="1"/>
  </r>
  <r>
    <x v="3"/>
    <x v="2"/>
    <x v="2"/>
    <x v="1"/>
    <x v="3"/>
    <x v="3"/>
    <d v="2020-02-20T00:00:00"/>
    <x v="4"/>
    <s v="user@domain.com"/>
    <s v="123-456-7890"/>
    <n v="5"/>
    <x v="2"/>
  </r>
  <r>
    <x v="4"/>
    <x v="1"/>
    <x v="2"/>
    <x v="0"/>
    <x v="3"/>
    <x v="0"/>
    <d v="2019-03-25T00:00:00"/>
    <x v="4"/>
    <s v="email@example.com"/>
    <s v="Phone not provided"/>
    <n v="6"/>
    <x v="2"/>
  </r>
  <r>
    <x v="4"/>
    <x v="0"/>
    <x v="2"/>
    <x v="2"/>
    <x v="2"/>
    <x v="1"/>
    <d v="2018-04-05T00:00:00"/>
    <x v="3"/>
    <s v="name@company.org"/>
    <s v="123-456-7890"/>
    <n v="7"/>
    <x v="2"/>
  </r>
  <r>
    <x v="5"/>
    <x v="0"/>
    <x v="4"/>
    <x v="1"/>
    <x v="2"/>
    <x v="1"/>
    <d v="2018-04-05T00:00:00"/>
    <x v="4"/>
    <s v="name@company.org"/>
    <s v="123-456-7890"/>
    <n v="7"/>
    <x v="0"/>
  </r>
  <r>
    <x v="8"/>
    <x v="1"/>
    <x v="0"/>
    <x v="1"/>
    <x v="4"/>
    <x v="3"/>
    <d v="2019-12-01T00:00:00"/>
    <x v="4"/>
    <s v="Email not provided"/>
    <s v="Phone not provided"/>
    <n v="6"/>
    <x v="0"/>
  </r>
  <r>
    <x v="3"/>
    <x v="3"/>
    <x v="3"/>
    <x v="1"/>
    <x v="2"/>
    <x v="0"/>
    <d v="2018-04-05T00:00:00"/>
    <x v="1"/>
    <s v="name@company.org"/>
    <s v="Phone not provided"/>
    <n v="7"/>
    <x v="1"/>
  </r>
  <r>
    <x v="9"/>
    <x v="1"/>
    <x v="0"/>
    <x v="1"/>
    <x v="1"/>
    <x v="0"/>
    <d v="2019-12-01T00:00:00"/>
    <x v="0"/>
    <s v="user@domain.com"/>
    <s v="555-555-5555"/>
    <n v="6"/>
    <x v="0"/>
  </r>
  <r>
    <x v="8"/>
    <x v="1"/>
    <x v="1"/>
    <x v="1"/>
    <x v="3"/>
    <x v="3"/>
    <d v="2020-01-15T00:00:00"/>
    <x v="0"/>
    <s v="name@company.org"/>
    <s v="555-555-5555"/>
    <n v="6"/>
    <x v="1"/>
  </r>
  <r>
    <x v="5"/>
    <x v="1"/>
    <x v="1"/>
    <x v="1"/>
    <x v="2"/>
    <x v="4"/>
    <d v="2020-01-15T00:00:00"/>
    <x v="1"/>
    <s v="Email not provided"/>
    <s v="098-765-4321"/>
    <n v="6"/>
    <x v="1"/>
  </r>
  <r>
    <x v="1"/>
    <x v="4"/>
    <x v="2"/>
    <x v="0"/>
    <x v="1"/>
    <x v="1"/>
    <d v="2020-01-15T00:00:00"/>
    <x v="4"/>
    <s v="user@domain.com"/>
    <s v="Phone not provided"/>
    <n v="6"/>
    <x v="2"/>
  </r>
  <r>
    <x v="8"/>
    <x v="0"/>
    <x v="4"/>
    <x v="2"/>
    <x v="1"/>
    <x v="1"/>
    <d v="2020-02-20T00:00:00"/>
    <x v="1"/>
    <s v="email@example.com"/>
    <s v="098-765-4321"/>
    <n v="5"/>
    <x v="0"/>
  </r>
  <r>
    <x v="8"/>
    <x v="0"/>
    <x v="4"/>
    <x v="2"/>
    <x v="1"/>
    <x v="2"/>
    <d v="2020-02-20T00:00:00"/>
    <x v="3"/>
    <s v="email@example.com"/>
    <s v="555-555-5555"/>
    <n v="5"/>
    <x v="0"/>
  </r>
  <r>
    <x v="2"/>
    <x v="2"/>
    <x v="4"/>
    <x v="1"/>
    <x v="1"/>
    <x v="3"/>
    <d v="2019-12-01T00:00:00"/>
    <x v="0"/>
    <s v="Email not provided"/>
    <s v="Phone not provided"/>
    <n v="6"/>
    <x v="0"/>
  </r>
  <r>
    <x v="7"/>
    <x v="2"/>
    <x v="2"/>
    <x v="2"/>
    <x v="4"/>
    <x v="2"/>
    <d v="2018-04-05T00:00:00"/>
    <x v="2"/>
    <s v="Email not provided"/>
    <s v="123-456-7890"/>
    <n v="7"/>
    <x v="2"/>
  </r>
  <r>
    <x v="2"/>
    <x v="1"/>
    <x v="1"/>
    <x v="2"/>
    <x v="1"/>
    <x v="2"/>
    <d v="2018-04-05T00:00:00"/>
    <x v="3"/>
    <s v="Email not provided"/>
    <s v="555-555-5555"/>
    <n v="7"/>
    <x v="1"/>
  </r>
  <r>
    <x v="0"/>
    <x v="4"/>
    <x v="0"/>
    <x v="2"/>
    <x v="4"/>
    <x v="0"/>
    <d v="2020-01-15T00:00:00"/>
    <x v="3"/>
    <s v="email@example.com"/>
    <s v="Phone not provided"/>
    <n v="6"/>
    <x v="0"/>
  </r>
  <r>
    <x v="4"/>
    <x v="3"/>
    <x v="2"/>
    <x v="1"/>
    <x v="4"/>
    <x v="1"/>
    <d v="2019-03-25T00:00:00"/>
    <x v="1"/>
    <s v="email@example.com"/>
    <s v="555-555-5555"/>
    <n v="6"/>
    <x v="2"/>
  </r>
  <r>
    <x v="4"/>
    <x v="1"/>
    <x v="2"/>
    <x v="1"/>
    <x v="1"/>
    <x v="2"/>
    <d v="2020-02-20T00:00:00"/>
    <x v="4"/>
    <s v="email@example.com"/>
    <s v="Phone not provided"/>
    <n v="5"/>
    <x v="2"/>
  </r>
  <r>
    <x v="7"/>
    <x v="1"/>
    <x v="0"/>
    <x v="2"/>
    <x v="3"/>
    <x v="0"/>
    <d v="2020-02-20T00:00:00"/>
    <x v="0"/>
    <s v="email@example.com"/>
    <s v="Phone not provided"/>
    <n v="5"/>
    <x v="0"/>
  </r>
  <r>
    <x v="6"/>
    <x v="2"/>
    <x v="4"/>
    <x v="2"/>
    <x v="1"/>
    <x v="3"/>
    <d v="2020-01-15T00:00:00"/>
    <x v="2"/>
    <s v="name@company.org"/>
    <s v="Phone not provided"/>
    <n v="6"/>
    <x v="0"/>
  </r>
  <r>
    <x v="6"/>
    <x v="1"/>
    <x v="3"/>
    <x v="1"/>
    <x v="1"/>
    <x v="2"/>
    <d v="2020-02-20T00:00:00"/>
    <x v="3"/>
    <s v="user@domain.com"/>
    <s v="098-765-4321"/>
    <n v="5"/>
    <x v="1"/>
  </r>
  <r>
    <x v="5"/>
    <x v="2"/>
    <x v="0"/>
    <x v="0"/>
    <x v="1"/>
    <x v="1"/>
    <d v="2020-01-15T00:00:00"/>
    <x v="2"/>
    <s v="user@domain.com"/>
    <s v="Phone not provided"/>
    <n v="6"/>
    <x v="0"/>
  </r>
  <r>
    <x v="7"/>
    <x v="1"/>
    <x v="1"/>
    <x v="2"/>
    <x v="3"/>
    <x v="2"/>
    <d v="2019-12-01T00:00:00"/>
    <x v="4"/>
    <s v="Email not provided"/>
    <s v="555-555-5555"/>
    <n v="6"/>
    <x v="1"/>
  </r>
  <r>
    <x v="8"/>
    <x v="3"/>
    <x v="2"/>
    <x v="0"/>
    <x v="0"/>
    <x v="3"/>
    <d v="2018-04-05T00:00:00"/>
    <x v="4"/>
    <s v="name@company.org"/>
    <s v="Phone not provided"/>
    <n v="7"/>
    <x v="2"/>
  </r>
  <r>
    <x v="6"/>
    <x v="1"/>
    <x v="2"/>
    <x v="2"/>
    <x v="0"/>
    <x v="2"/>
    <d v="2019-03-25T00:00:00"/>
    <x v="2"/>
    <s v="email@example.com"/>
    <s v="123-456-7890"/>
    <n v="6"/>
    <x v="2"/>
  </r>
  <r>
    <x v="3"/>
    <x v="1"/>
    <x v="2"/>
    <x v="0"/>
    <x v="4"/>
    <x v="1"/>
    <d v="2018-04-05T00:00:00"/>
    <x v="0"/>
    <s v="email@example.com"/>
    <s v="555-555-5555"/>
    <n v="7"/>
    <x v="2"/>
  </r>
  <r>
    <x v="9"/>
    <x v="4"/>
    <x v="2"/>
    <x v="0"/>
    <x v="4"/>
    <x v="0"/>
    <d v="2018-04-05T00:00:00"/>
    <x v="4"/>
    <s v="Email not provided"/>
    <s v="Phone not provided"/>
    <n v="7"/>
    <x v="2"/>
  </r>
  <r>
    <x v="8"/>
    <x v="0"/>
    <x v="3"/>
    <x v="0"/>
    <x v="3"/>
    <x v="1"/>
    <d v="2019-12-01T00:00:00"/>
    <x v="2"/>
    <s v="Email not provided"/>
    <s v="Phone not provided"/>
    <n v="6"/>
    <x v="1"/>
  </r>
  <r>
    <x v="0"/>
    <x v="4"/>
    <x v="4"/>
    <x v="1"/>
    <x v="2"/>
    <x v="0"/>
    <d v="2020-02-20T00:00:00"/>
    <x v="3"/>
    <s v="Email not provided"/>
    <s v="123-456-7890"/>
    <n v="5"/>
    <x v="0"/>
  </r>
  <r>
    <x v="3"/>
    <x v="4"/>
    <x v="1"/>
    <x v="0"/>
    <x v="0"/>
    <x v="4"/>
    <d v="2019-03-25T00:00:00"/>
    <x v="2"/>
    <s v="email@example.com"/>
    <s v="Phone not provided"/>
    <n v="6"/>
    <x v="1"/>
  </r>
  <r>
    <x v="3"/>
    <x v="0"/>
    <x v="3"/>
    <x v="0"/>
    <x v="4"/>
    <x v="1"/>
    <d v="2020-02-20T00:00:00"/>
    <x v="2"/>
    <s v="Email not provided"/>
    <s v="555-555-5555"/>
    <n v="5"/>
    <x v="1"/>
  </r>
  <r>
    <x v="7"/>
    <x v="4"/>
    <x v="1"/>
    <x v="0"/>
    <x v="0"/>
    <x v="1"/>
    <d v="2018-04-05T00:00:00"/>
    <x v="1"/>
    <s v="name@company.org"/>
    <s v="555-555-5555"/>
    <n v="7"/>
    <x v="1"/>
  </r>
  <r>
    <x v="5"/>
    <x v="1"/>
    <x v="1"/>
    <x v="2"/>
    <x v="3"/>
    <x v="3"/>
    <d v="2020-01-15T00:00:00"/>
    <x v="4"/>
    <s v="user@domain.com"/>
    <s v="123-456-7890"/>
    <n v="6"/>
    <x v="1"/>
  </r>
  <r>
    <x v="0"/>
    <x v="1"/>
    <x v="4"/>
    <x v="0"/>
    <x v="3"/>
    <x v="2"/>
    <d v="2018-04-05T00:00:00"/>
    <x v="0"/>
    <s v="email@example.com"/>
    <s v="Phone not provided"/>
    <n v="7"/>
    <x v="0"/>
  </r>
  <r>
    <x v="6"/>
    <x v="1"/>
    <x v="2"/>
    <x v="2"/>
    <x v="2"/>
    <x v="0"/>
    <d v="2020-02-20T00:00:00"/>
    <x v="0"/>
    <s v="name@company.org"/>
    <s v="555-555-5555"/>
    <n v="5"/>
    <x v="2"/>
  </r>
  <r>
    <x v="7"/>
    <x v="0"/>
    <x v="2"/>
    <x v="0"/>
    <x v="2"/>
    <x v="0"/>
    <d v="2018-04-05T00:00:00"/>
    <x v="1"/>
    <s v="email@example.com"/>
    <s v="555-555-5555"/>
    <n v="7"/>
    <x v="2"/>
  </r>
  <r>
    <x v="6"/>
    <x v="4"/>
    <x v="4"/>
    <x v="0"/>
    <x v="3"/>
    <x v="3"/>
    <d v="2020-01-15T00:00:00"/>
    <x v="0"/>
    <s v="Email not provided"/>
    <s v="555-555-5555"/>
    <n v="6"/>
    <x v="0"/>
  </r>
  <r>
    <x v="7"/>
    <x v="0"/>
    <x v="3"/>
    <x v="1"/>
    <x v="4"/>
    <x v="3"/>
    <d v="2019-12-01T00:00:00"/>
    <x v="2"/>
    <s v="Email not provided"/>
    <s v="Phone not provided"/>
    <n v="6"/>
    <x v="1"/>
  </r>
  <r>
    <x v="7"/>
    <x v="1"/>
    <x v="2"/>
    <x v="2"/>
    <x v="0"/>
    <x v="2"/>
    <d v="2020-02-20T00:00:00"/>
    <x v="1"/>
    <s v="Email not provided"/>
    <s v="123-456-7890"/>
    <n v="5"/>
    <x v="2"/>
  </r>
  <r>
    <x v="7"/>
    <x v="4"/>
    <x v="3"/>
    <x v="0"/>
    <x v="1"/>
    <x v="2"/>
    <d v="2018-04-05T00:00:00"/>
    <x v="3"/>
    <s v="user@domain.com"/>
    <s v="555-555-5555"/>
    <n v="7"/>
    <x v="1"/>
  </r>
  <r>
    <x v="5"/>
    <x v="4"/>
    <x v="2"/>
    <x v="2"/>
    <x v="2"/>
    <x v="1"/>
    <d v="2020-02-20T00:00:00"/>
    <x v="4"/>
    <s v="Email not provided"/>
    <s v="Phone not provided"/>
    <n v="5"/>
    <x v="2"/>
  </r>
  <r>
    <x v="7"/>
    <x v="2"/>
    <x v="3"/>
    <x v="2"/>
    <x v="1"/>
    <x v="4"/>
    <d v="2019-12-01T00:00:00"/>
    <x v="4"/>
    <s v="email@example.com"/>
    <s v="Phone not provided"/>
    <n v="6"/>
    <x v="1"/>
  </r>
  <r>
    <x v="1"/>
    <x v="2"/>
    <x v="4"/>
    <x v="1"/>
    <x v="4"/>
    <x v="2"/>
    <d v="2018-04-05T00:00:00"/>
    <x v="4"/>
    <s v="Email not provided"/>
    <s v="098-765-4321"/>
    <n v="7"/>
    <x v="0"/>
  </r>
  <r>
    <x v="9"/>
    <x v="3"/>
    <x v="2"/>
    <x v="1"/>
    <x v="2"/>
    <x v="3"/>
    <d v="2018-04-05T00:00:00"/>
    <x v="2"/>
    <s v="email@example.com"/>
    <s v="123-456-7890"/>
    <n v="7"/>
    <x v="2"/>
  </r>
  <r>
    <x v="6"/>
    <x v="1"/>
    <x v="2"/>
    <x v="1"/>
    <x v="1"/>
    <x v="2"/>
    <d v="2020-02-20T00:00:00"/>
    <x v="3"/>
    <s v="user@domain.com"/>
    <s v="Phone not provided"/>
    <n v="5"/>
    <x v="2"/>
  </r>
  <r>
    <x v="8"/>
    <x v="2"/>
    <x v="1"/>
    <x v="1"/>
    <x v="4"/>
    <x v="0"/>
    <d v="2020-02-20T00:00:00"/>
    <x v="1"/>
    <s v="Email not provided"/>
    <s v="555-555-5555"/>
    <n v="5"/>
    <x v="1"/>
  </r>
  <r>
    <x v="2"/>
    <x v="0"/>
    <x v="1"/>
    <x v="1"/>
    <x v="0"/>
    <x v="4"/>
    <d v="2020-01-15T00:00:00"/>
    <x v="1"/>
    <s v="Email not provided"/>
    <s v="098-765-4321"/>
    <n v="6"/>
    <x v="1"/>
  </r>
  <r>
    <x v="0"/>
    <x v="2"/>
    <x v="0"/>
    <x v="1"/>
    <x v="4"/>
    <x v="1"/>
    <d v="2019-12-01T00:00:00"/>
    <x v="4"/>
    <s v="Email not provided"/>
    <s v="123-456-7890"/>
    <n v="6"/>
    <x v="0"/>
  </r>
  <r>
    <x v="4"/>
    <x v="3"/>
    <x v="3"/>
    <x v="1"/>
    <x v="2"/>
    <x v="0"/>
    <d v="2020-01-15T00:00:00"/>
    <x v="3"/>
    <s v="Email not provided"/>
    <s v="Phone not provided"/>
    <n v="6"/>
    <x v="1"/>
  </r>
  <r>
    <x v="5"/>
    <x v="4"/>
    <x v="1"/>
    <x v="1"/>
    <x v="3"/>
    <x v="0"/>
    <d v="2018-04-05T00:00:00"/>
    <x v="3"/>
    <s v="Email not provided"/>
    <s v="098-765-4321"/>
    <n v="7"/>
    <x v="1"/>
  </r>
  <r>
    <x v="8"/>
    <x v="3"/>
    <x v="0"/>
    <x v="0"/>
    <x v="0"/>
    <x v="4"/>
    <d v="2020-02-20T00:00:00"/>
    <x v="3"/>
    <s v="Email not provided"/>
    <s v="098-765-4321"/>
    <n v="5"/>
    <x v="0"/>
  </r>
  <r>
    <x v="3"/>
    <x v="4"/>
    <x v="1"/>
    <x v="2"/>
    <x v="1"/>
    <x v="1"/>
    <d v="2018-04-05T00:00:00"/>
    <x v="0"/>
    <s v="Email not provided"/>
    <s v="Phone not provided"/>
    <n v="7"/>
    <x v="1"/>
  </r>
  <r>
    <x v="1"/>
    <x v="4"/>
    <x v="3"/>
    <x v="1"/>
    <x v="2"/>
    <x v="3"/>
    <d v="2018-04-05T00:00:00"/>
    <x v="0"/>
    <s v="email@example.com"/>
    <s v="123-456-7890"/>
    <n v="7"/>
    <x v="1"/>
  </r>
  <r>
    <x v="4"/>
    <x v="1"/>
    <x v="2"/>
    <x v="1"/>
    <x v="3"/>
    <x v="1"/>
    <d v="2019-03-25T00:00:00"/>
    <x v="4"/>
    <s v="user@domain.com"/>
    <s v="Phone not provided"/>
    <n v="6"/>
    <x v="2"/>
  </r>
  <r>
    <x v="2"/>
    <x v="2"/>
    <x v="2"/>
    <x v="2"/>
    <x v="4"/>
    <x v="2"/>
    <d v="2019-03-25T00:00:00"/>
    <x v="3"/>
    <s v="Email not provided"/>
    <s v="Phone not provided"/>
    <n v="6"/>
    <x v="2"/>
  </r>
  <r>
    <x v="8"/>
    <x v="0"/>
    <x v="3"/>
    <x v="0"/>
    <x v="3"/>
    <x v="0"/>
    <d v="2018-04-05T00:00:00"/>
    <x v="3"/>
    <s v="email@example.com"/>
    <s v="555-555-5555"/>
    <n v="7"/>
    <x v="1"/>
  </r>
  <r>
    <x v="4"/>
    <x v="0"/>
    <x v="4"/>
    <x v="2"/>
    <x v="2"/>
    <x v="2"/>
    <d v="2020-02-20T00:00:00"/>
    <x v="1"/>
    <s v="Email not provided"/>
    <s v="Phone not provided"/>
    <n v="5"/>
    <x v="0"/>
  </r>
  <r>
    <x v="8"/>
    <x v="1"/>
    <x v="1"/>
    <x v="2"/>
    <x v="2"/>
    <x v="3"/>
    <d v="2018-04-05T00:00:00"/>
    <x v="1"/>
    <s v="email@example.com"/>
    <s v="098-765-4321"/>
    <n v="7"/>
    <x v="1"/>
  </r>
  <r>
    <x v="1"/>
    <x v="4"/>
    <x v="1"/>
    <x v="1"/>
    <x v="3"/>
    <x v="2"/>
    <d v="2019-03-25T00:00:00"/>
    <x v="4"/>
    <s v="Email not provided"/>
    <s v="123-456-7890"/>
    <n v="6"/>
    <x v="1"/>
  </r>
  <r>
    <x v="2"/>
    <x v="0"/>
    <x v="2"/>
    <x v="2"/>
    <x v="4"/>
    <x v="1"/>
    <d v="2020-02-20T00:00:00"/>
    <x v="3"/>
    <s v="Email not provided"/>
    <s v="Phone not provided"/>
    <n v="5"/>
    <x v="2"/>
  </r>
  <r>
    <x v="3"/>
    <x v="1"/>
    <x v="4"/>
    <x v="2"/>
    <x v="3"/>
    <x v="2"/>
    <d v="2018-04-05T00:00:00"/>
    <x v="4"/>
    <s v="Email not provided"/>
    <s v="Phone not provided"/>
    <n v="7"/>
    <x v="0"/>
  </r>
  <r>
    <x v="7"/>
    <x v="4"/>
    <x v="2"/>
    <x v="1"/>
    <x v="2"/>
    <x v="3"/>
    <d v="2019-12-01T00:00:00"/>
    <x v="1"/>
    <s v="Email not provided"/>
    <s v="123-456-7890"/>
    <n v="6"/>
    <x v="2"/>
  </r>
  <r>
    <x v="6"/>
    <x v="1"/>
    <x v="4"/>
    <x v="1"/>
    <x v="2"/>
    <x v="3"/>
    <d v="2019-12-01T00:00:00"/>
    <x v="1"/>
    <s v="name@company.org"/>
    <s v="Phone not provided"/>
    <n v="6"/>
    <x v="0"/>
  </r>
  <r>
    <x v="3"/>
    <x v="0"/>
    <x v="2"/>
    <x v="1"/>
    <x v="1"/>
    <x v="3"/>
    <d v="2018-04-05T00:00:00"/>
    <x v="0"/>
    <s v="email@example.com"/>
    <s v="555-555-5555"/>
    <n v="7"/>
    <x v="2"/>
  </r>
  <r>
    <x v="7"/>
    <x v="0"/>
    <x v="1"/>
    <x v="1"/>
    <x v="1"/>
    <x v="1"/>
    <d v="2020-02-20T00:00:00"/>
    <x v="4"/>
    <s v="name@company.org"/>
    <s v="Phone not provided"/>
    <n v="5"/>
    <x v="1"/>
  </r>
  <r>
    <x v="5"/>
    <x v="1"/>
    <x v="1"/>
    <x v="2"/>
    <x v="0"/>
    <x v="3"/>
    <d v="2018-04-05T00:00:00"/>
    <x v="4"/>
    <s v="email@example.com"/>
    <s v="555-555-5555"/>
    <n v="7"/>
    <x v="1"/>
  </r>
  <r>
    <x v="9"/>
    <x v="0"/>
    <x v="2"/>
    <x v="2"/>
    <x v="2"/>
    <x v="0"/>
    <d v="2018-04-05T00:00:00"/>
    <x v="3"/>
    <s v="user@domain.com"/>
    <s v="098-765-4321"/>
    <n v="7"/>
    <x v="2"/>
  </r>
  <r>
    <x v="0"/>
    <x v="4"/>
    <x v="0"/>
    <x v="0"/>
    <x v="1"/>
    <x v="3"/>
    <d v="2019-03-25T00:00:00"/>
    <x v="3"/>
    <s v="Email not provided"/>
    <s v="098-765-4321"/>
    <n v="6"/>
    <x v="0"/>
  </r>
  <r>
    <x v="0"/>
    <x v="4"/>
    <x v="2"/>
    <x v="0"/>
    <x v="3"/>
    <x v="2"/>
    <d v="2019-12-01T00:00:00"/>
    <x v="0"/>
    <s v="user@domain.com"/>
    <s v="Phone not provided"/>
    <n v="6"/>
    <x v="2"/>
  </r>
  <r>
    <x v="6"/>
    <x v="4"/>
    <x v="2"/>
    <x v="2"/>
    <x v="4"/>
    <x v="2"/>
    <d v="2019-03-25T00:00:00"/>
    <x v="2"/>
    <s v="user@domain.com"/>
    <s v="555-555-5555"/>
    <n v="6"/>
    <x v="2"/>
  </r>
  <r>
    <x v="2"/>
    <x v="1"/>
    <x v="2"/>
    <x v="0"/>
    <x v="3"/>
    <x v="2"/>
    <d v="2019-03-25T00:00:00"/>
    <x v="2"/>
    <s v="email@example.com"/>
    <s v="098-765-4321"/>
    <n v="6"/>
    <x v="2"/>
  </r>
  <r>
    <x v="1"/>
    <x v="1"/>
    <x v="3"/>
    <x v="2"/>
    <x v="4"/>
    <x v="1"/>
    <d v="2018-04-05T00:00:00"/>
    <x v="2"/>
    <s v="name@company.org"/>
    <s v="Phone not provided"/>
    <n v="7"/>
    <x v="1"/>
  </r>
  <r>
    <x v="2"/>
    <x v="0"/>
    <x v="1"/>
    <x v="0"/>
    <x v="1"/>
    <x v="2"/>
    <d v="2019-03-25T00:00:00"/>
    <x v="4"/>
    <s v="Email not provided"/>
    <s v="123-456-7890"/>
    <n v="6"/>
    <x v="1"/>
  </r>
  <r>
    <x v="1"/>
    <x v="3"/>
    <x v="2"/>
    <x v="1"/>
    <x v="0"/>
    <x v="1"/>
    <d v="2019-12-01T00:00:00"/>
    <x v="4"/>
    <s v="email@example.com"/>
    <s v="123-456-7890"/>
    <n v="6"/>
    <x v="2"/>
  </r>
  <r>
    <x v="2"/>
    <x v="3"/>
    <x v="4"/>
    <x v="0"/>
    <x v="3"/>
    <x v="1"/>
    <d v="2019-03-25T00:00:00"/>
    <x v="1"/>
    <s v="Email not provided"/>
    <s v="555-555-5555"/>
    <n v="6"/>
    <x v="0"/>
  </r>
  <r>
    <x v="9"/>
    <x v="1"/>
    <x v="2"/>
    <x v="1"/>
    <x v="3"/>
    <x v="3"/>
    <d v="2019-12-01T00:00:00"/>
    <x v="4"/>
    <s v="user@domain.com"/>
    <s v="Phone not provided"/>
    <n v="6"/>
    <x v="2"/>
  </r>
  <r>
    <x v="5"/>
    <x v="0"/>
    <x v="3"/>
    <x v="1"/>
    <x v="3"/>
    <x v="0"/>
    <d v="2019-03-25T00:00:00"/>
    <x v="4"/>
    <s v="Email not provided"/>
    <s v="Phone not provided"/>
    <n v="6"/>
    <x v="1"/>
  </r>
  <r>
    <x v="5"/>
    <x v="3"/>
    <x v="1"/>
    <x v="1"/>
    <x v="4"/>
    <x v="3"/>
    <d v="2019-12-01T00:00:00"/>
    <x v="4"/>
    <s v="name@company.org"/>
    <s v="555-555-5555"/>
    <n v="6"/>
    <x v="1"/>
  </r>
  <r>
    <x v="7"/>
    <x v="0"/>
    <x v="2"/>
    <x v="1"/>
    <x v="1"/>
    <x v="3"/>
    <d v="2019-03-25T00:00:00"/>
    <x v="0"/>
    <s v="email@example.com"/>
    <s v="123-456-7890"/>
    <n v="6"/>
    <x v="2"/>
  </r>
  <r>
    <x v="4"/>
    <x v="0"/>
    <x v="3"/>
    <x v="0"/>
    <x v="3"/>
    <x v="1"/>
    <d v="2019-03-25T00:00:00"/>
    <x v="4"/>
    <s v="name@company.org"/>
    <s v="555-555-5555"/>
    <n v="6"/>
    <x v="1"/>
  </r>
  <r>
    <x v="5"/>
    <x v="0"/>
    <x v="1"/>
    <x v="2"/>
    <x v="3"/>
    <x v="1"/>
    <d v="2020-02-20T00:00:00"/>
    <x v="3"/>
    <s v="name@company.org"/>
    <s v="Phone not provided"/>
    <n v="5"/>
    <x v="1"/>
  </r>
  <r>
    <x v="5"/>
    <x v="2"/>
    <x v="2"/>
    <x v="1"/>
    <x v="0"/>
    <x v="2"/>
    <d v="2019-12-01T00:00:00"/>
    <x v="3"/>
    <s v="email@example.com"/>
    <s v="098-765-4321"/>
    <n v="6"/>
    <x v="2"/>
  </r>
  <r>
    <x v="3"/>
    <x v="4"/>
    <x v="0"/>
    <x v="0"/>
    <x v="0"/>
    <x v="2"/>
    <d v="2019-12-01T00:00:00"/>
    <x v="1"/>
    <s v="name@company.org"/>
    <s v="Phone not provided"/>
    <n v="6"/>
    <x v="0"/>
  </r>
  <r>
    <x v="3"/>
    <x v="0"/>
    <x v="0"/>
    <x v="1"/>
    <x v="1"/>
    <x v="3"/>
    <d v="2019-12-01T00:00:00"/>
    <x v="0"/>
    <s v="Email not provided"/>
    <s v="098-765-4321"/>
    <n v="6"/>
    <x v="0"/>
  </r>
  <r>
    <x v="7"/>
    <x v="2"/>
    <x v="4"/>
    <x v="0"/>
    <x v="1"/>
    <x v="4"/>
    <d v="2020-01-15T00:00:00"/>
    <x v="3"/>
    <s v="Email not provided"/>
    <s v="098-765-4321"/>
    <n v="6"/>
    <x v="0"/>
  </r>
  <r>
    <x v="4"/>
    <x v="1"/>
    <x v="1"/>
    <x v="0"/>
    <x v="2"/>
    <x v="4"/>
    <d v="2019-03-25T00:00:00"/>
    <x v="0"/>
    <s v="Email not provided"/>
    <s v="098-765-4321"/>
    <n v="6"/>
    <x v="1"/>
  </r>
  <r>
    <x v="6"/>
    <x v="3"/>
    <x v="0"/>
    <x v="0"/>
    <x v="0"/>
    <x v="2"/>
    <d v="2019-12-01T00:00:00"/>
    <x v="0"/>
    <s v="Email not provided"/>
    <s v="555-555-5555"/>
    <n v="6"/>
    <x v="0"/>
  </r>
  <r>
    <x v="3"/>
    <x v="4"/>
    <x v="2"/>
    <x v="2"/>
    <x v="2"/>
    <x v="4"/>
    <d v="2020-01-15T00:00:00"/>
    <x v="1"/>
    <s v="name@company.org"/>
    <s v="123-456-7890"/>
    <n v="6"/>
    <x v="2"/>
  </r>
  <r>
    <x v="6"/>
    <x v="3"/>
    <x v="1"/>
    <x v="0"/>
    <x v="4"/>
    <x v="2"/>
    <d v="2020-02-20T00:00:00"/>
    <x v="0"/>
    <s v="email@example.com"/>
    <s v="555-555-5555"/>
    <n v="5"/>
    <x v="1"/>
  </r>
  <r>
    <x v="8"/>
    <x v="4"/>
    <x v="2"/>
    <x v="0"/>
    <x v="2"/>
    <x v="1"/>
    <d v="2019-12-01T00:00:00"/>
    <x v="4"/>
    <s v="email@example.com"/>
    <s v="123-456-7890"/>
    <n v="6"/>
    <x v="2"/>
  </r>
  <r>
    <x v="3"/>
    <x v="3"/>
    <x v="2"/>
    <x v="2"/>
    <x v="3"/>
    <x v="3"/>
    <d v="2019-12-01T00:00:00"/>
    <x v="0"/>
    <s v="Email not provided"/>
    <s v="Phone not provided"/>
    <n v="6"/>
    <x v="2"/>
  </r>
  <r>
    <x v="9"/>
    <x v="4"/>
    <x v="0"/>
    <x v="2"/>
    <x v="2"/>
    <x v="0"/>
    <d v="2020-01-15T00:00:00"/>
    <x v="1"/>
    <s v="email@example.com"/>
    <s v="Phone not provided"/>
    <n v="6"/>
    <x v="0"/>
  </r>
  <r>
    <x v="4"/>
    <x v="3"/>
    <x v="1"/>
    <x v="0"/>
    <x v="1"/>
    <x v="3"/>
    <d v="2019-03-25T00:00:00"/>
    <x v="1"/>
    <s v="Email not provided"/>
    <s v="Phone not provided"/>
    <n v="6"/>
    <x v="1"/>
  </r>
  <r>
    <x v="7"/>
    <x v="3"/>
    <x v="2"/>
    <x v="2"/>
    <x v="4"/>
    <x v="2"/>
    <d v="2020-02-20T00:00:00"/>
    <x v="1"/>
    <s v="name@company.org"/>
    <s v="555-555-5555"/>
    <n v="5"/>
    <x v="2"/>
  </r>
  <r>
    <x v="8"/>
    <x v="3"/>
    <x v="3"/>
    <x v="1"/>
    <x v="3"/>
    <x v="2"/>
    <d v="2019-12-01T00:00:00"/>
    <x v="3"/>
    <s v="email@example.com"/>
    <s v="555-555-5555"/>
    <n v="6"/>
    <x v="1"/>
  </r>
  <r>
    <x v="4"/>
    <x v="3"/>
    <x v="0"/>
    <x v="1"/>
    <x v="2"/>
    <x v="3"/>
    <d v="2019-03-25T00:00:00"/>
    <x v="4"/>
    <s v="email@example.com"/>
    <s v="123-456-7890"/>
    <n v="6"/>
    <x v="0"/>
  </r>
  <r>
    <x v="9"/>
    <x v="1"/>
    <x v="0"/>
    <x v="2"/>
    <x v="4"/>
    <x v="2"/>
    <d v="2020-02-20T00:00:00"/>
    <x v="3"/>
    <s v="user@domain.com"/>
    <s v="555-555-5555"/>
    <n v="5"/>
    <x v="0"/>
  </r>
  <r>
    <x v="4"/>
    <x v="0"/>
    <x v="2"/>
    <x v="2"/>
    <x v="4"/>
    <x v="4"/>
    <d v="2018-04-05T00:00:00"/>
    <x v="2"/>
    <s v="user@domain.com"/>
    <s v="098-765-4321"/>
    <n v="7"/>
    <x v="2"/>
  </r>
  <r>
    <x v="9"/>
    <x v="1"/>
    <x v="1"/>
    <x v="0"/>
    <x v="3"/>
    <x v="4"/>
    <d v="2018-04-05T00:00:00"/>
    <x v="4"/>
    <s v="user@domain.com"/>
    <s v="555-555-5555"/>
    <n v="7"/>
    <x v="1"/>
  </r>
  <r>
    <x v="9"/>
    <x v="2"/>
    <x v="1"/>
    <x v="2"/>
    <x v="2"/>
    <x v="2"/>
    <d v="2020-02-20T00:00:00"/>
    <x v="0"/>
    <s v="name@company.org"/>
    <s v="123-456-7890"/>
    <n v="5"/>
    <x v="1"/>
  </r>
  <r>
    <x v="6"/>
    <x v="1"/>
    <x v="2"/>
    <x v="0"/>
    <x v="4"/>
    <x v="2"/>
    <d v="2020-01-15T00:00:00"/>
    <x v="1"/>
    <s v="Email not provided"/>
    <s v="123-456-7890"/>
    <n v="6"/>
    <x v="2"/>
  </r>
  <r>
    <x v="2"/>
    <x v="1"/>
    <x v="2"/>
    <x v="1"/>
    <x v="4"/>
    <x v="4"/>
    <d v="2020-02-20T00:00:00"/>
    <x v="2"/>
    <s v="Email not provided"/>
    <s v="098-765-4321"/>
    <n v="5"/>
    <x v="2"/>
  </r>
  <r>
    <x v="8"/>
    <x v="4"/>
    <x v="2"/>
    <x v="2"/>
    <x v="0"/>
    <x v="2"/>
    <d v="2020-02-20T00:00:00"/>
    <x v="4"/>
    <s v="Email not provided"/>
    <s v="123-456-7890"/>
    <n v="5"/>
    <x v="2"/>
  </r>
  <r>
    <x v="4"/>
    <x v="0"/>
    <x v="1"/>
    <x v="0"/>
    <x v="4"/>
    <x v="2"/>
    <d v="2020-01-15T00:00:00"/>
    <x v="3"/>
    <s v="name@company.org"/>
    <s v="Phone not provided"/>
    <n v="6"/>
    <x v="1"/>
  </r>
  <r>
    <x v="1"/>
    <x v="4"/>
    <x v="2"/>
    <x v="0"/>
    <x v="0"/>
    <x v="3"/>
    <d v="2020-01-15T00:00:00"/>
    <x v="1"/>
    <s v="name@company.org"/>
    <s v="Phone not provided"/>
    <n v="6"/>
    <x v="2"/>
  </r>
  <r>
    <x v="8"/>
    <x v="0"/>
    <x v="0"/>
    <x v="1"/>
    <x v="2"/>
    <x v="0"/>
    <d v="2019-03-25T00:00:00"/>
    <x v="3"/>
    <s v="user@domain.com"/>
    <s v="555-555-5555"/>
    <n v="6"/>
    <x v="0"/>
  </r>
  <r>
    <x v="2"/>
    <x v="0"/>
    <x v="4"/>
    <x v="2"/>
    <x v="2"/>
    <x v="4"/>
    <d v="2019-03-25T00:00:00"/>
    <x v="4"/>
    <s v="email@example.com"/>
    <s v="Phone not provided"/>
    <n v="6"/>
    <x v="0"/>
  </r>
  <r>
    <x v="8"/>
    <x v="3"/>
    <x v="3"/>
    <x v="1"/>
    <x v="2"/>
    <x v="3"/>
    <d v="2020-01-15T00:00:00"/>
    <x v="4"/>
    <s v="Email not provided"/>
    <s v="555-555-5555"/>
    <n v="6"/>
    <x v="1"/>
  </r>
  <r>
    <x v="5"/>
    <x v="1"/>
    <x v="0"/>
    <x v="0"/>
    <x v="1"/>
    <x v="0"/>
    <d v="2018-04-05T00:00:00"/>
    <x v="2"/>
    <s v="Email not provided"/>
    <s v="Phone not provided"/>
    <n v="7"/>
    <x v="0"/>
  </r>
  <r>
    <x v="1"/>
    <x v="3"/>
    <x v="1"/>
    <x v="0"/>
    <x v="2"/>
    <x v="2"/>
    <d v="2018-04-05T00:00:00"/>
    <x v="0"/>
    <s v="email@example.com"/>
    <s v="555-555-5555"/>
    <n v="7"/>
    <x v="1"/>
  </r>
  <r>
    <x v="2"/>
    <x v="1"/>
    <x v="3"/>
    <x v="2"/>
    <x v="4"/>
    <x v="2"/>
    <d v="2020-02-20T00:00:00"/>
    <x v="3"/>
    <s v="user@domain.com"/>
    <s v="098-765-4321"/>
    <n v="5"/>
    <x v="1"/>
  </r>
  <r>
    <x v="6"/>
    <x v="4"/>
    <x v="4"/>
    <x v="0"/>
    <x v="3"/>
    <x v="3"/>
    <d v="2019-12-01T00:00:00"/>
    <x v="2"/>
    <s v="email@example.com"/>
    <s v="123-456-7890"/>
    <n v="6"/>
    <x v="0"/>
  </r>
  <r>
    <x v="4"/>
    <x v="1"/>
    <x v="4"/>
    <x v="2"/>
    <x v="0"/>
    <x v="2"/>
    <d v="2020-02-20T00:00:00"/>
    <x v="1"/>
    <s v="email@example.com"/>
    <s v="123-456-7890"/>
    <n v="5"/>
    <x v="0"/>
  </r>
  <r>
    <x v="0"/>
    <x v="4"/>
    <x v="2"/>
    <x v="1"/>
    <x v="1"/>
    <x v="1"/>
    <d v="2020-02-20T00:00:00"/>
    <x v="0"/>
    <s v="Email not provided"/>
    <s v="098-765-4321"/>
    <n v="5"/>
    <x v="2"/>
  </r>
  <r>
    <x v="2"/>
    <x v="1"/>
    <x v="3"/>
    <x v="2"/>
    <x v="2"/>
    <x v="3"/>
    <d v="2019-12-01T00:00:00"/>
    <x v="2"/>
    <s v="user@domain.com"/>
    <s v="Phone not provided"/>
    <n v="6"/>
    <x v="1"/>
  </r>
  <r>
    <x v="7"/>
    <x v="1"/>
    <x v="2"/>
    <x v="2"/>
    <x v="2"/>
    <x v="0"/>
    <d v="2020-01-15T00:00:00"/>
    <x v="3"/>
    <s v="name@company.org"/>
    <s v="Phone not provided"/>
    <n v="6"/>
    <x v="2"/>
  </r>
  <r>
    <x v="4"/>
    <x v="1"/>
    <x v="0"/>
    <x v="0"/>
    <x v="3"/>
    <x v="3"/>
    <d v="2018-04-05T00:00:00"/>
    <x v="4"/>
    <s v="Email not provided"/>
    <s v="Phone not provided"/>
    <n v="7"/>
    <x v="0"/>
  </r>
  <r>
    <x v="2"/>
    <x v="1"/>
    <x v="2"/>
    <x v="0"/>
    <x v="3"/>
    <x v="4"/>
    <d v="2020-02-20T00:00:00"/>
    <x v="1"/>
    <s v="name@company.org"/>
    <s v="123-456-7890"/>
    <n v="5"/>
    <x v="2"/>
  </r>
  <r>
    <x v="5"/>
    <x v="4"/>
    <x v="2"/>
    <x v="2"/>
    <x v="1"/>
    <x v="3"/>
    <d v="2019-12-01T00:00:00"/>
    <x v="3"/>
    <s v="user@domain.com"/>
    <s v="Phone not provided"/>
    <n v="6"/>
    <x v="2"/>
  </r>
  <r>
    <x v="0"/>
    <x v="3"/>
    <x v="2"/>
    <x v="0"/>
    <x v="0"/>
    <x v="2"/>
    <d v="2019-03-25T00:00:00"/>
    <x v="0"/>
    <s v="email@example.com"/>
    <s v="555-555-5555"/>
    <n v="6"/>
    <x v="2"/>
  </r>
  <r>
    <x v="5"/>
    <x v="4"/>
    <x v="3"/>
    <x v="0"/>
    <x v="2"/>
    <x v="2"/>
    <d v="2020-02-20T00:00:00"/>
    <x v="0"/>
    <s v="Email not provided"/>
    <s v="Phone not provided"/>
    <n v="5"/>
    <x v="1"/>
  </r>
  <r>
    <x v="0"/>
    <x v="3"/>
    <x v="2"/>
    <x v="0"/>
    <x v="1"/>
    <x v="1"/>
    <d v="2018-04-05T00:00:00"/>
    <x v="4"/>
    <s v="Email not provided"/>
    <s v="Phone not provided"/>
    <n v="7"/>
    <x v="2"/>
  </r>
  <r>
    <x v="7"/>
    <x v="1"/>
    <x v="0"/>
    <x v="2"/>
    <x v="4"/>
    <x v="1"/>
    <d v="2020-01-15T00:00:00"/>
    <x v="4"/>
    <s v="user@domain.com"/>
    <s v="098-765-4321"/>
    <n v="6"/>
    <x v="0"/>
  </r>
  <r>
    <x v="4"/>
    <x v="0"/>
    <x v="2"/>
    <x v="0"/>
    <x v="4"/>
    <x v="1"/>
    <d v="2020-02-20T00:00:00"/>
    <x v="1"/>
    <s v="Email not provided"/>
    <s v="555-555-5555"/>
    <n v="5"/>
    <x v="2"/>
  </r>
  <r>
    <x v="6"/>
    <x v="1"/>
    <x v="3"/>
    <x v="2"/>
    <x v="1"/>
    <x v="0"/>
    <d v="2020-02-20T00:00:00"/>
    <x v="1"/>
    <s v="name@company.org"/>
    <s v="Phone not provided"/>
    <n v="5"/>
    <x v="1"/>
  </r>
  <r>
    <x v="5"/>
    <x v="3"/>
    <x v="2"/>
    <x v="0"/>
    <x v="2"/>
    <x v="1"/>
    <d v="2019-12-01T00:00:00"/>
    <x v="4"/>
    <s v="Email not provided"/>
    <s v="555-555-5555"/>
    <n v="6"/>
    <x v="2"/>
  </r>
  <r>
    <x v="5"/>
    <x v="4"/>
    <x v="3"/>
    <x v="1"/>
    <x v="1"/>
    <x v="0"/>
    <d v="2019-03-25T00:00:00"/>
    <x v="4"/>
    <s v="user@domain.com"/>
    <s v="Phone not provided"/>
    <n v="6"/>
    <x v="1"/>
  </r>
  <r>
    <x v="9"/>
    <x v="1"/>
    <x v="2"/>
    <x v="0"/>
    <x v="2"/>
    <x v="1"/>
    <d v="2019-03-25T00:00:00"/>
    <x v="0"/>
    <s v="user@domain.com"/>
    <s v="123-456-7890"/>
    <n v="6"/>
    <x v="2"/>
  </r>
  <r>
    <x v="0"/>
    <x v="3"/>
    <x v="4"/>
    <x v="0"/>
    <x v="3"/>
    <x v="0"/>
    <d v="2020-01-15T00:00:00"/>
    <x v="4"/>
    <s v="name@company.org"/>
    <s v="Phone not provided"/>
    <n v="6"/>
    <x v="0"/>
  </r>
  <r>
    <x v="3"/>
    <x v="4"/>
    <x v="2"/>
    <x v="2"/>
    <x v="1"/>
    <x v="3"/>
    <d v="2018-04-05T00:00:00"/>
    <x v="2"/>
    <s v="Email not provided"/>
    <s v="098-765-4321"/>
    <n v="7"/>
    <x v="2"/>
  </r>
  <r>
    <x v="4"/>
    <x v="1"/>
    <x v="2"/>
    <x v="2"/>
    <x v="2"/>
    <x v="3"/>
    <d v="2020-01-15T00:00:00"/>
    <x v="3"/>
    <s v="Email not provided"/>
    <s v="Phone not provided"/>
    <n v="6"/>
    <x v="2"/>
  </r>
  <r>
    <x v="0"/>
    <x v="1"/>
    <x v="4"/>
    <x v="0"/>
    <x v="1"/>
    <x v="2"/>
    <d v="2020-02-20T00:00:00"/>
    <x v="4"/>
    <s v="email@example.com"/>
    <s v="Phone not provided"/>
    <n v="5"/>
    <x v="0"/>
  </r>
  <r>
    <x v="9"/>
    <x v="2"/>
    <x v="2"/>
    <x v="1"/>
    <x v="1"/>
    <x v="0"/>
    <d v="2020-02-20T00:00:00"/>
    <x v="1"/>
    <s v="Email not provided"/>
    <s v="098-765-4321"/>
    <n v="5"/>
    <x v="2"/>
  </r>
  <r>
    <x v="8"/>
    <x v="0"/>
    <x v="3"/>
    <x v="0"/>
    <x v="2"/>
    <x v="4"/>
    <d v="2019-03-25T00:00:00"/>
    <x v="2"/>
    <s v="user@domain.com"/>
    <s v="Phone not provided"/>
    <n v="6"/>
    <x v="1"/>
  </r>
  <r>
    <x v="0"/>
    <x v="2"/>
    <x v="3"/>
    <x v="0"/>
    <x v="2"/>
    <x v="2"/>
    <d v="2018-04-05T00:00:00"/>
    <x v="1"/>
    <s v="email@example.com"/>
    <s v="Phone not provided"/>
    <n v="7"/>
    <x v="1"/>
  </r>
  <r>
    <x v="6"/>
    <x v="1"/>
    <x v="3"/>
    <x v="1"/>
    <x v="0"/>
    <x v="3"/>
    <d v="2019-12-01T00:00:00"/>
    <x v="2"/>
    <s v="user@domain.com"/>
    <s v="Phone not provided"/>
    <n v="6"/>
    <x v="1"/>
  </r>
  <r>
    <x v="4"/>
    <x v="3"/>
    <x v="1"/>
    <x v="2"/>
    <x v="1"/>
    <x v="0"/>
    <d v="2018-04-05T00:00:00"/>
    <x v="4"/>
    <s v="email@example.com"/>
    <s v="555-555-5555"/>
    <n v="7"/>
    <x v="1"/>
  </r>
  <r>
    <x v="9"/>
    <x v="1"/>
    <x v="0"/>
    <x v="0"/>
    <x v="4"/>
    <x v="1"/>
    <d v="2020-02-20T00:00:00"/>
    <x v="3"/>
    <s v="Email not provided"/>
    <s v="Phone not provided"/>
    <n v="5"/>
    <x v="0"/>
  </r>
  <r>
    <x v="8"/>
    <x v="4"/>
    <x v="3"/>
    <x v="2"/>
    <x v="1"/>
    <x v="4"/>
    <d v="2019-12-01T00:00:00"/>
    <x v="1"/>
    <s v="email@example.com"/>
    <s v="Phone not provided"/>
    <n v="6"/>
    <x v="1"/>
  </r>
  <r>
    <x v="1"/>
    <x v="1"/>
    <x v="4"/>
    <x v="2"/>
    <x v="1"/>
    <x v="3"/>
    <d v="2018-04-05T00:00:00"/>
    <x v="2"/>
    <s v="user@domain.com"/>
    <s v="123-456-7890"/>
    <n v="7"/>
    <x v="0"/>
  </r>
  <r>
    <x v="9"/>
    <x v="2"/>
    <x v="3"/>
    <x v="1"/>
    <x v="2"/>
    <x v="2"/>
    <d v="2018-04-05T00:00:00"/>
    <x v="0"/>
    <s v="Email not provided"/>
    <s v="Phone not provided"/>
    <n v="7"/>
    <x v="1"/>
  </r>
  <r>
    <x v="1"/>
    <x v="2"/>
    <x v="1"/>
    <x v="1"/>
    <x v="1"/>
    <x v="0"/>
    <d v="2019-12-01T00:00:00"/>
    <x v="4"/>
    <s v="user@domain.com"/>
    <s v="555-555-5555"/>
    <n v="6"/>
    <x v="1"/>
  </r>
  <r>
    <x v="4"/>
    <x v="2"/>
    <x v="2"/>
    <x v="2"/>
    <x v="1"/>
    <x v="4"/>
    <d v="2020-02-20T00:00:00"/>
    <x v="3"/>
    <s v="name@company.org"/>
    <s v="098-765-4321"/>
    <n v="5"/>
    <x v="2"/>
  </r>
  <r>
    <x v="5"/>
    <x v="1"/>
    <x v="4"/>
    <x v="0"/>
    <x v="4"/>
    <x v="0"/>
    <d v="2018-04-05T00:00:00"/>
    <x v="4"/>
    <s v="name@company.org"/>
    <s v="098-765-4321"/>
    <n v="7"/>
    <x v="0"/>
  </r>
  <r>
    <x v="9"/>
    <x v="1"/>
    <x v="1"/>
    <x v="2"/>
    <x v="2"/>
    <x v="1"/>
    <d v="2019-12-01T00:00:00"/>
    <x v="0"/>
    <s v="name@company.org"/>
    <s v="098-765-4321"/>
    <n v="6"/>
    <x v="1"/>
  </r>
  <r>
    <x v="7"/>
    <x v="3"/>
    <x v="2"/>
    <x v="0"/>
    <x v="1"/>
    <x v="2"/>
    <d v="2020-02-20T00:00:00"/>
    <x v="3"/>
    <s v="name@company.org"/>
    <s v="123-456-7890"/>
    <n v="5"/>
    <x v="2"/>
  </r>
  <r>
    <x v="1"/>
    <x v="4"/>
    <x v="4"/>
    <x v="0"/>
    <x v="3"/>
    <x v="0"/>
    <d v="2019-12-01T00:00:00"/>
    <x v="0"/>
    <s v="Email not provided"/>
    <s v="555-555-5555"/>
    <n v="6"/>
    <x v="0"/>
  </r>
  <r>
    <x v="6"/>
    <x v="3"/>
    <x v="2"/>
    <x v="1"/>
    <x v="0"/>
    <x v="3"/>
    <d v="2019-12-01T00:00:00"/>
    <x v="4"/>
    <s v="Email not provided"/>
    <s v="Phone not provided"/>
    <n v="6"/>
    <x v="2"/>
  </r>
  <r>
    <x v="7"/>
    <x v="1"/>
    <x v="0"/>
    <x v="0"/>
    <x v="4"/>
    <x v="2"/>
    <d v="2018-04-05T00:00:00"/>
    <x v="2"/>
    <s v="Email not provided"/>
    <s v="098-765-4321"/>
    <n v="7"/>
    <x v="0"/>
  </r>
  <r>
    <x v="2"/>
    <x v="4"/>
    <x v="0"/>
    <x v="0"/>
    <x v="1"/>
    <x v="3"/>
    <d v="2020-02-20T00:00:00"/>
    <x v="4"/>
    <s v="user@domain.com"/>
    <s v="555-555-5555"/>
    <n v="5"/>
    <x v="0"/>
  </r>
  <r>
    <x v="2"/>
    <x v="2"/>
    <x v="1"/>
    <x v="2"/>
    <x v="3"/>
    <x v="0"/>
    <d v="2018-04-05T00:00:00"/>
    <x v="4"/>
    <s v="email@example.com"/>
    <s v="Phone not provided"/>
    <n v="7"/>
    <x v="1"/>
  </r>
  <r>
    <x v="8"/>
    <x v="0"/>
    <x v="2"/>
    <x v="1"/>
    <x v="1"/>
    <x v="2"/>
    <d v="2020-01-15T00:00:00"/>
    <x v="4"/>
    <s v="user@domain.com"/>
    <s v="123-456-7890"/>
    <n v="6"/>
    <x v="2"/>
  </r>
  <r>
    <x v="5"/>
    <x v="1"/>
    <x v="0"/>
    <x v="0"/>
    <x v="1"/>
    <x v="3"/>
    <d v="2020-01-15T00:00:00"/>
    <x v="1"/>
    <s v="user@domain.com"/>
    <s v="555-555-5555"/>
    <n v="6"/>
    <x v="0"/>
  </r>
  <r>
    <x v="4"/>
    <x v="1"/>
    <x v="2"/>
    <x v="0"/>
    <x v="2"/>
    <x v="1"/>
    <d v="2020-02-20T00:00:00"/>
    <x v="0"/>
    <s v="user@domain.com"/>
    <s v="555-555-5555"/>
    <n v="5"/>
    <x v="2"/>
  </r>
  <r>
    <x v="9"/>
    <x v="1"/>
    <x v="2"/>
    <x v="1"/>
    <x v="2"/>
    <x v="1"/>
    <d v="2019-12-01T00:00:00"/>
    <x v="0"/>
    <s v="user@domain.com"/>
    <s v="Phone not provided"/>
    <n v="6"/>
    <x v="2"/>
  </r>
  <r>
    <x v="3"/>
    <x v="3"/>
    <x v="1"/>
    <x v="2"/>
    <x v="2"/>
    <x v="0"/>
    <d v="2018-04-05T00:00:00"/>
    <x v="0"/>
    <s v="Email not provided"/>
    <s v="555-555-5555"/>
    <n v="7"/>
    <x v="1"/>
  </r>
  <r>
    <x v="6"/>
    <x v="1"/>
    <x v="1"/>
    <x v="1"/>
    <x v="3"/>
    <x v="2"/>
    <d v="2018-04-05T00:00:00"/>
    <x v="1"/>
    <s v="email@example.com"/>
    <s v="Phone not provided"/>
    <n v="7"/>
    <x v="1"/>
  </r>
  <r>
    <x v="1"/>
    <x v="1"/>
    <x v="1"/>
    <x v="1"/>
    <x v="1"/>
    <x v="4"/>
    <d v="2020-02-20T00:00:00"/>
    <x v="2"/>
    <s v="user@domain.com"/>
    <s v="123-456-7890"/>
    <n v="5"/>
    <x v="1"/>
  </r>
  <r>
    <x v="4"/>
    <x v="2"/>
    <x v="0"/>
    <x v="0"/>
    <x v="0"/>
    <x v="2"/>
    <d v="2020-02-20T00:00:00"/>
    <x v="4"/>
    <s v="Email not provided"/>
    <s v="123-456-7890"/>
    <n v="5"/>
    <x v="0"/>
  </r>
  <r>
    <x v="7"/>
    <x v="2"/>
    <x v="1"/>
    <x v="0"/>
    <x v="4"/>
    <x v="1"/>
    <d v="2020-01-15T00:00:00"/>
    <x v="2"/>
    <s v="user@domain.com"/>
    <s v="Phone not provided"/>
    <n v="6"/>
    <x v="1"/>
  </r>
  <r>
    <x v="2"/>
    <x v="4"/>
    <x v="0"/>
    <x v="2"/>
    <x v="2"/>
    <x v="3"/>
    <d v="2019-03-25T00:00:00"/>
    <x v="1"/>
    <s v="name@company.org"/>
    <s v="Phone not provided"/>
    <n v="6"/>
    <x v="0"/>
  </r>
  <r>
    <x v="6"/>
    <x v="0"/>
    <x v="1"/>
    <x v="0"/>
    <x v="2"/>
    <x v="4"/>
    <d v="2020-02-20T00:00:00"/>
    <x v="0"/>
    <s v="user@domain.com"/>
    <s v="Phone not provided"/>
    <n v="5"/>
    <x v="1"/>
  </r>
  <r>
    <x v="3"/>
    <x v="1"/>
    <x v="3"/>
    <x v="0"/>
    <x v="1"/>
    <x v="0"/>
    <d v="2019-03-25T00:00:00"/>
    <x v="4"/>
    <s v="user@domain.com"/>
    <s v="098-765-4321"/>
    <n v="6"/>
    <x v="1"/>
  </r>
  <r>
    <x v="9"/>
    <x v="0"/>
    <x v="2"/>
    <x v="1"/>
    <x v="1"/>
    <x v="4"/>
    <d v="2020-02-20T00:00:00"/>
    <x v="3"/>
    <s v="Email not provided"/>
    <s v="098-765-4321"/>
    <n v="5"/>
    <x v="2"/>
  </r>
  <r>
    <x v="8"/>
    <x v="4"/>
    <x v="1"/>
    <x v="0"/>
    <x v="3"/>
    <x v="0"/>
    <d v="2019-12-01T00:00:00"/>
    <x v="3"/>
    <s v="name@company.org"/>
    <s v="Phone not provided"/>
    <n v="6"/>
    <x v="1"/>
  </r>
  <r>
    <x v="3"/>
    <x v="2"/>
    <x v="4"/>
    <x v="2"/>
    <x v="3"/>
    <x v="4"/>
    <d v="2019-12-01T00:00:00"/>
    <x v="2"/>
    <s v="email@example.com"/>
    <s v="123-456-7890"/>
    <n v="6"/>
    <x v="0"/>
  </r>
  <r>
    <x v="6"/>
    <x v="3"/>
    <x v="2"/>
    <x v="1"/>
    <x v="2"/>
    <x v="0"/>
    <d v="2020-01-15T00:00:00"/>
    <x v="0"/>
    <s v="user@domain.com"/>
    <s v="098-765-4321"/>
    <n v="6"/>
    <x v="2"/>
  </r>
  <r>
    <x v="3"/>
    <x v="2"/>
    <x v="2"/>
    <x v="2"/>
    <x v="1"/>
    <x v="0"/>
    <d v="2020-01-15T00:00:00"/>
    <x v="3"/>
    <s v="email@example.com"/>
    <s v="555-555-5555"/>
    <n v="6"/>
    <x v="2"/>
  </r>
  <r>
    <x v="6"/>
    <x v="1"/>
    <x v="1"/>
    <x v="1"/>
    <x v="0"/>
    <x v="4"/>
    <d v="2019-03-25T00:00:00"/>
    <x v="2"/>
    <s v="name@company.org"/>
    <s v="123-456-7890"/>
    <n v="6"/>
    <x v="1"/>
  </r>
  <r>
    <x v="6"/>
    <x v="2"/>
    <x v="2"/>
    <x v="0"/>
    <x v="4"/>
    <x v="4"/>
    <d v="2020-02-20T00:00:00"/>
    <x v="1"/>
    <s v="user@domain.com"/>
    <s v="555-555-5555"/>
    <n v="5"/>
    <x v="2"/>
  </r>
  <r>
    <x v="0"/>
    <x v="1"/>
    <x v="1"/>
    <x v="1"/>
    <x v="1"/>
    <x v="0"/>
    <d v="2018-04-05T00:00:00"/>
    <x v="2"/>
    <s v="Email not provided"/>
    <s v="Phone not provided"/>
    <n v="7"/>
    <x v="1"/>
  </r>
  <r>
    <x v="1"/>
    <x v="1"/>
    <x v="2"/>
    <x v="1"/>
    <x v="1"/>
    <x v="1"/>
    <d v="2020-01-15T00:00:00"/>
    <x v="2"/>
    <s v="Email not provided"/>
    <s v="123-456-7890"/>
    <n v="6"/>
    <x v="2"/>
  </r>
  <r>
    <x v="2"/>
    <x v="1"/>
    <x v="4"/>
    <x v="0"/>
    <x v="3"/>
    <x v="4"/>
    <d v="2018-04-05T00:00:00"/>
    <x v="2"/>
    <s v="Email not provided"/>
    <s v="Phone not provided"/>
    <n v="7"/>
    <x v="0"/>
  </r>
  <r>
    <x v="0"/>
    <x v="4"/>
    <x v="2"/>
    <x v="0"/>
    <x v="4"/>
    <x v="2"/>
    <d v="2018-04-05T00:00:00"/>
    <x v="4"/>
    <s v="Email not provided"/>
    <s v="Phone not provided"/>
    <n v="7"/>
    <x v="2"/>
  </r>
  <r>
    <x v="9"/>
    <x v="1"/>
    <x v="4"/>
    <x v="2"/>
    <x v="2"/>
    <x v="3"/>
    <d v="2020-02-20T00:00:00"/>
    <x v="2"/>
    <s v="Email not provided"/>
    <s v="Phone not provided"/>
    <n v="5"/>
    <x v="0"/>
  </r>
  <r>
    <x v="0"/>
    <x v="1"/>
    <x v="0"/>
    <x v="2"/>
    <x v="1"/>
    <x v="0"/>
    <d v="2019-03-25T00:00:00"/>
    <x v="2"/>
    <s v="Email not provided"/>
    <s v="555-555-5555"/>
    <n v="6"/>
    <x v="0"/>
  </r>
  <r>
    <x v="5"/>
    <x v="3"/>
    <x v="3"/>
    <x v="0"/>
    <x v="2"/>
    <x v="0"/>
    <d v="2020-02-20T00:00:00"/>
    <x v="4"/>
    <s v="Email not provided"/>
    <s v="Phone not provided"/>
    <n v="5"/>
    <x v="1"/>
  </r>
  <r>
    <x v="5"/>
    <x v="0"/>
    <x v="2"/>
    <x v="0"/>
    <x v="1"/>
    <x v="3"/>
    <d v="2020-01-15T00:00:00"/>
    <x v="4"/>
    <s v="user@domain.com"/>
    <s v="098-765-4321"/>
    <n v="6"/>
    <x v="2"/>
  </r>
  <r>
    <x v="2"/>
    <x v="1"/>
    <x v="1"/>
    <x v="0"/>
    <x v="2"/>
    <x v="1"/>
    <d v="2018-04-05T00:00:00"/>
    <x v="1"/>
    <s v="email@example.com"/>
    <s v="123-456-7890"/>
    <n v="7"/>
    <x v="1"/>
  </r>
  <r>
    <x v="3"/>
    <x v="0"/>
    <x v="0"/>
    <x v="1"/>
    <x v="4"/>
    <x v="3"/>
    <d v="2020-02-20T00:00:00"/>
    <x v="0"/>
    <s v="email@example.com"/>
    <s v="098-765-4321"/>
    <n v="5"/>
    <x v="0"/>
  </r>
  <r>
    <x v="1"/>
    <x v="1"/>
    <x v="3"/>
    <x v="1"/>
    <x v="3"/>
    <x v="4"/>
    <d v="2020-02-20T00:00:00"/>
    <x v="3"/>
    <s v="Email not provided"/>
    <s v="555-555-5555"/>
    <n v="5"/>
    <x v="1"/>
  </r>
  <r>
    <x v="2"/>
    <x v="3"/>
    <x v="1"/>
    <x v="1"/>
    <x v="4"/>
    <x v="3"/>
    <d v="2020-02-20T00:00:00"/>
    <x v="3"/>
    <s v="Email not provided"/>
    <s v="555-555-5555"/>
    <n v="5"/>
    <x v="1"/>
  </r>
  <r>
    <x v="6"/>
    <x v="2"/>
    <x v="2"/>
    <x v="0"/>
    <x v="0"/>
    <x v="0"/>
    <d v="2020-01-15T00:00:00"/>
    <x v="2"/>
    <s v="name@company.org"/>
    <s v="123-456-7890"/>
    <n v="6"/>
    <x v="2"/>
  </r>
  <r>
    <x v="7"/>
    <x v="3"/>
    <x v="1"/>
    <x v="2"/>
    <x v="3"/>
    <x v="3"/>
    <d v="2019-03-25T00:00:00"/>
    <x v="1"/>
    <s v="Email not provided"/>
    <s v="Phone not provided"/>
    <n v="6"/>
    <x v="1"/>
  </r>
  <r>
    <x v="1"/>
    <x v="1"/>
    <x v="4"/>
    <x v="0"/>
    <x v="4"/>
    <x v="2"/>
    <d v="2020-02-20T00:00:00"/>
    <x v="2"/>
    <s v="Email not provided"/>
    <s v="Phone not provided"/>
    <n v="5"/>
    <x v="0"/>
  </r>
  <r>
    <x v="1"/>
    <x v="3"/>
    <x v="4"/>
    <x v="1"/>
    <x v="0"/>
    <x v="4"/>
    <d v="2020-01-15T00:00:00"/>
    <x v="3"/>
    <s v="Email not provided"/>
    <s v="555-555-5555"/>
    <n v="6"/>
    <x v="0"/>
  </r>
  <r>
    <x v="6"/>
    <x v="3"/>
    <x v="2"/>
    <x v="1"/>
    <x v="1"/>
    <x v="3"/>
    <d v="2018-04-05T00:00:00"/>
    <x v="4"/>
    <s v="user@domain.com"/>
    <s v="123-456-7890"/>
    <n v="7"/>
    <x v="2"/>
  </r>
  <r>
    <x v="6"/>
    <x v="1"/>
    <x v="0"/>
    <x v="0"/>
    <x v="1"/>
    <x v="0"/>
    <d v="2019-12-01T00:00:00"/>
    <x v="0"/>
    <s v="user@domain.com"/>
    <s v="Phone not provided"/>
    <n v="6"/>
    <x v="0"/>
  </r>
  <r>
    <x v="8"/>
    <x v="4"/>
    <x v="3"/>
    <x v="0"/>
    <x v="2"/>
    <x v="4"/>
    <d v="2020-01-15T00:00:00"/>
    <x v="1"/>
    <s v="email@example.com"/>
    <s v="Phone not provided"/>
    <n v="6"/>
    <x v="1"/>
  </r>
  <r>
    <x v="2"/>
    <x v="3"/>
    <x v="1"/>
    <x v="1"/>
    <x v="3"/>
    <x v="0"/>
    <d v="2019-12-01T00:00:00"/>
    <x v="4"/>
    <s v="email@example.com"/>
    <s v="555-555-5555"/>
    <n v="6"/>
    <x v="1"/>
  </r>
  <r>
    <x v="6"/>
    <x v="1"/>
    <x v="4"/>
    <x v="1"/>
    <x v="1"/>
    <x v="1"/>
    <d v="2020-02-20T00:00:00"/>
    <x v="0"/>
    <s v="name@company.org"/>
    <s v="123-456-7890"/>
    <n v="5"/>
    <x v="0"/>
  </r>
  <r>
    <x v="5"/>
    <x v="1"/>
    <x v="0"/>
    <x v="1"/>
    <x v="3"/>
    <x v="2"/>
    <d v="2020-02-20T00:00:00"/>
    <x v="1"/>
    <s v="name@company.org"/>
    <s v="123-456-7890"/>
    <n v="5"/>
    <x v="0"/>
  </r>
  <r>
    <x v="9"/>
    <x v="3"/>
    <x v="2"/>
    <x v="0"/>
    <x v="1"/>
    <x v="1"/>
    <d v="2020-01-15T00:00:00"/>
    <x v="1"/>
    <s v="name@company.org"/>
    <s v="123-456-7890"/>
    <n v="6"/>
    <x v="2"/>
  </r>
  <r>
    <x v="7"/>
    <x v="4"/>
    <x v="2"/>
    <x v="1"/>
    <x v="2"/>
    <x v="2"/>
    <d v="2019-12-01T00:00:00"/>
    <x v="3"/>
    <s v="name@company.org"/>
    <s v="555-555-5555"/>
    <n v="6"/>
    <x v="2"/>
  </r>
  <r>
    <x v="2"/>
    <x v="2"/>
    <x v="4"/>
    <x v="1"/>
    <x v="4"/>
    <x v="3"/>
    <d v="2020-02-20T00:00:00"/>
    <x v="4"/>
    <s v="Email not provided"/>
    <s v="Phone not provided"/>
    <n v="5"/>
    <x v="0"/>
  </r>
  <r>
    <x v="4"/>
    <x v="1"/>
    <x v="2"/>
    <x v="2"/>
    <x v="2"/>
    <x v="4"/>
    <d v="2018-04-05T00:00:00"/>
    <x v="1"/>
    <s v="Email not provided"/>
    <s v="123-456-7890"/>
    <n v="7"/>
    <x v="2"/>
  </r>
  <r>
    <x v="5"/>
    <x v="1"/>
    <x v="1"/>
    <x v="0"/>
    <x v="0"/>
    <x v="3"/>
    <d v="2019-03-25T00:00:00"/>
    <x v="1"/>
    <s v="email@example.com"/>
    <s v="Phone not provided"/>
    <n v="6"/>
    <x v="1"/>
  </r>
  <r>
    <x v="3"/>
    <x v="2"/>
    <x v="3"/>
    <x v="2"/>
    <x v="1"/>
    <x v="2"/>
    <d v="2019-03-25T00:00:00"/>
    <x v="0"/>
    <s v="user@domain.com"/>
    <s v="123-456-7890"/>
    <n v="6"/>
    <x v="1"/>
  </r>
  <r>
    <x v="6"/>
    <x v="3"/>
    <x v="4"/>
    <x v="2"/>
    <x v="0"/>
    <x v="2"/>
    <d v="2020-02-20T00:00:00"/>
    <x v="3"/>
    <s v="user@domain.com"/>
    <s v="Phone not provided"/>
    <n v="5"/>
    <x v="0"/>
  </r>
  <r>
    <x v="4"/>
    <x v="2"/>
    <x v="4"/>
    <x v="1"/>
    <x v="0"/>
    <x v="2"/>
    <d v="2019-12-01T00:00:00"/>
    <x v="2"/>
    <s v="Email not provided"/>
    <s v="555-555-5555"/>
    <n v="6"/>
    <x v="0"/>
  </r>
  <r>
    <x v="6"/>
    <x v="0"/>
    <x v="1"/>
    <x v="0"/>
    <x v="3"/>
    <x v="0"/>
    <d v="2020-02-20T00:00:00"/>
    <x v="3"/>
    <s v="Email not provided"/>
    <s v="123-456-7890"/>
    <n v="5"/>
    <x v="1"/>
  </r>
  <r>
    <x v="1"/>
    <x v="1"/>
    <x v="2"/>
    <x v="1"/>
    <x v="1"/>
    <x v="4"/>
    <d v="2019-12-01T00:00:00"/>
    <x v="2"/>
    <s v="name@company.org"/>
    <s v="123-456-7890"/>
    <n v="6"/>
    <x v="2"/>
  </r>
  <r>
    <x v="5"/>
    <x v="3"/>
    <x v="0"/>
    <x v="0"/>
    <x v="0"/>
    <x v="3"/>
    <d v="2018-04-05T00:00:00"/>
    <x v="4"/>
    <s v="name@company.org"/>
    <s v="Phone not provided"/>
    <n v="7"/>
    <x v="0"/>
  </r>
  <r>
    <x v="1"/>
    <x v="1"/>
    <x v="3"/>
    <x v="2"/>
    <x v="4"/>
    <x v="3"/>
    <d v="2019-12-01T00:00:00"/>
    <x v="4"/>
    <s v="Email not provided"/>
    <s v="Phone not provided"/>
    <n v="6"/>
    <x v="1"/>
  </r>
  <r>
    <x v="8"/>
    <x v="4"/>
    <x v="4"/>
    <x v="0"/>
    <x v="0"/>
    <x v="1"/>
    <d v="2020-02-20T00:00:00"/>
    <x v="1"/>
    <s v="user@domain.com"/>
    <s v="123-456-7890"/>
    <n v="5"/>
    <x v="0"/>
  </r>
  <r>
    <x v="1"/>
    <x v="3"/>
    <x v="3"/>
    <x v="1"/>
    <x v="4"/>
    <x v="2"/>
    <d v="2018-04-05T00:00:00"/>
    <x v="4"/>
    <s v="name@company.org"/>
    <s v="123-456-7890"/>
    <n v="7"/>
    <x v="1"/>
  </r>
  <r>
    <x v="8"/>
    <x v="1"/>
    <x v="4"/>
    <x v="1"/>
    <x v="3"/>
    <x v="2"/>
    <d v="2020-01-15T00:00:00"/>
    <x v="1"/>
    <s v="user@domain.com"/>
    <s v="Phone not provided"/>
    <n v="6"/>
    <x v="0"/>
  </r>
  <r>
    <x v="8"/>
    <x v="4"/>
    <x v="3"/>
    <x v="1"/>
    <x v="0"/>
    <x v="2"/>
    <d v="2019-03-25T00:00:00"/>
    <x v="3"/>
    <s v="Email not provided"/>
    <s v="Phone not provided"/>
    <n v="6"/>
    <x v="1"/>
  </r>
  <r>
    <x v="4"/>
    <x v="4"/>
    <x v="2"/>
    <x v="0"/>
    <x v="2"/>
    <x v="3"/>
    <d v="2020-02-20T00:00:00"/>
    <x v="4"/>
    <s v="user@domain.com"/>
    <s v="098-765-4321"/>
    <n v="5"/>
    <x v="2"/>
  </r>
  <r>
    <x v="6"/>
    <x v="3"/>
    <x v="4"/>
    <x v="2"/>
    <x v="3"/>
    <x v="1"/>
    <d v="2020-02-20T00:00:00"/>
    <x v="3"/>
    <s v="user@domain.com"/>
    <s v="098-765-4321"/>
    <n v="5"/>
    <x v="0"/>
  </r>
  <r>
    <x v="3"/>
    <x v="2"/>
    <x v="3"/>
    <x v="2"/>
    <x v="4"/>
    <x v="0"/>
    <d v="2020-02-20T00:00:00"/>
    <x v="3"/>
    <s v="user@domain.com"/>
    <s v="123-456-7890"/>
    <n v="5"/>
    <x v="1"/>
  </r>
  <r>
    <x v="1"/>
    <x v="2"/>
    <x v="0"/>
    <x v="0"/>
    <x v="3"/>
    <x v="4"/>
    <d v="2018-04-05T00:00:00"/>
    <x v="4"/>
    <s v="name@company.org"/>
    <s v="Phone not provided"/>
    <n v="7"/>
    <x v="0"/>
  </r>
  <r>
    <x v="5"/>
    <x v="4"/>
    <x v="2"/>
    <x v="1"/>
    <x v="0"/>
    <x v="0"/>
    <d v="2020-01-15T00:00:00"/>
    <x v="3"/>
    <s v="email@example.com"/>
    <s v="555-555-5555"/>
    <n v="6"/>
    <x v="2"/>
  </r>
  <r>
    <x v="8"/>
    <x v="2"/>
    <x v="2"/>
    <x v="2"/>
    <x v="1"/>
    <x v="3"/>
    <d v="2019-12-01T00:00:00"/>
    <x v="4"/>
    <s v="Email not provided"/>
    <s v="555-555-5555"/>
    <n v="6"/>
    <x v="2"/>
  </r>
  <r>
    <x v="6"/>
    <x v="0"/>
    <x v="0"/>
    <x v="1"/>
    <x v="1"/>
    <x v="2"/>
    <d v="2020-01-15T00:00:00"/>
    <x v="4"/>
    <s v="user@domain.com"/>
    <s v="098-765-4321"/>
    <n v="6"/>
    <x v="0"/>
  </r>
  <r>
    <x v="7"/>
    <x v="4"/>
    <x v="3"/>
    <x v="0"/>
    <x v="4"/>
    <x v="4"/>
    <d v="2018-04-05T00:00:00"/>
    <x v="4"/>
    <s v="user@domain.com"/>
    <s v="Phone not provided"/>
    <n v="7"/>
    <x v="1"/>
  </r>
  <r>
    <x v="2"/>
    <x v="4"/>
    <x v="1"/>
    <x v="1"/>
    <x v="4"/>
    <x v="3"/>
    <d v="2020-02-20T00:00:00"/>
    <x v="2"/>
    <s v="user@domain.com"/>
    <s v="098-765-4321"/>
    <n v="5"/>
    <x v="1"/>
  </r>
  <r>
    <x v="4"/>
    <x v="1"/>
    <x v="0"/>
    <x v="2"/>
    <x v="1"/>
    <x v="3"/>
    <d v="2019-03-25T00:00:00"/>
    <x v="3"/>
    <s v="email@example.com"/>
    <s v="123-456-7890"/>
    <n v="6"/>
    <x v="0"/>
  </r>
  <r>
    <x v="3"/>
    <x v="2"/>
    <x v="3"/>
    <x v="2"/>
    <x v="4"/>
    <x v="3"/>
    <d v="2020-02-20T00:00:00"/>
    <x v="0"/>
    <s v="Email not provided"/>
    <s v="Phone not provided"/>
    <n v="5"/>
    <x v="1"/>
  </r>
  <r>
    <x v="0"/>
    <x v="4"/>
    <x v="0"/>
    <x v="1"/>
    <x v="3"/>
    <x v="4"/>
    <d v="2019-12-01T00:00:00"/>
    <x v="4"/>
    <s v="name@company.org"/>
    <s v="555-555-5555"/>
    <n v="6"/>
    <x v="0"/>
  </r>
  <r>
    <x v="4"/>
    <x v="0"/>
    <x v="0"/>
    <x v="0"/>
    <x v="2"/>
    <x v="4"/>
    <d v="2019-03-25T00:00:00"/>
    <x v="3"/>
    <s v="email@example.com"/>
    <s v="Phone not provided"/>
    <n v="6"/>
    <x v="0"/>
  </r>
  <r>
    <x v="7"/>
    <x v="1"/>
    <x v="4"/>
    <x v="1"/>
    <x v="2"/>
    <x v="1"/>
    <d v="2020-02-20T00:00:00"/>
    <x v="1"/>
    <s v="user@domain.com"/>
    <s v="Phone not provided"/>
    <n v="5"/>
    <x v="0"/>
  </r>
  <r>
    <x v="2"/>
    <x v="3"/>
    <x v="3"/>
    <x v="0"/>
    <x v="3"/>
    <x v="1"/>
    <d v="2019-03-25T00:00:00"/>
    <x v="4"/>
    <s v="email@example.com"/>
    <s v="123-456-7890"/>
    <n v="6"/>
    <x v="1"/>
  </r>
  <r>
    <x v="7"/>
    <x v="4"/>
    <x v="1"/>
    <x v="1"/>
    <x v="2"/>
    <x v="0"/>
    <d v="2020-01-15T00:00:00"/>
    <x v="4"/>
    <s v="email@example.com"/>
    <s v="098-765-4321"/>
    <n v="6"/>
    <x v="1"/>
  </r>
  <r>
    <x v="1"/>
    <x v="0"/>
    <x v="4"/>
    <x v="2"/>
    <x v="0"/>
    <x v="4"/>
    <d v="2018-04-05T00:00:00"/>
    <x v="0"/>
    <s v="email@example.com"/>
    <s v="123-456-7890"/>
    <n v="7"/>
    <x v="0"/>
  </r>
  <r>
    <x v="8"/>
    <x v="1"/>
    <x v="0"/>
    <x v="0"/>
    <x v="3"/>
    <x v="4"/>
    <d v="2020-02-20T00:00:00"/>
    <x v="2"/>
    <s v="Email not provided"/>
    <s v="Phone not provided"/>
    <n v="5"/>
    <x v="0"/>
  </r>
  <r>
    <x v="3"/>
    <x v="0"/>
    <x v="2"/>
    <x v="0"/>
    <x v="4"/>
    <x v="4"/>
    <d v="2019-12-01T00:00:00"/>
    <x v="2"/>
    <s v="Email not provided"/>
    <s v="555-555-5555"/>
    <n v="6"/>
    <x v="2"/>
  </r>
  <r>
    <x v="9"/>
    <x v="0"/>
    <x v="0"/>
    <x v="0"/>
    <x v="3"/>
    <x v="1"/>
    <d v="2020-01-15T00:00:00"/>
    <x v="4"/>
    <s v="name@company.org"/>
    <s v="Phone not provided"/>
    <n v="6"/>
    <x v="0"/>
  </r>
  <r>
    <x v="8"/>
    <x v="1"/>
    <x v="0"/>
    <x v="2"/>
    <x v="1"/>
    <x v="3"/>
    <d v="2020-02-20T00:00:00"/>
    <x v="3"/>
    <s v="Email not provided"/>
    <s v="Phone not provided"/>
    <n v="5"/>
    <x v="0"/>
  </r>
  <r>
    <x v="9"/>
    <x v="3"/>
    <x v="3"/>
    <x v="1"/>
    <x v="4"/>
    <x v="2"/>
    <d v="2020-01-15T00:00:00"/>
    <x v="1"/>
    <s v="Email not provided"/>
    <s v="Phone not provided"/>
    <n v="6"/>
    <x v="1"/>
  </r>
  <r>
    <x v="2"/>
    <x v="1"/>
    <x v="3"/>
    <x v="2"/>
    <x v="1"/>
    <x v="1"/>
    <d v="2019-12-01T00:00:00"/>
    <x v="1"/>
    <s v="Email not provided"/>
    <s v="Phone not provided"/>
    <n v="6"/>
    <x v="1"/>
  </r>
  <r>
    <x v="6"/>
    <x v="2"/>
    <x v="4"/>
    <x v="0"/>
    <x v="4"/>
    <x v="4"/>
    <d v="2020-02-20T00:00:00"/>
    <x v="3"/>
    <s v="Email not provided"/>
    <s v="Phone not provided"/>
    <n v="5"/>
    <x v="0"/>
  </r>
  <r>
    <x v="0"/>
    <x v="2"/>
    <x v="1"/>
    <x v="1"/>
    <x v="2"/>
    <x v="1"/>
    <d v="2019-12-01T00:00:00"/>
    <x v="4"/>
    <s v="email@example.com"/>
    <s v="098-765-4321"/>
    <n v="6"/>
    <x v="1"/>
  </r>
  <r>
    <x v="5"/>
    <x v="0"/>
    <x v="4"/>
    <x v="2"/>
    <x v="3"/>
    <x v="0"/>
    <d v="2019-03-25T00:00:00"/>
    <x v="1"/>
    <s v="email@example.com"/>
    <s v="Phone not provided"/>
    <n v="6"/>
    <x v="0"/>
  </r>
  <r>
    <x v="8"/>
    <x v="1"/>
    <x v="2"/>
    <x v="0"/>
    <x v="0"/>
    <x v="4"/>
    <d v="2019-12-01T00:00:00"/>
    <x v="2"/>
    <s v="user@domain.com"/>
    <s v="123-456-7890"/>
    <n v="6"/>
    <x v="2"/>
  </r>
  <r>
    <x v="3"/>
    <x v="1"/>
    <x v="0"/>
    <x v="0"/>
    <x v="4"/>
    <x v="0"/>
    <d v="2019-03-25T00:00:00"/>
    <x v="3"/>
    <s v="Email not provided"/>
    <s v="Phone not provided"/>
    <n v="6"/>
    <x v="0"/>
  </r>
  <r>
    <x v="7"/>
    <x v="2"/>
    <x v="2"/>
    <x v="2"/>
    <x v="4"/>
    <x v="4"/>
    <d v="2020-02-20T00:00:00"/>
    <x v="0"/>
    <s v="user@domain.com"/>
    <s v="123-456-7890"/>
    <n v="5"/>
    <x v="2"/>
  </r>
  <r>
    <x v="3"/>
    <x v="1"/>
    <x v="0"/>
    <x v="2"/>
    <x v="1"/>
    <x v="1"/>
    <d v="2019-03-25T00:00:00"/>
    <x v="4"/>
    <s v="name@company.org"/>
    <s v="Phone not provided"/>
    <n v="6"/>
    <x v="0"/>
  </r>
  <r>
    <x v="2"/>
    <x v="3"/>
    <x v="0"/>
    <x v="2"/>
    <x v="2"/>
    <x v="3"/>
    <d v="2020-02-20T00:00:00"/>
    <x v="3"/>
    <s v="email@example.com"/>
    <s v="Phone not provided"/>
    <n v="5"/>
    <x v="0"/>
  </r>
  <r>
    <x v="9"/>
    <x v="1"/>
    <x v="4"/>
    <x v="0"/>
    <x v="1"/>
    <x v="2"/>
    <d v="2020-02-20T00:00:00"/>
    <x v="1"/>
    <s v="name@company.org"/>
    <s v="Phone not provided"/>
    <n v="5"/>
    <x v="0"/>
  </r>
  <r>
    <x v="7"/>
    <x v="4"/>
    <x v="2"/>
    <x v="2"/>
    <x v="1"/>
    <x v="0"/>
    <d v="2018-04-05T00:00:00"/>
    <x v="4"/>
    <s v="Email not provided"/>
    <s v="Phone not provided"/>
    <n v="7"/>
    <x v="2"/>
  </r>
  <r>
    <x v="5"/>
    <x v="4"/>
    <x v="2"/>
    <x v="0"/>
    <x v="2"/>
    <x v="1"/>
    <d v="2020-02-20T00:00:00"/>
    <x v="2"/>
    <s v="email@example.com"/>
    <s v="098-765-4321"/>
    <n v="5"/>
    <x v="2"/>
  </r>
  <r>
    <x v="5"/>
    <x v="3"/>
    <x v="2"/>
    <x v="2"/>
    <x v="0"/>
    <x v="3"/>
    <d v="2019-03-25T00:00:00"/>
    <x v="4"/>
    <s v="name@company.org"/>
    <s v="Phone not provided"/>
    <n v="6"/>
    <x v="2"/>
  </r>
  <r>
    <x v="8"/>
    <x v="2"/>
    <x v="4"/>
    <x v="0"/>
    <x v="1"/>
    <x v="1"/>
    <d v="2018-04-05T00:00:00"/>
    <x v="4"/>
    <s v="Email not provided"/>
    <s v="123-456-7890"/>
    <n v="7"/>
    <x v="0"/>
  </r>
  <r>
    <x v="2"/>
    <x v="3"/>
    <x v="0"/>
    <x v="0"/>
    <x v="1"/>
    <x v="0"/>
    <d v="2018-04-05T00:00:00"/>
    <x v="2"/>
    <s v="name@company.org"/>
    <s v="123-456-7890"/>
    <n v="7"/>
    <x v="0"/>
  </r>
  <r>
    <x v="6"/>
    <x v="1"/>
    <x v="4"/>
    <x v="1"/>
    <x v="4"/>
    <x v="2"/>
    <d v="2020-02-20T00:00:00"/>
    <x v="2"/>
    <s v="Email not provided"/>
    <s v="Phone not provided"/>
    <n v="5"/>
    <x v="0"/>
  </r>
  <r>
    <x v="2"/>
    <x v="4"/>
    <x v="3"/>
    <x v="2"/>
    <x v="2"/>
    <x v="1"/>
    <d v="2019-12-01T00:00:00"/>
    <x v="4"/>
    <s v="Email not provided"/>
    <s v="098-765-4321"/>
    <n v="6"/>
    <x v="1"/>
  </r>
  <r>
    <x v="9"/>
    <x v="0"/>
    <x v="3"/>
    <x v="2"/>
    <x v="3"/>
    <x v="4"/>
    <d v="2019-12-01T00:00:00"/>
    <x v="2"/>
    <s v="email@example.com"/>
    <s v="098-765-4321"/>
    <n v="6"/>
    <x v="1"/>
  </r>
  <r>
    <x v="3"/>
    <x v="0"/>
    <x v="4"/>
    <x v="0"/>
    <x v="0"/>
    <x v="3"/>
    <d v="2018-04-05T00:00:00"/>
    <x v="3"/>
    <s v="user@domain.com"/>
    <s v="098-765-4321"/>
    <n v="7"/>
    <x v="0"/>
  </r>
  <r>
    <x v="5"/>
    <x v="2"/>
    <x v="2"/>
    <x v="0"/>
    <x v="0"/>
    <x v="1"/>
    <d v="2020-02-20T00:00:00"/>
    <x v="2"/>
    <s v="Email not provided"/>
    <s v="123-456-7890"/>
    <n v="5"/>
    <x v="2"/>
  </r>
  <r>
    <x v="3"/>
    <x v="1"/>
    <x v="0"/>
    <x v="0"/>
    <x v="2"/>
    <x v="3"/>
    <d v="2019-12-01T00:00:00"/>
    <x v="2"/>
    <s v="Email not provided"/>
    <s v="Phone not provided"/>
    <n v="6"/>
    <x v="0"/>
  </r>
  <r>
    <x v="3"/>
    <x v="1"/>
    <x v="4"/>
    <x v="1"/>
    <x v="4"/>
    <x v="4"/>
    <d v="2020-02-20T00:00:00"/>
    <x v="4"/>
    <s v="email@example.com"/>
    <s v="098-765-4321"/>
    <n v="5"/>
    <x v="0"/>
  </r>
  <r>
    <x v="3"/>
    <x v="1"/>
    <x v="4"/>
    <x v="1"/>
    <x v="4"/>
    <x v="2"/>
    <d v="2020-02-20T00:00:00"/>
    <x v="3"/>
    <s v="user@domain.com"/>
    <s v="123-456-7890"/>
    <n v="5"/>
    <x v="0"/>
  </r>
  <r>
    <x v="5"/>
    <x v="0"/>
    <x v="4"/>
    <x v="0"/>
    <x v="2"/>
    <x v="2"/>
    <d v="2018-04-05T00:00:00"/>
    <x v="0"/>
    <s v="Email not provided"/>
    <s v="123-456-7890"/>
    <n v="7"/>
    <x v="0"/>
  </r>
  <r>
    <x v="4"/>
    <x v="0"/>
    <x v="2"/>
    <x v="2"/>
    <x v="4"/>
    <x v="4"/>
    <d v="2018-04-05T00:00:00"/>
    <x v="0"/>
    <s v="Email not provided"/>
    <s v="Phone not provided"/>
    <n v="7"/>
    <x v="2"/>
  </r>
  <r>
    <x v="1"/>
    <x v="4"/>
    <x v="3"/>
    <x v="2"/>
    <x v="0"/>
    <x v="3"/>
    <d v="2020-01-15T00:00:00"/>
    <x v="1"/>
    <s v="user@domain.com"/>
    <s v="Phone not provided"/>
    <n v="6"/>
    <x v="1"/>
  </r>
  <r>
    <x v="9"/>
    <x v="1"/>
    <x v="2"/>
    <x v="1"/>
    <x v="0"/>
    <x v="1"/>
    <d v="2019-12-01T00:00:00"/>
    <x v="2"/>
    <s v="name@company.org"/>
    <s v="Phone not provided"/>
    <n v="6"/>
    <x v="2"/>
  </r>
  <r>
    <x v="4"/>
    <x v="1"/>
    <x v="1"/>
    <x v="1"/>
    <x v="3"/>
    <x v="4"/>
    <d v="2019-12-01T00:00:00"/>
    <x v="2"/>
    <s v="email@example.com"/>
    <s v="098-765-4321"/>
    <n v="6"/>
    <x v="1"/>
  </r>
  <r>
    <x v="9"/>
    <x v="0"/>
    <x v="2"/>
    <x v="0"/>
    <x v="2"/>
    <x v="0"/>
    <d v="2019-12-01T00:00:00"/>
    <x v="3"/>
    <s v="user@domain.com"/>
    <s v="098-765-4321"/>
    <n v="6"/>
    <x v="2"/>
  </r>
  <r>
    <x v="7"/>
    <x v="1"/>
    <x v="1"/>
    <x v="2"/>
    <x v="1"/>
    <x v="3"/>
    <d v="2019-03-25T00:00:00"/>
    <x v="0"/>
    <s v="Email not provided"/>
    <s v="Phone not provided"/>
    <n v="6"/>
    <x v="1"/>
  </r>
  <r>
    <x v="2"/>
    <x v="2"/>
    <x v="2"/>
    <x v="0"/>
    <x v="1"/>
    <x v="2"/>
    <d v="2020-02-20T00:00:00"/>
    <x v="1"/>
    <s v="Email not provided"/>
    <s v="098-765-4321"/>
    <n v="5"/>
    <x v="2"/>
  </r>
  <r>
    <x v="2"/>
    <x v="2"/>
    <x v="4"/>
    <x v="1"/>
    <x v="3"/>
    <x v="4"/>
    <d v="2018-04-05T00:00:00"/>
    <x v="3"/>
    <s v="Email not provided"/>
    <s v="Phone not provided"/>
    <n v="7"/>
    <x v="0"/>
  </r>
  <r>
    <x v="0"/>
    <x v="1"/>
    <x v="2"/>
    <x v="2"/>
    <x v="3"/>
    <x v="2"/>
    <d v="2019-12-01T00:00:00"/>
    <x v="2"/>
    <s v="Email not provided"/>
    <s v="123-456-7890"/>
    <n v="6"/>
    <x v="2"/>
  </r>
  <r>
    <x v="2"/>
    <x v="2"/>
    <x v="2"/>
    <x v="2"/>
    <x v="4"/>
    <x v="3"/>
    <d v="2020-01-15T00:00:00"/>
    <x v="0"/>
    <s v="email@example.com"/>
    <s v="098-765-4321"/>
    <n v="6"/>
    <x v="2"/>
  </r>
  <r>
    <x v="5"/>
    <x v="0"/>
    <x v="0"/>
    <x v="1"/>
    <x v="3"/>
    <x v="2"/>
    <d v="2019-12-01T00:00:00"/>
    <x v="1"/>
    <s v="Email not provided"/>
    <s v="123-456-7890"/>
    <n v="6"/>
    <x v="0"/>
  </r>
  <r>
    <x v="6"/>
    <x v="0"/>
    <x v="3"/>
    <x v="0"/>
    <x v="3"/>
    <x v="4"/>
    <d v="2020-02-20T00:00:00"/>
    <x v="4"/>
    <s v="user@domain.com"/>
    <s v="555-555-5555"/>
    <n v="5"/>
    <x v="1"/>
  </r>
  <r>
    <x v="8"/>
    <x v="1"/>
    <x v="1"/>
    <x v="0"/>
    <x v="1"/>
    <x v="3"/>
    <d v="2020-02-20T00:00:00"/>
    <x v="0"/>
    <s v="Email not provided"/>
    <s v="Phone not provided"/>
    <n v="5"/>
    <x v="1"/>
  </r>
  <r>
    <x v="0"/>
    <x v="1"/>
    <x v="4"/>
    <x v="2"/>
    <x v="4"/>
    <x v="0"/>
    <d v="2018-04-05T00:00:00"/>
    <x v="1"/>
    <s v="name@company.org"/>
    <s v="555-555-5555"/>
    <n v="7"/>
    <x v="0"/>
  </r>
  <r>
    <x v="8"/>
    <x v="4"/>
    <x v="1"/>
    <x v="1"/>
    <x v="3"/>
    <x v="4"/>
    <d v="2019-03-25T00:00:00"/>
    <x v="3"/>
    <s v="user@domain.com"/>
    <s v="098-765-4321"/>
    <n v="6"/>
    <x v="1"/>
  </r>
  <r>
    <x v="9"/>
    <x v="1"/>
    <x v="2"/>
    <x v="2"/>
    <x v="3"/>
    <x v="1"/>
    <d v="2018-04-05T00:00:00"/>
    <x v="4"/>
    <s v="email@example.com"/>
    <s v="123-456-7890"/>
    <n v="7"/>
    <x v="2"/>
  </r>
  <r>
    <x v="8"/>
    <x v="1"/>
    <x v="1"/>
    <x v="1"/>
    <x v="4"/>
    <x v="4"/>
    <d v="2019-12-01T00:00:00"/>
    <x v="1"/>
    <s v="user@domain.com"/>
    <s v="098-765-4321"/>
    <n v="6"/>
    <x v="1"/>
  </r>
  <r>
    <x v="8"/>
    <x v="2"/>
    <x v="2"/>
    <x v="0"/>
    <x v="2"/>
    <x v="3"/>
    <d v="2020-01-15T00:00:00"/>
    <x v="1"/>
    <s v="name@company.org"/>
    <s v="555-555-5555"/>
    <n v="6"/>
    <x v="2"/>
  </r>
  <r>
    <x v="0"/>
    <x v="1"/>
    <x v="3"/>
    <x v="1"/>
    <x v="4"/>
    <x v="4"/>
    <d v="2018-04-05T00:00:00"/>
    <x v="2"/>
    <s v="email@example.com"/>
    <s v="098-765-4321"/>
    <n v="7"/>
    <x v="1"/>
  </r>
  <r>
    <x v="7"/>
    <x v="3"/>
    <x v="2"/>
    <x v="0"/>
    <x v="1"/>
    <x v="0"/>
    <d v="2019-03-25T00:00:00"/>
    <x v="0"/>
    <s v="Email not provided"/>
    <s v="Phone not provided"/>
    <n v="6"/>
    <x v="2"/>
  </r>
  <r>
    <x v="3"/>
    <x v="4"/>
    <x v="1"/>
    <x v="1"/>
    <x v="2"/>
    <x v="0"/>
    <d v="2018-04-05T00:00:00"/>
    <x v="2"/>
    <s v="name@company.org"/>
    <s v="555-555-5555"/>
    <n v="7"/>
    <x v="1"/>
  </r>
  <r>
    <x v="2"/>
    <x v="3"/>
    <x v="1"/>
    <x v="2"/>
    <x v="0"/>
    <x v="1"/>
    <d v="2020-02-20T00:00:00"/>
    <x v="4"/>
    <s v="email@example.com"/>
    <s v="098-765-4321"/>
    <n v="5"/>
    <x v="1"/>
  </r>
  <r>
    <x v="2"/>
    <x v="0"/>
    <x v="2"/>
    <x v="0"/>
    <x v="4"/>
    <x v="2"/>
    <d v="2019-12-01T00:00:00"/>
    <x v="1"/>
    <s v="Email not provided"/>
    <s v="123-456-7890"/>
    <n v="6"/>
    <x v="2"/>
  </r>
  <r>
    <x v="5"/>
    <x v="2"/>
    <x v="2"/>
    <x v="2"/>
    <x v="1"/>
    <x v="3"/>
    <d v="2019-12-01T00:00:00"/>
    <x v="2"/>
    <s v="user@domain.com"/>
    <s v="098-765-4321"/>
    <n v="6"/>
    <x v="2"/>
  </r>
  <r>
    <x v="0"/>
    <x v="1"/>
    <x v="3"/>
    <x v="2"/>
    <x v="2"/>
    <x v="3"/>
    <d v="2019-12-01T00:00:00"/>
    <x v="0"/>
    <s v="email@example.com"/>
    <s v="123-456-7890"/>
    <n v="6"/>
    <x v="1"/>
  </r>
  <r>
    <x v="5"/>
    <x v="3"/>
    <x v="0"/>
    <x v="0"/>
    <x v="4"/>
    <x v="2"/>
    <d v="2019-12-01T00:00:00"/>
    <x v="4"/>
    <s v="user@domain.com"/>
    <s v="Phone not provided"/>
    <n v="6"/>
    <x v="0"/>
  </r>
  <r>
    <x v="6"/>
    <x v="2"/>
    <x v="4"/>
    <x v="0"/>
    <x v="3"/>
    <x v="0"/>
    <d v="2019-12-01T00:00:00"/>
    <x v="3"/>
    <s v="Email not provided"/>
    <s v="098-765-4321"/>
    <n v="6"/>
    <x v="0"/>
  </r>
  <r>
    <x v="6"/>
    <x v="0"/>
    <x v="1"/>
    <x v="2"/>
    <x v="4"/>
    <x v="0"/>
    <d v="2019-12-01T00:00:00"/>
    <x v="2"/>
    <s v="email@example.com"/>
    <s v="Phone not provided"/>
    <n v="6"/>
    <x v="1"/>
  </r>
  <r>
    <x v="5"/>
    <x v="1"/>
    <x v="4"/>
    <x v="2"/>
    <x v="0"/>
    <x v="4"/>
    <d v="2020-01-15T00:00:00"/>
    <x v="4"/>
    <s v="Email not provided"/>
    <s v="555-555-5555"/>
    <n v="6"/>
    <x v="0"/>
  </r>
  <r>
    <x v="0"/>
    <x v="4"/>
    <x v="0"/>
    <x v="2"/>
    <x v="4"/>
    <x v="1"/>
    <d v="2019-03-25T00:00:00"/>
    <x v="3"/>
    <s v="name@company.org"/>
    <s v="123-456-7890"/>
    <n v="6"/>
    <x v="0"/>
  </r>
  <r>
    <x v="5"/>
    <x v="2"/>
    <x v="4"/>
    <x v="2"/>
    <x v="2"/>
    <x v="1"/>
    <d v="2019-12-01T00:00:00"/>
    <x v="2"/>
    <s v="email@example.com"/>
    <s v="555-555-5555"/>
    <n v="6"/>
    <x v="0"/>
  </r>
  <r>
    <x v="2"/>
    <x v="2"/>
    <x v="0"/>
    <x v="0"/>
    <x v="2"/>
    <x v="1"/>
    <d v="2019-03-25T00:00:00"/>
    <x v="4"/>
    <s v="Email not provided"/>
    <s v="123-456-7890"/>
    <n v="6"/>
    <x v="0"/>
  </r>
  <r>
    <x v="4"/>
    <x v="1"/>
    <x v="2"/>
    <x v="0"/>
    <x v="4"/>
    <x v="4"/>
    <d v="2019-12-01T00:00:00"/>
    <x v="4"/>
    <s v="email@example.com"/>
    <s v="Phone not provided"/>
    <n v="6"/>
    <x v="2"/>
  </r>
  <r>
    <x v="1"/>
    <x v="2"/>
    <x v="2"/>
    <x v="2"/>
    <x v="2"/>
    <x v="1"/>
    <d v="2018-04-05T00:00:00"/>
    <x v="2"/>
    <s v="user@domain.com"/>
    <s v="Phone not provided"/>
    <n v="7"/>
    <x v="2"/>
  </r>
  <r>
    <x v="8"/>
    <x v="0"/>
    <x v="1"/>
    <x v="1"/>
    <x v="3"/>
    <x v="2"/>
    <d v="2019-12-01T00:00:00"/>
    <x v="4"/>
    <s v="email@example.com"/>
    <s v="098-765-4321"/>
    <n v="6"/>
    <x v="1"/>
  </r>
  <r>
    <x v="1"/>
    <x v="0"/>
    <x v="0"/>
    <x v="1"/>
    <x v="4"/>
    <x v="4"/>
    <d v="2020-02-20T00:00:00"/>
    <x v="1"/>
    <s v="Email not provided"/>
    <s v="Phone not provided"/>
    <n v="5"/>
    <x v="0"/>
  </r>
  <r>
    <x v="0"/>
    <x v="1"/>
    <x v="4"/>
    <x v="0"/>
    <x v="3"/>
    <x v="2"/>
    <d v="2020-01-15T00:00:00"/>
    <x v="2"/>
    <s v="email@example.com"/>
    <s v="123-456-7890"/>
    <n v="6"/>
    <x v="0"/>
  </r>
  <r>
    <x v="1"/>
    <x v="4"/>
    <x v="1"/>
    <x v="2"/>
    <x v="3"/>
    <x v="4"/>
    <d v="2018-04-05T00:00:00"/>
    <x v="4"/>
    <s v="name@company.org"/>
    <s v="123-456-7890"/>
    <n v="7"/>
    <x v="1"/>
  </r>
  <r>
    <x v="6"/>
    <x v="1"/>
    <x v="2"/>
    <x v="2"/>
    <x v="1"/>
    <x v="1"/>
    <d v="2018-04-05T00:00:00"/>
    <x v="3"/>
    <s v="email@example.com"/>
    <s v="123-456-7890"/>
    <n v="7"/>
    <x v="2"/>
  </r>
  <r>
    <x v="9"/>
    <x v="3"/>
    <x v="2"/>
    <x v="0"/>
    <x v="4"/>
    <x v="2"/>
    <d v="2020-02-20T00:00:00"/>
    <x v="3"/>
    <s v="user@domain.com"/>
    <s v="123-456-7890"/>
    <n v="5"/>
    <x v="2"/>
  </r>
  <r>
    <x v="8"/>
    <x v="1"/>
    <x v="1"/>
    <x v="1"/>
    <x v="2"/>
    <x v="2"/>
    <d v="2019-12-01T00:00:00"/>
    <x v="1"/>
    <s v="email@example.com"/>
    <s v="098-765-4321"/>
    <n v="6"/>
    <x v="1"/>
  </r>
  <r>
    <x v="3"/>
    <x v="2"/>
    <x v="0"/>
    <x v="1"/>
    <x v="3"/>
    <x v="2"/>
    <d v="2020-01-15T00:00:00"/>
    <x v="2"/>
    <s v="Email not provided"/>
    <s v="555-555-5555"/>
    <n v="6"/>
    <x v="0"/>
  </r>
  <r>
    <x v="0"/>
    <x v="3"/>
    <x v="2"/>
    <x v="1"/>
    <x v="1"/>
    <x v="4"/>
    <d v="2018-04-05T00:00:00"/>
    <x v="4"/>
    <s v="Email not provided"/>
    <s v="Phone not provided"/>
    <n v="7"/>
    <x v="2"/>
  </r>
  <r>
    <x v="8"/>
    <x v="1"/>
    <x v="4"/>
    <x v="0"/>
    <x v="4"/>
    <x v="3"/>
    <d v="2020-01-15T00:00:00"/>
    <x v="4"/>
    <s v="email@example.com"/>
    <s v="098-765-4321"/>
    <n v="6"/>
    <x v="0"/>
  </r>
  <r>
    <x v="1"/>
    <x v="1"/>
    <x v="2"/>
    <x v="1"/>
    <x v="4"/>
    <x v="1"/>
    <d v="2018-04-05T00:00:00"/>
    <x v="3"/>
    <s v="email@example.com"/>
    <s v="123-456-7890"/>
    <n v="7"/>
    <x v="2"/>
  </r>
  <r>
    <x v="6"/>
    <x v="4"/>
    <x v="2"/>
    <x v="0"/>
    <x v="0"/>
    <x v="2"/>
    <d v="2019-12-01T00:00:00"/>
    <x v="1"/>
    <s v="name@company.org"/>
    <s v="098-765-4321"/>
    <n v="6"/>
    <x v="2"/>
  </r>
  <r>
    <x v="7"/>
    <x v="3"/>
    <x v="3"/>
    <x v="0"/>
    <x v="0"/>
    <x v="3"/>
    <d v="2018-04-05T00:00:00"/>
    <x v="3"/>
    <s v="Email not provided"/>
    <s v="Phone not provided"/>
    <n v="7"/>
    <x v="1"/>
  </r>
  <r>
    <x v="4"/>
    <x v="0"/>
    <x v="2"/>
    <x v="2"/>
    <x v="3"/>
    <x v="1"/>
    <d v="2018-04-05T00:00:00"/>
    <x v="3"/>
    <s v="Email not provided"/>
    <s v="123-456-7890"/>
    <n v="7"/>
    <x v="2"/>
  </r>
  <r>
    <x v="3"/>
    <x v="3"/>
    <x v="2"/>
    <x v="1"/>
    <x v="0"/>
    <x v="1"/>
    <d v="2019-03-25T00:00:00"/>
    <x v="1"/>
    <s v="user@domain.com"/>
    <s v="Phone not provided"/>
    <n v="6"/>
    <x v="2"/>
  </r>
  <r>
    <x v="4"/>
    <x v="2"/>
    <x v="1"/>
    <x v="0"/>
    <x v="3"/>
    <x v="2"/>
    <d v="2019-12-01T00:00:00"/>
    <x v="2"/>
    <s v="email@example.com"/>
    <s v="123-456-7890"/>
    <n v="6"/>
    <x v="1"/>
  </r>
  <r>
    <x v="8"/>
    <x v="0"/>
    <x v="4"/>
    <x v="1"/>
    <x v="2"/>
    <x v="2"/>
    <d v="2020-02-20T00:00:00"/>
    <x v="4"/>
    <s v="Email not provided"/>
    <s v="Phone not provided"/>
    <n v="5"/>
    <x v="0"/>
  </r>
  <r>
    <x v="6"/>
    <x v="1"/>
    <x v="1"/>
    <x v="1"/>
    <x v="3"/>
    <x v="4"/>
    <d v="2020-02-20T00:00:00"/>
    <x v="2"/>
    <s v="user@domain.com"/>
    <s v="Phone not provided"/>
    <n v="5"/>
    <x v="1"/>
  </r>
  <r>
    <x v="6"/>
    <x v="3"/>
    <x v="1"/>
    <x v="2"/>
    <x v="0"/>
    <x v="3"/>
    <d v="2019-12-01T00:00:00"/>
    <x v="0"/>
    <s v="Email not provided"/>
    <s v="555-555-5555"/>
    <n v="6"/>
    <x v="1"/>
  </r>
  <r>
    <x v="1"/>
    <x v="1"/>
    <x v="0"/>
    <x v="1"/>
    <x v="2"/>
    <x v="3"/>
    <d v="2020-02-20T00:00:00"/>
    <x v="0"/>
    <s v="Email not provided"/>
    <s v="555-555-5555"/>
    <n v="5"/>
    <x v="0"/>
  </r>
  <r>
    <x v="2"/>
    <x v="4"/>
    <x v="1"/>
    <x v="2"/>
    <x v="0"/>
    <x v="2"/>
    <d v="2019-12-01T00:00:00"/>
    <x v="0"/>
    <s v="Email not provided"/>
    <s v="098-765-4321"/>
    <n v="6"/>
    <x v="1"/>
  </r>
  <r>
    <x v="1"/>
    <x v="1"/>
    <x v="3"/>
    <x v="0"/>
    <x v="3"/>
    <x v="1"/>
    <d v="2020-02-20T00:00:00"/>
    <x v="1"/>
    <s v="user@domain.com"/>
    <s v="098-765-4321"/>
    <n v="5"/>
    <x v="1"/>
  </r>
  <r>
    <x v="2"/>
    <x v="4"/>
    <x v="3"/>
    <x v="1"/>
    <x v="1"/>
    <x v="2"/>
    <d v="2019-03-25T00:00:00"/>
    <x v="3"/>
    <s v="Email not provided"/>
    <s v="Phone not provided"/>
    <n v="6"/>
    <x v="1"/>
  </r>
  <r>
    <x v="2"/>
    <x v="2"/>
    <x v="0"/>
    <x v="0"/>
    <x v="4"/>
    <x v="1"/>
    <d v="2020-02-20T00:00:00"/>
    <x v="2"/>
    <s v="Email not provided"/>
    <s v="123-456-7890"/>
    <n v="5"/>
    <x v="0"/>
  </r>
  <r>
    <x v="3"/>
    <x v="1"/>
    <x v="2"/>
    <x v="1"/>
    <x v="0"/>
    <x v="1"/>
    <d v="2018-04-05T00:00:00"/>
    <x v="4"/>
    <s v="Email not provided"/>
    <s v="Phone not provided"/>
    <n v="7"/>
    <x v="2"/>
  </r>
  <r>
    <x v="1"/>
    <x v="3"/>
    <x v="4"/>
    <x v="0"/>
    <x v="3"/>
    <x v="2"/>
    <d v="2019-12-01T00:00:00"/>
    <x v="0"/>
    <s v="Email not provided"/>
    <s v="Phone not provided"/>
    <n v="6"/>
    <x v="0"/>
  </r>
  <r>
    <x v="7"/>
    <x v="3"/>
    <x v="4"/>
    <x v="1"/>
    <x v="2"/>
    <x v="0"/>
    <d v="2020-01-15T00:00:00"/>
    <x v="2"/>
    <s v="Email not provided"/>
    <s v="123-456-7890"/>
    <n v="6"/>
    <x v="0"/>
  </r>
  <r>
    <x v="5"/>
    <x v="1"/>
    <x v="1"/>
    <x v="1"/>
    <x v="0"/>
    <x v="3"/>
    <d v="2020-01-15T00:00:00"/>
    <x v="0"/>
    <s v="name@company.org"/>
    <s v="123-456-7890"/>
    <n v="6"/>
    <x v="1"/>
  </r>
  <r>
    <x v="5"/>
    <x v="3"/>
    <x v="1"/>
    <x v="1"/>
    <x v="0"/>
    <x v="1"/>
    <d v="2019-12-01T00:00:00"/>
    <x v="0"/>
    <s v="user@domain.com"/>
    <s v="555-555-5555"/>
    <n v="6"/>
    <x v="1"/>
  </r>
  <r>
    <x v="1"/>
    <x v="2"/>
    <x v="2"/>
    <x v="1"/>
    <x v="4"/>
    <x v="1"/>
    <d v="2019-03-25T00:00:00"/>
    <x v="4"/>
    <s v="Email not provided"/>
    <s v="Phone not provided"/>
    <n v="6"/>
    <x v="2"/>
  </r>
  <r>
    <x v="1"/>
    <x v="0"/>
    <x v="1"/>
    <x v="1"/>
    <x v="3"/>
    <x v="0"/>
    <d v="2020-02-20T00:00:00"/>
    <x v="1"/>
    <s v="Email not provided"/>
    <s v="Phone not provided"/>
    <n v="5"/>
    <x v="1"/>
  </r>
  <r>
    <x v="4"/>
    <x v="2"/>
    <x v="4"/>
    <x v="1"/>
    <x v="1"/>
    <x v="4"/>
    <d v="2019-03-25T00:00:00"/>
    <x v="3"/>
    <s v="user@domain.com"/>
    <s v="098-765-4321"/>
    <n v="6"/>
    <x v="0"/>
  </r>
  <r>
    <x v="3"/>
    <x v="4"/>
    <x v="2"/>
    <x v="1"/>
    <x v="2"/>
    <x v="0"/>
    <d v="2020-01-15T00:00:00"/>
    <x v="1"/>
    <s v="user@domain.com"/>
    <s v="555-555-5555"/>
    <n v="6"/>
    <x v="2"/>
  </r>
  <r>
    <x v="1"/>
    <x v="2"/>
    <x v="3"/>
    <x v="1"/>
    <x v="3"/>
    <x v="0"/>
    <d v="2019-12-01T00:00:00"/>
    <x v="2"/>
    <s v="user@domain.com"/>
    <s v="Phone not provided"/>
    <n v="6"/>
    <x v="1"/>
  </r>
  <r>
    <x v="4"/>
    <x v="4"/>
    <x v="2"/>
    <x v="1"/>
    <x v="2"/>
    <x v="1"/>
    <d v="2019-12-01T00:00:00"/>
    <x v="1"/>
    <s v="user@domain.com"/>
    <s v="123-456-7890"/>
    <n v="6"/>
    <x v="2"/>
  </r>
  <r>
    <x v="2"/>
    <x v="3"/>
    <x v="2"/>
    <x v="0"/>
    <x v="0"/>
    <x v="3"/>
    <d v="2019-03-25T00:00:00"/>
    <x v="2"/>
    <s v="email@example.com"/>
    <s v="Phone not provided"/>
    <n v="6"/>
    <x v="2"/>
  </r>
  <r>
    <x v="6"/>
    <x v="0"/>
    <x v="4"/>
    <x v="2"/>
    <x v="4"/>
    <x v="0"/>
    <d v="2019-03-25T00:00:00"/>
    <x v="2"/>
    <s v="Email not provided"/>
    <s v="Phone not provided"/>
    <n v="6"/>
    <x v="0"/>
  </r>
  <r>
    <x v="6"/>
    <x v="3"/>
    <x v="2"/>
    <x v="1"/>
    <x v="4"/>
    <x v="4"/>
    <d v="2020-02-20T00:00:00"/>
    <x v="3"/>
    <s v="email@example.com"/>
    <s v="555-555-5555"/>
    <n v="5"/>
    <x v="2"/>
  </r>
  <r>
    <x v="2"/>
    <x v="1"/>
    <x v="2"/>
    <x v="2"/>
    <x v="1"/>
    <x v="2"/>
    <d v="2018-04-05T00:00:00"/>
    <x v="4"/>
    <s v="Email not provided"/>
    <s v="123-456-7890"/>
    <n v="7"/>
    <x v="2"/>
  </r>
  <r>
    <x v="0"/>
    <x v="3"/>
    <x v="0"/>
    <x v="1"/>
    <x v="4"/>
    <x v="0"/>
    <d v="2018-04-05T00:00:00"/>
    <x v="3"/>
    <s v="Email not provided"/>
    <s v="Phone not provided"/>
    <n v="7"/>
    <x v="0"/>
  </r>
  <r>
    <x v="4"/>
    <x v="4"/>
    <x v="1"/>
    <x v="1"/>
    <x v="0"/>
    <x v="0"/>
    <d v="2020-02-20T00:00:00"/>
    <x v="1"/>
    <s v="Email not provided"/>
    <s v="098-765-4321"/>
    <n v="5"/>
    <x v="1"/>
  </r>
  <r>
    <x v="4"/>
    <x v="3"/>
    <x v="0"/>
    <x v="0"/>
    <x v="1"/>
    <x v="4"/>
    <d v="2018-04-05T00:00:00"/>
    <x v="2"/>
    <s v="Email not provided"/>
    <s v="555-555-5555"/>
    <n v="7"/>
    <x v="0"/>
  </r>
  <r>
    <x v="2"/>
    <x v="3"/>
    <x v="3"/>
    <x v="0"/>
    <x v="3"/>
    <x v="3"/>
    <d v="2020-01-15T00:00:00"/>
    <x v="0"/>
    <s v="user@domain.com"/>
    <s v="Phone not provided"/>
    <n v="6"/>
    <x v="1"/>
  </r>
  <r>
    <x v="7"/>
    <x v="0"/>
    <x v="1"/>
    <x v="2"/>
    <x v="4"/>
    <x v="0"/>
    <d v="2018-04-05T00:00:00"/>
    <x v="0"/>
    <s v="email@example.com"/>
    <s v="Phone not provided"/>
    <n v="7"/>
    <x v="1"/>
  </r>
  <r>
    <x v="9"/>
    <x v="3"/>
    <x v="2"/>
    <x v="0"/>
    <x v="1"/>
    <x v="0"/>
    <d v="2020-02-20T00:00:00"/>
    <x v="2"/>
    <s v="user@domain.com"/>
    <s v="123-456-7890"/>
    <n v="5"/>
    <x v="2"/>
  </r>
</pivotCacheRecords>
</file>

<file path=xl/pivotCache/pivotCacheRecords2.xml><?xml version="1.0" encoding="utf-8"?>
<pivotCacheRecords xmlns="http://schemas.openxmlformats.org/spreadsheetml/2006/main" xmlns:r="http://schemas.openxmlformats.org/officeDocument/2006/relationships" count="1000">
  <r>
    <x v="0"/>
    <n v="25"/>
    <n v="50000"/>
    <x v="0"/>
    <x v="0"/>
    <s v="Manager"/>
    <d v="2018-04-05T00:00:00"/>
    <x v="0"/>
    <s v="email@example.com"/>
    <s v="Phone not provided"/>
    <n v="7"/>
    <s v="Low"/>
    <x v="0"/>
  </r>
  <r>
    <x v="1"/>
    <n v="35"/>
    <n v="65000"/>
    <x v="1"/>
    <x v="1"/>
    <s v="Director"/>
    <d v="2020-02-20T00:00:00"/>
    <x v="1"/>
    <s v="user@domain.com"/>
    <s v="123-456-7890"/>
    <n v="5"/>
    <s v="High"/>
    <x v="1"/>
  </r>
  <r>
    <x v="2"/>
    <n v="35"/>
    <n v="60000"/>
    <x v="1"/>
    <x v="2"/>
    <s v="Director"/>
    <d v="2020-01-15T00:00:00"/>
    <x v="2"/>
    <s v="email@example.com"/>
    <s v="098-765-4321"/>
    <n v="6"/>
    <s v="Medium"/>
    <x v="2"/>
  </r>
  <r>
    <x v="3"/>
    <n v="35"/>
    <n v="50000"/>
    <x v="1"/>
    <x v="3"/>
    <s v="Manager"/>
    <d v="2018-04-05T00:00:00"/>
    <x v="3"/>
    <s v="name@company.org"/>
    <s v="Phone not provided"/>
    <n v="7"/>
    <s v="Low"/>
    <x v="3"/>
  </r>
  <r>
    <x v="0"/>
    <n v="35"/>
    <n v="60000"/>
    <x v="1"/>
    <x v="1"/>
    <s v="Manager"/>
    <d v="2020-01-15T00:00:00"/>
    <x v="1"/>
    <s v="name@company.org"/>
    <s v="098-765-4321"/>
    <n v="6"/>
    <s v="Medium"/>
    <x v="1"/>
  </r>
  <r>
    <x v="4"/>
    <n v="35"/>
    <n v="65000"/>
    <x v="2"/>
    <x v="4"/>
    <s v="Director"/>
    <d v="2019-03-25T00:00:00"/>
    <x v="1"/>
    <s v="user@domain.com"/>
    <s v="Phone not provided"/>
    <n v="6"/>
    <s v="High"/>
    <x v="1"/>
  </r>
  <r>
    <x v="5"/>
    <n v="35"/>
    <n v="50000"/>
    <x v="0"/>
    <x v="4"/>
    <s v="Clerk"/>
    <d v="2019-12-01T00:00:00"/>
    <x v="4"/>
    <s v="Email not provided"/>
    <s v="123-456-7890"/>
    <n v="6"/>
    <s v="Low"/>
    <x v="4"/>
  </r>
  <r>
    <x v="0"/>
    <n v="40"/>
    <n v="50000"/>
    <x v="2"/>
    <x v="0"/>
    <s v="Director"/>
    <d v="2019-03-25T00:00:00"/>
    <x v="2"/>
    <s v="Email not provided"/>
    <s v="Phone not provided"/>
    <n v="6"/>
    <s v="Low"/>
    <x v="2"/>
  </r>
  <r>
    <x v="2"/>
    <n v="40"/>
    <n v="60000"/>
    <x v="1"/>
    <x v="4"/>
    <s v="Manager"/>
    <d v="2020-01-15T00:00:00"/>
    <x v="2"/>
    <s v="user@domain.com"/>
    <s v="123-456-7890"/>
    <n v="6"/>
    <s v="Medium"/>
    <x v="2"/>
  </r>
  <r>
    <x v="3"/>
    <n v="30"/>
    <n v="60000"/>
    <x v="2"/>
    <x v="1"/>
    <s v="Assistant"/>
    <d v="2020-02-20T00:00:00"/>
    <x v="3"/>
    <s v="Email not provided"/>
    <s v="Phone not provided"/>
    <n v="5"/>
    <s v="Medium"/>
    <x v="3"/>
  </r>
  <r>
    <x v="1"/>
    <n v="25"/>
    <n v="70000"/>
    <x v="0"/>
    <x v="4"/>
    <s v="Analyst"/>
    <d v="2019-12-01T00:00:00"/>
    <x v="4"/>
    <s v="Email not provided"/>
    <s v="123-456-7890"/>
    <n v="6"/>
    <s v="High"/>
    <x v="4"/>
  </r>
  <r>
    <x v="2"/>
    <n v="35"/>
    <n v="70000"/>
    <x v="2"/>
    <x v="1"/>
    <s v="Assistant"/>
    <d v="2019-03-25T00:00:00"/>
    <x v="3"/>
    <s v="Email not provided"/>
    <s v="Phone not provided"/>
    <n v="6"/>
    <s v="High"/>
    <x v="3"/>
  </r>
  <r>
    <x v="2"/>
    <n v="30"/>
    <n v="50000"/>
    <x v="0"/>
    <x v="3"/>
    <s v="Assistant"/>
    <d v="2018-04-05T00:00:00"/>
    <x v="0"/>
    <s v="Email not provided"/>
    <s v="Phone not provided"/>
    <n v="7"/>
    <s v="Low"/>
    <x v="0"/>
  </r>
  <r>
    <x v="5"/>
    <n v="25"/>
    <n v="55000"/>
    <x v="2"/>
    <x v="0"/>
    <s v="Manager"/>
    <d v="2020-02-20T00:00:00"/>
    <x v="1"/>
    <s v="Email not provided"/>
    <s v="555-555-5555"/>
    <n v="5"/>
    <s v="Low"/>
    <x v="1"/>
  </r>
  <r>
    <x v="6"/>
    <n v="50"/>
    <n v="60000"/>
    <x v="0"/>
    <x v="4"/>
    <s v="Director"/>
    <d v="2019-03-25T00:00:00"/>
    <x v="3"/>
    <s v="Email not provided"/>
    <s v="123-456-7890"/>
    <n v="6"/>
    <s v="Medium"/>
    <x v="3"/>
  </r>
  <r>
    <x v="3"/>
    <n v="35"/>
    <n v="65000"/>
    <x v="0"/>
    <x v="1"/>
    <s v="Clerk"/>
    <d v="2018-04-05T00:00:00"/>
    <x v="1"/>
    <s v="Email not provided"/>
    <s v="123-456-7890"/>
    <n v="7"/>
    <s v="High"/>
    <x v="1"/>
  </r>
  <r>
    <x v="7"/>
    <n v="40"/>
    <n v="55000"/>
    <x v="1"/>
    <x v="2"/>
    <s v="Assistant"/>
    <d v="2020-01-15T00:00:00"/>
    <x v="4"/>
    <s v="Email not provided"/>
    <s v="098-765-4321"/>
    <n v="6"/>
    <s v="Low"/>
    <x v="4"/>
  </r>
  <r>
    <x v="2"/>
    <n v="50"/>
    <n v="55000"/>
    <x v="0"/>
    <x v="0"/>
    <s v="Director"/>
    <d v="2018-04-05T00:00:00"/>
    <x v="0"/>
    <s v="user@domain.com"/>
    <s v="Phone not provided"/>
    <n v="7"/>
    <s v="Low"/>
    <x v="0"/>
  </r>
  <r>
    <x v="6"/>
    <n v="25"/>
    <n v="60000"/>
    <x v="1"/>
    <x v="3"/>
    <s v="Clerk"/>
    <d v="2019-03-25T00:00:00"/>
    <x v="4"/>
    <s v="email@example.com"/>
    <s v="555-555-5555"/>
    <n v="6"/>
    <s v="Medium"/>
    <x v="4"/>
  </r>
  <r>
    <x v="7"/>
    <n v="50"/>
    <n v="50000"/>
    <x v="1"/>
    <x v="1"/>
    <s v="Assistant"/>
    <d v="2019-03-25T00:00:00"/>
    <x v="0"/>
    <s v="user@domain.com"/>
    <s v="Phone not provided"/>
    <n v="6"/>
    <s v="Low"/>
    <x v="0"/>
  </r>
  <r>
    <x v="3"/>
    <n v="35"/>
    <n v="50000"/>
    <x v="1"/>
    <x v="3"/>
    <s v="Clerk"/>
    <d v="2020-01-15T00:00:00"/>
    <x v="0"/>
    <s v="email@example.com"/>
    <s v="098-765-4321"/>
    <n v="6"/>
    <s v="Low"/>
    <x v="0"/>
  </r>
  <r>
    <x v="8"/>
    <n v="25"/>
    <n v="50000"/>
    <x v="2"/>
    <x v="3"/>
    <s v="Director"/>
    <d v="2018-04-05T00:00:00"/>
    <x v="1"/>
    <s v="user@domain.com"/>
    <s v="555-555-5555"/>
    <n v="7"/>
    <s v="Low"/>
    <x v="1"/>
  </r>
  <r>
    <x v="4"/>
    <n v="50"/>
    <n v="50000"/>
    <x v="2"/>
    <x v="4"/>
    <s v="Analyst"/>
    <d v="2018-04-05T00:00:00"/>
    <x v="4"/>
    <s v="email@example.com"/>
    <s v="Phone not provided"/>
    <n v="7"/>
    <s v="Low"/>
    <x v="4"/>
  </r>
  <r>
    <x v="6"/>
    <n v="40"/>
    <n v="70000"/>
    <x v="2"/>
    <x v="4"/>
    <s v="Director"/>
    <d v="2020-01-15T00:00:00"/>
    <x v="4"/>
    <s v="email@example.com"/>
    <s v="555-555-5555"/>
    <n v="6"/>
    <s v="High"/>
    <x v="4"/>
  </r>
  <r>
    <x v="9"/>
    <n v="40"/>
    <n v="50000"/>
    <x v="2"/>
    <x v="1"/>
    <s v="Manager"/>
    <d v="2018-04-05T00:00:00"/>
    <x v="3"/>
    <s v="name@company.org"/>
    <s v="123-456-7890"/>
    <n v="7"/>
    <s v="Low"/>
    <x v="3"/>
  </r>
  <r>
    <x v="8"/>
    <n v="30"/>
    <n v="70000"/>
    <x v="0"/>
    <x v="2"/>
    <s v="Clerk"/>
    <d v="2020-01-15T00:00:00"/>
    <x v="4"/>
    <s v="email@example.com"/>
    <s v="123-456-7890"/>
    <n v="6"/>
    <s v="High"/>
    <x v="4"/>
  </r>
  <r>
    <x v="4"/>
    <n v="50"/>
    <n v="70000"/>
    <x v="0"/>
    <x v="1"/>
    <s v="Analyst"/>
    <d v="2020-02-20T00:00:00"/>
    <x v="3"/>
    <s v="email@example.com"/>
    <s v="098-765-4321"/>
    <n v="5"/>
    <s v="High"/>
    <x v="3"/>
  </r>
  <r>
    <x v="5"/>
    <n v="35"/>
    <n v="50000"/>
    <x v="2"/>
    <x v="2"/>
    <s v="Clerk"/>
    <d v="2019-03-25T00:00:00"/>
    <x v="2"/>
    <s v="name@company.org"/>
    <s v="Phone not provided"/>
    <n v="6"/>
    <s v="Low"/>
    <x v="2"/>
  </r>
  <r>
    <x v="0"/>
    <n v="50"/>
    <n v="60000"/>
    <x v="0"/>
    <x v="3"/>
    <s v="Clerk"/>
    <d v="2020-02-20T00:00:00"/>
    <x v="2"/>
    <s v="Email not provided"/>
    <s v="Phone not provided"/>
    <n v="5"/>
    <s v="Medium"/>
    <x v="2"/>
  </r>
  <r>
    <x v="1"/>
    <n v="25"/>
    <n v="65000"/>
    <x v="0"/>
    <x v="0"/>
    <s v="Assistant"/>
    <d v="2019-12-01T00:00:00"/>
    <x v="2"/>
    <s v="Email not provided"/>
    <s v="555-555-5555"/>
    <n v="6"/>
    <s v="High"/>
    <x v="2"/>
  </r>
  <r>
    <x v="9"/>
    <n v="25"/>
    <n v="55000"/>
    <x v="1"/>
    <x v="1"/>
    <s v="Manager"/>
    <d v="2019-12-01T00:00:00"/>
    <x v="4"/>
    <s v="name@company.org"/>
    <s v="098-765-4321"/>
    <n v="6"/>
    <s v="Low"/>
    <x v="4"/>
  </r>
  <r>
    <x v="5"/>
    <n v="50"/>
    <n v="70000"/>
    <x v="1"/>
    <x v="1"/>
    <s v="Clerk"/>
    <d v="2019-12-01T00:00:00"/>
    <x v="4"/>
    <s v="Email not provided"/>
    <s v="Phone not provided"/>
    <n v="6"/>
    <s v="High"/>
    <x v="4"/>
  </r>
  <r>
    <x v="3"/>
    <n v="35"/>
    <n v="60000"/>
    <x v="1"/>
    <x v="2"/>
    <s v="Director"/>
    <d v="2020-01-15T00:00:00"/>
    <x v="3"/>
    <s v="email@example.com"/>
    <s v="123-456-7890"/>
    <n v="6"/>
    <s v="Medium"/>
    <x v="3"/>
  </r>
  <r>
    <x v="5"/>
    <n v="40"/>
    <n v="60000"/>
    <x v="1"/>
    <x v="3"/>
    <s v="Director"/>
    <d v="2018-04-05T00:00:00"/>
    <x v="0"/>
    <s v="email@example.com"/>
    <s v="555-555-5555"/>
    <n v="7"/>
    <s v="Medium"/>
    <x v="0"/>
  </r>
  <r>
    <x v="0"/>
    <n v="25"/>
    <n v="65000"/>
    <x v="0"/>
    <x v="3"/>
    <s v="Assistant"/>
    <d v="2020-02-20T00:00:00"/>
    <x v="3"/>
    <s v="name@company.org"/>
    <s v="Phone not provided"/>
    <n v="5"/>
    <s v="High"/>
    <x v="3"/>
  </r>
  <r>
    <x v="3"/>
    <n v="40"/>
    <n v="60000"/>
    <x v="2"/>
    <x v="2"/>
    <s v="Manager"/>
    <d v="2020-02-20T00:00:00"/>
    <x v="2"/>
    <s v="name@company.org"/>
    <s v="123-456-7890"/>
    <n v="5"/>
    <s v="Medium"/>
    <x v="2"/>
  </r>
  <r>
    <x v="9"/>
    <n v="25"/>
    <n v="60000"/>
    <x v="0"/>
    <x v="3"/>
    <s v="Manager"/>
    <d v="2020-02-20T00:00:00"/>
    <x v="3"/>
    <s v="Email not provided"/>
    <s v="098-765-4321"/>
    <n v="5"/>
    <s v="Medium"/>
    <x v="3"/>
  </r>
  <r>
    <x v="0"/>
    <n v="30"/>
    <n v="60000"/>
    <x v="0"/>
    <x v="4"/>
    <s v="Director"/>
    <d v="2020-02-20T00:00:00"/>
    <x v="0"/>
    <s v="Email not provided"/>
    <s v="Phone not provided"/>
    <n v="5"/>
    <s v="Medium"/>
    <x v="0"/>
  </r>
  <r>
    <x v="7"/>
    <n v="35"/>
    <n v="55000"/>
    <x v="0"/>
    <x v="0"/>
    <s v="Analyst"/>
    <d v="2019-12-01T00:00:00"/>
    <x v="4"/>
    <s v="user@domain.com"/>
    <s v="123-456-7890"/>
    <n v="6"/>
    <s v="Low"/>
    <x v="4"/>
  </r>
  <r>
    <x v="1"/>
    <n v="25"/>
    <n v="55000"/>
    <x v="1"/>
    <x v="1"/>
    <s v="Assistant"/>
    <d v="2020-02-20T00:00:00"/>
    <x v="3"/>
    <s v="Email not provided"/>
    <s v="Phone not provided"/>
    <n v="5"/>
    <s v="Low"/>
    <x v="3"/>
  </r>
  <r>
    <x v="9"/>
    <n v="40"/>
    <n v="70000"/>
    <x v="1"/>
    <x v="0"/>
    <s v="Assistant"/>
    <d v="2018-04-05T00:00:00"/>
    <x v="2"/>
    <s v="email@example.com"/>
    <s v="Phone not provided"/>
    <n v="7"/>
    <s v="High"/>
    <x v="2"/>
  </r>
  <r>
    <x v="7"/>
    <n v="30"/>
    <n v="50000"/>
    <x v="1"/>
    <x v="1"/>
    <s v="Director"/>
    <d v="2019-12-01T00:00:00"/>
    <x v="2"/>
    <s v="name@company.org"/>
    <s v="098-765-4321"/>
    <n v="6"/>
    <s v="Low"/>
    <x v="2"/>
  </r>
  <r>
    <x v="4"/>
    <n v="25"/>
    <n v="60000"/>
    <x v="2"/>
    <x v="4"/>
    <s v="Director"/>
    <d v="2020-02-20T00:00:00"/>
    <x v="4"/>
    <s v="Email not provided"/>
    <s v="123-456-7890"/>
    <n v="5"/>
    <s v="Medium"/>
    <x v="4"/>
  </r>
  <r>
    <x v="9"/>
    <n v="35"/>
    <n v="70000"/>
    <x v="0"/>
    <x v="3"/>
    <s v="Analyst"/>
    <d v="2020-01-15T00:00:00"/>
    <x v="3"/>
    <s v="Email not provided"/>
    <s v="555-555-5555"/>
    <n v="6"/>
    <s v="High"/>
    <x v="3"/>
  </r>
  <r>
    <x v="4"/>
    <n v="35"/>
    <n v="60000"/>
    <x v="2"/>
    <x v="2"/>
    <s v="Analyst"/>
    <d v="2019-03-25T00:00:00"/>
    <x v="0"/>
    <s v="Email not provided"/>
    <s v="123-456-7890"/>
    <n v="6"/>
    <s v="Medium"/>
    <x v="0"/>
  </r>
  <r>
    <x v="3"/>
    <n v="25"/>
    <n v="50000"/>
    <x v="1"/>
    <x v="4"/>
    <s v="Manager"/>
    <d v="2019-03-25T00:00:00"/>
    <x v="4"/>
    <s v="Email not provided"/>
    <s v="Phone not provided"/>
    <n v="6"/>
    <s v="Low"/>
    <x v="4"/>
  </r>
  <r>
    <x v="7"/>
    <n v="30"/>
    <n v="60000"/>
    <x v="2"/>
    <x v="0"/>
    <s v="Assistant"/>
    <d v="2019-03-25T00:00:00"/>
    <x v="3"/>
    <s v="email@example.com"/>
    <s v="098-765-4321"/>
    <n v="6"/>
    <s v="Medium"/>
    <x v="3"/>
  </r>
  <r>
    <x v="1"/>
    <n v="35"/>
    <n v="60000"/>
    <x v="0"/>
    <x v="2"/>
    <s v="Assistant"/>
    <d v="2019-12-01T00:00:00"/>
    <x v="1"/>
    <s v="user@domain.com"/>
    <s v="098-765-4321"/>
    <n v="6"/>
    <s v="Medium"/>
    <x v="1"/>
  </r>
  <r>
    <x v="0"/>
    <n v="50"/>
    <n v="50000"/>
    <x v="0"/>
    <x v="3"/>
    <s v="Director"/>
    <d v="2020-02-20T00:00:00"/>
    <x v="2"/>
    <s v="Email not provided"/>
    <s v="555-555-5555"/>
    <n v="5"/>
    <s v="Low"/>
    <x v="2"/>
  </r>
  <r>
    <x v="2"/>
    <n v="30"/>
    <n v="70000"/>
    <x v="1"/>
    <x v="4"/>
    <s v="Manager"/>
    <d v="2019-12-01T00:00:00"/>
    <x v="0"/>
    <s v="Email not provided"/>
    <s v="098-765-4321"/>
    <n v="6"/>
    <s v="High"/>
    <x v="0"/>
  </r>
  <r>
    <x v="5"/>
    <n v="30"/>
    <n v="50000"/>
    <x v="1"/>
    <x v="2"/>
    <s v="Assistant"/>
    <d v="2018-04-05T00:00:00"/>
    <x v="0"/>
    <s v="user@domain.com"/>
    <s v="098-765-4321"/>
    <n v="7"/>
    <s v="Low"/>
    <x v="0"/>
  </r>
  <r>
    <x v="8"/>
    <n v="35"/>
    <n v="65000"/>
    <x v="2"/>
    <x v="4"/>
    <s v="Manager"/>
    <d v="2020-01-15T00:00:00"/>
    <x v="0"/>
    <s v="Email not provided"/>
    <s v="098-765-4321"/>
    <n v="6"/>
    <s v="High"/>
    <x v="0"/>
  </r>
  <r>
    <x v="1"/>
    <n v="30"/>
    <n v="55000"/>
    <x v="1"/>
    <x v="4"/>
    <s v="Manager"/>
    <d v="2020-01-15T00:00:00"/>
    <x v="2"/>
    <s v="Email not provided"/>
    <s v="098-765-4321"/>
    <n v="6"/>
    <s v="Low"/>
    <x v="2"/>
  </r>
  <r>
    <x v="7"/>
    <n v="35"/>
    <n v="70000"/>
    <x v="1"/>
    <x v="3"/>
    <s v="Director"/>
    <d v="2019-03-25T00:00:00"/>
    <x v="3"/>
    <s v="Email not provided"/>
    <s v="098-765-4321"/>
    <n v="6"/>
    <s v="High"/>
    <x v="3"/>
  </r>
  <r>
    <x v="2"/>
    <n v="25"/>
    <n v="60000"/>
    <x v="0"/>
    <x v="1"/>
    <s v="Manager"/>
    <d v="2019-03-25T00:00:00"/>
    <x v="4"/>
    <s v="Email not provided"/>
    <s v="Phone not provided"/>
    <n v="6"/>
    <s v="Medium"/>
    <x v="4"/>
  </r>
  <r>
    <x v="1"/>
    <n v="35"/>
    <n v="65000"/>
    <x v="1"/>
    <x v="2"/>
    <s v="Analyst"/>
    <d v="2019-03-25T00:00:00"/>
    <x v="3"/>
    <s v="user@domain.com"/>
    <s v="123-456-7890"/>
    <n v="6"/>
    <s v="High"/>
    <x v="3"/>
  </r>
  <r>
    <x v="7"/>
    <n v="35"/>
    <n v="70000"/>
    <x v="1"/>
    <x v="3"/>
    <s v="Analyst"/>
    <d v="2020-02-20T00:00:00"/>
    <x v="4"/>
    <s v="email@example.com"/>
    <s v="Phone not provided"/>
    <n v="5"/>
    <s v="High"/>
    <x v="4"/>
  </r>
  <r>
    <x v="6"/>
    <n v="35"/>
    <n v="50000"/>
    <x v="0"/>
    <x v="4"/>
    <s v="Clerk"/>
    <d v="2018-04-05T00:00:00"/>
    <x v="0"/>
    <s v="Email not provided"/>
    <s v="098-765-4321"/>
    <n v="7"/>
    <s v="Low"/>
    <x v="0"/>
  </r>
  <r>
    <x v="6"/>
    <n v="35"/>
    <n v="50000"/>
    <x v="0"/>
    <x v="3"/>
    <s v="Director"/>
    <d v="2018-04-05T00:00:00"/>
    <x v="3"/>
    <s v="email@example.com"/>
    <s v="Phone not provided"/>
    <n v="7"/>
    <s v="Low"/>
    <x v="3"/>
  </r>
  <r>
    <x v="4"/>
    <n v="35"/>
    <n v="50000"/>
    <x v="2"/>
    <x v="1"/>
    <s v="Clerk"/>
    <d v="2018-04-05T00:00:00"/>
    <x v="0"/>
    <s v="user@domain.com"/>
    <s v="Phone not provided"/>
    <n v="7"/>
    <s v="Low"/>
    <x v="0"/>
  </r>
  <r>
    <x v="1"/>
    <n v="50"/>
    <n v="50000"/>
    <x v="1"/>
    <x v="2"/>
    <s v="Analyst"/>
    <d v="2018-04-05T00:00:00"/>
    <x v="1"/>
    <s v="user@domain.com"/>
    <s v="Phone not provided"/>
    <n v="7"/>
    <s v="Low"/>
    <x v="1"/>
  </r>
  <r>
    <x v="6"/>
    <n v="25"/>
    <n v="60000"/>
    <x v="0"/>
    <x v="1"/>
    <s v="Clerk"/>
    <d v="2019-03-25T00:00:00"/>
    <x v="0"/>
    <s v="Email not provided"/>
    <s v="098-765-4321"/>
    <n v="6"/>
    <s v="Medium"/>
    <x v="0"/>
  </r>
  <r>
    <x v="7"/>
    <n v="35"/>
    <n v="65000"/>
    <x v="2"/>
    <x v="0"/>
    <s v="Director"/>
    <d v="2020-01-15T00:00:00"/>
    <x v="0"/>
    <s v="Email not provided"/>
    <s v="Phone not provided"/>
    <n v="6"/>
    <s v="High"/>
    <x v="0"/>
  </r>
  <r>
    <x v="4"/>
    <n v="50"/>
    <n v="60000"/>
    <x v="2"/>
    <x v="2"/>
    <s v="Director"/>
    <d v="2019-03-25T00:00:00"/>
    <x v="4"/>
    <s v="name@company.org"/>
    <s v="098-765-4321"/>
    <n v="6"/>
    <s v="Medium"/>
    <x v="4"/>
  </r>
  <r>
    <x v="7"/>
    <n v="40"/>
    <n v="55000"/>
    <x v="1"/>
    <x v="1"/>
    <s v="Manager"/>
    <d v="2018-04-05T00:00:00"/>
    <x v="1"/>
    <s v="user@domain.com"/>
    <s v="555-555-5555"/>
    <n v="7"/>
    <s v="Low"/>
    <x v="1"/>
  </r>
  <r>
    <x v="4"/>
    <n v="25"/>
    <n v="60000"/>
    <x v="1"/>
    <x v="4"/>
    <s v="Assistant"/>
    <d v="2019-03-25T00:00:00"/>
    <x v="0"/>
    <s v="Email not provided"/>
    <s v="555-555-5555"/>
    <n v="6"/>
    <s v="Medium"/>
    <x v="0"/>
  </r>
  <r>
    <x v="1"/>
    <n v="25"/>
    <n v="60000"/>
    <x v="2"/>
    <x v="2"/>
    <s v="Manager"/>
    <d v="2018-04-05T00:00:00"/>
    <x v="0"/>
    <s v="email@example.com"/>
    <s v="555-555-5555"/>
    <n v="7"/>
    <s v="Medium"/>
    <x v="0"/>
  </r>
  <r>
    <x v="2"/>
    <n v="40"/>
    <n v="60000"/>
    <x v="0"/>
    <x v="2"/>
    <s v="Director"/>
    <d v="2019-12-01T00:00:00"/>
    <x v="1"/>
    <s v="Email not provided"/>
    <s v="Phone not provided"/>
    <n v="6"/>
    <s v="Medium"/>
    <x v="1"/>
  </r>
  <r>
    <x v="0"/>
    <n v="35"/>
    <n v="60000"/>
    <x v="2"/>
    <x v="3"/>
    <s v="Analyst"/>
    <d v="2020-01-15T00:00:00"/>
    <x v="1"/>
    <s v="email@example.com"/>
    <s v="555-555-5555"/>
    <n v="6"/>
    <s v="Medium"/>
    <x v="1"/>
  </r>
  <r>
    <x v="9"/>
    <n v="50"/>
    <n v="55000"/>
    <x v="1"/>
    <x v="4"/>
    <s v="Analyst"/>
    <d v="2019-12-01T00:00:00"/>
    <x v="3"/>
    <s v="user@domain.com"/>
    <s v="Phone not provided"/>
    <n v="6"/>
    <s v="Low"/>
    <x v="3"/>
  </r>
  <r>
    <x v="2"/>
    <n v="30"/>
    <n v="55000"/>
    <x v="0"/>
    <x v="0"/>
    <s v="Manager"/>
    <d v="2020-02-20T00:00:00"/>
    <x v="4"/>
    <s v="user@domain.com"/>
    <s v="Phone not provided"/>
    <n v="5"/>
    <s v="Low"/>
    <x v="4"/>
  </r>
  <r>
    <x v="3"/>
    <n v="35"/>
    <n v="60000"/>
    <x v="0"/>
    <x v="1"/>
    <s v="Director"/>
    <d v="2019-03-25T00:00:00"/>
    <x v="1"/>
    <s v="email@example.com"/>
    <s v="Phone not provided"/>
    <n v="6"/>
    <s v="Medium"/>
    <x v="1"/>
  </r>
  <r>
    <x v="7"/>
    <n v="30"/>
    <n v="50000"/>
    <x v="2"/>
    <x v="3"/>
    <s v="Analyst"/>
    <d v="2020-02-20T00:00:00"/>
    <x v="1"/>
    <s v="user@domain.com"/>
    <s v="098-765-4321"/>
    <n v="5"/>
    <s v="Low"/>
    <x v="1"/>
  </r>
  <r>
    <x v="3"/>
    <n v="40"/>
    <n v="60000"/>
    <x v="1"/>
    <x v="1"/>
    <s v="Director"/>
    <d v="2019-03-25T00:00:00"/>
    <x v="2"/>
    <s v="Email not provided"/>
    <s v="123-456-7890"/>
    <n v="6"/>
    <s v="Medium"/>
    <x v="2"/>
  </r>
  <r>
    <x v="2"/>
    <n v="25"/>
    <n v="70000"/>
    <x v="2"/>
    <x v="0"/>
    <s v="Analyst"/>
    <d v="2019-12-01T00:00:00"/>
    <x v="1"/>
    <s v="user@domain.com"/>
    <s v="098-765-4321"/>
    <n v="6"/>
    <s v="High"/>
    <x v="1"/>
  </r>
  <r>
    <x v="4"/>
    <n v="25"/>
    <n v="55000"/>
    <x v="2"/>
    <x v="0"/>
    <s v="Director"/>
    <d v="2018-04-05T00:00:00"/>
    <x v="4"/>
    <s v="Email not provided"/>
    <s v="098-765-4321"/>
    <n v="7"/>
    <s v="Low"/>
    <x v="4"/>
  </r>
  <r>
    <x v="9"/>
    <n v="35"/>
    <n v="55000"/>
    <x v="2"/>
    <x v="2"/>
    <s v="Clerk"/>
    <d v="2018-04-05T00:00:00"/>
    <x v="0"/>
    <s v="Email not provided"/>
    <s v="098-765-4321"/>
    <n v="7"/>
    <s v="Low"/>
    <x v="0"/>
  </r>
  <r>
    <x v="9"/>
    <n v="25"/>
    <n v="60000"/>
    <x v="0"/>
    <x v="0"/>
    <s v="Director"/>
    <d v="2019-03-25T00:00:00"/>
    <x v="0"/>
    <s v="name@company.org"/>
    <s v="098-765-4321"/>
    <n v="6"/>
    <s v="Medium"/>
    <x v="0"/>
  </r>
  <r>
    <x v="8"/>
    <n v="25"/>
    <n v="65000"/>
    <x v="0"/>
    <x v="1"/>
    <s v="Director"/>
    <d v="2018-04-05T00:00:00"/>
    <x v="0"/>
    <s v="user@domain.com"/>
    <s v="123-456-7890"/>
    <n v="7"/>
    <s v="High"/>
    <x v="0"/>
  </r>
  <r>
    <x v="9"/>
    <n v="35"/>
    <n v="70000"/>
    <x v="1"/>
    <x v="4"/>
    <s v="Manager"/>
    <d v="2019-12-01T00:00:00"/>
    <x v="0"/>
    <s v="user@domain.com"/>
    <s v="555-555-5555"/>
    <n v="6"/>
    <s v="High"/>
    <x v="0"/>
  </r>
  <r>
    <x v="0"/>
    <n v="50"/>
    <n v="70000"/>
    <x v="1"/>
    <x v="4"/>
    <s v="Clerk"/>
    <d v="2018-04-05T00:00:00"/>
    <x v="2"/>
    <s v="Email not provided"/>
    <s v="098-765-4321"/>
    <n v="7"/>
    <s v="High"/>
    <x v="2"/>
  </r>
  <r>
    <x v="9"/>
    <n v="50"/>
    <n v="55000"/>
    <x v="2"/>
    <x v="2"/>
    <s v="Assistant"/>
    <d v="2019-12-01T00:00:00"/>
    <x v="1"/>
    <s v="Email not provided"/>
    <s v="Phone not provided"/>
    <n v="6"/>
    <s v="Low"/>
    <x v="1"/>
  </r>
  <r>
    <x v="2"/>
    <n v="35"/>
    <n v="50000"/>
    <x v="2"/>
    <x v="1"/>
    <s v="Manager"/>
    <d v="2020-02-20T00:00:00"/>
    <x v="0"/>
    <s v="email@example.com"/>
    <s v="Phone not provided"/>
    <n v="5"/>
    <s v="Low"/>
    <x v="0"/>
  </r>
  <r>
    <x v="8"/>
    <n v="40"/>
    <n v="65000"/>
    <x v="2"/>
    <x v="1"/>
    <s v="Assistant"/>
    <d v="2019-12-01T00:00:00"/>
    <x v="3"/>
    <s v="email@example.com"/>
    <s v="Phone not provided"/>
    <n v="6"/>
    <s v="High"/>
    <x v="3"/>
  </r>
  <r>
    <x v="2"/>
    <n v="25"/>
    <n v="70000"/>
    <x v="1"/>
    <x v="0"/>
    <s v="Analyst"/>
    <d v="2020-01-15T00:00:00"/>
    <x v="0"/>
    <s v="email@example.com"/>
    <s v="Phone not provided"/>
    <n v="6"/>
    <s v="High"/>
    <x v="0"/>
  </r>
  <r>
    <x v="2"/>
    <n v="25"/>
    <n v="55000"/>
    <x v="0"/>
    <x v="1"/>
    <s v="Assistant"/>
    <d v="2020-01-15T00:00:00"/>
    <x v="1"/>
    <s v="Email not provided"/>
    <s v="098-765-4321"/>
    <n v="6"/>
    <s v="Low"/>
    <x v="1"/>
  </r>
  <r>
    <x v="5"/>
    <n v="40"/>
    <n v="70000"/>
    <x v="0"/>
    <x v="3"/>
    <s v="Director"/>
    <d v="2020-01-15T00:00:00"/>
    <x v="0"/>
    <s v="email@example.com"/>
    <s v="123-456-7890"/>
    <n v="6"/>
    <s v="High"/>
    <x v="0"/>
  </r>
  <r>
    <x v="8"/>
    <n v="50"/>
    <n v="65000"/>
    <x v="2"/>
    <x v="0"/>
    <s v="Assistant"/>
    <d v="2019-03-25T00:00:00"/>
    <x v="2"/>
    <s v="email@example.com"/>
    <s v="555-555-5555"/>
    <n v="6"/>
    <s v="High"/>
    <x v="2"/>
  </r>
  <r>
    <x v="2"/>
    <n v="35"/>
    <n v="65000"/>
    <x v="2"/>
    <x v="3"/>
    <s v="Manager"/>
    <d v="2019-03-25T00:00:00"/>
    <x v="4"/>
    <s v="name@company.org"/>
    <s v="Phone not provided"/>
    <n v="6"/>
    <s v="High"/>
    <x v="4"/>
  </r>
  <r>
    <x v="5"/>
    <n v="35"/>
    <n v="60000"/>
    <x v="2"/>
    <x v="2"/>
    <s v="Manager"/>
    <d v="2019-03-25T00:00:00"/>
    <x v="4"/>
    <s v="email@example.com"/>
    <s v="555-555-5555"/>
    <n v="6"/>
    <s v="Medium"/>
    <x v="4"/>
  </r>
  <r>
    <x v="5"/>
    <n v="35"/>
    <n v="60000"/>
    <x v="2"/>
    <x v="4"/>
    <s v="Assistant"/>
    <d v="2019-12-01T00:00:00"/>
    <x v="1"/>
    <s v="user@domain.com"/>
    <s v="123-456-7890"/>
    <n v="6"/>
    <s v="Medium"/>
    <x v="1"/>
  </r>
  <r>
    <x v="8"/>
    <n v="50"/>
    <n v="60000"/>
    <x v="1"/>
    <x v="2"/>
    <s v="Manager"/>
    <d v="2019-03-25T00:00:00"/>
    <x v="4"/>
    <s v="Email not provided"/>
    <s v="Phone not provided"/>
    <n v="6"/>
    <s v="Medium"/>
    <x v="4"/>
  </r>
  <r>
    <x v="3"/>
    <n v="50"/>
    <n v="55000"/>
    <x v="0"/>
    <x v="4"/>
    <s v="Manager"/>
    <d v="2020-02-20T00:00:00"/>
    <x v="4"/>
    <s v="Email not provided"/>
    <s v="555-555-5555"/>
    <n v="5"/>
    <s v="Low"/>
    <x v="4"/>
  </r>
  <r>
    <x v="4"/>
    <n v="40"/>
    <n v="65000"/>
    <x v="2"/>
    <x v="2"/>
    <s v="Assistant"/>
    <d v="2020-01-15T00:00:00"/>
    <x v="3"/>
    <s v="name@company.org"/>
    <s v="123-456-7890"/>
    <n v="6"/>
    <s v="High"/>
    <x v="3"/>
  </r>
  <r>
    <x v="0"/>
    <n v="25"/>
    <n v="60000"/>
    <x v="1"/>
    <x v="1"/>
    <s v="Clerk"/>
    <d v="2019-12-01T00:00:00"/>
    <x v="1"/>
    <s v="Email not provided"/>
    <s v="555-555-5555"/>
    <n v="6"/>
    <s v="Medium"/>
    <x v="1"/>
  </r>
  <r>
    <x v="4"/>
    <n v="40"/>
    <n v="60000"/>
    <x v="2"/>
    <x v="3"/>
    <s v="Clerk"/>
    <d v="2020-01-15T00:00:00"/>
    <x v="1"/>
    <s v="Email not provided"/>
    <s v="098-765-4321"/>
    <n v="6"/>
    <s v="Medium"/>
    <x v="1"/>
  </r>
  <r>
    <x v="9"/>
    <n v="40"/>
    <n v="70000"/>
    <x v="2"/>
    <x v="4"/>
    <s v="Analyst"/>
    <d v="2019-03-25T00:00:00"/>
    <x v="4"/>
    <s v="user@domain.com"/>
    <s v="123-456-7890"/>
    <n v="6"/>
    <s v="High"/>
    <x v="4"/>
  </r>
  <r>
    <x v="0"/>
    <n v="50"/>
    <n v="70000"/>
    <x v="0"/>
    <x v="0"/>
    <s v="Manager"/>
    <d v="2019-12-01T00:00:00"/>
    <x v="4"/>
    <s v="email@example.com"/>
    <s v="555-555-5555"/>
    <n v="6"/>
    <s v="High"/>
    <x v="4"/>
  </r>
  <r>
    <x v="9"/>
    <n v="35"/>
    <n v="60000"/>
    <x v="2"/>
    <x v="3"/>
    <s v="Assistant"/>
    <d v="2018-04-05T00:00:00"/>
    <x v="4"/>
    <s v="user@domain.com"/>
    <s v="098-765-4321"/>
    <n v="7"/>
    <s v="Medium"/>
    <x v="4"/>
  </r>
  <r>
    <x v="2"/>
    <n v="30"/>
    <n v="70000"/>
    <x v="0"/>
    <x v="0"/>
    <s v="Manager"/>
    <d v="2020-02-20T00:00:00"/>
    <x v="2"/>
    <s v="email@example.com"/>
    <s v="098-765-4321"/>
    <n v="5"/>
    <s v="High"/>
    <x v="2"/>
  </r>
  <r>
    <x v="7"/>
    <n v="25"/>
    <n v="65000"/>
    <x v="0"/>
    <x v="3"/>
    <s v="Director"/>
    <d v="2019-03-25T00:00:00"/>
    <x v="0"/>
    <s v="email@example.com"/>
    <s v="123-456-7890"/>
    <n v="6"/>
    <s v="High"/>
    <x v="0"/>
  </r>
  <r>
    <x v="8"/>
    <n v="50"/>
    <n v="50000"/>
    <x v="0"/>
    <x v="3"/>
    <s v="Manager"/>
    <d v="2019-03-25T00:00:00"/>
    <x v="2"/>
    <s v="Email not provided"/>
    <s v="Phone not provided"/>
    <n v="6"/>
    <s v="Low"/>
    <x v="2"/>
  </r>
  <r>
    <x v="0"/>
    <n v="35"/>
    <n v="65000"/>
    <x v="1"/>
    <x v="2"/>
    <s v="Manager"/>
    <d v="2020-02-20T00:00:00"/>
    <x v="1"/>
    <s v="email@example.com"/>
    <s v="Phone not provided"/>
    <n v="5"/>
    <s v="High"/>
    <x v="1"/>
  </r>
  <r>
    <x v="0"/>
    <n v="30"/>
    <n v="60000"/>
    <x v="1"/>
    <x v="4"/>
    <s v="Clerk"/>
    <d v="2020-02-20T00:00:00"/>
    <x v="3"/>
    <s v="name@company.org"/>
    <s v="123-456-7890"/>
    <n v="5"/>
    <s v="Medium"/>
    <x v="3"/>
  </r>
  <r>
    <x v="2"/>
    <n v="30"/>
    <n v="60000"/>
    <x v="0"/>
    <x v="4"/>
    <s v="Assistant"/>
    <d v="2018-04-05T00:00:00"/>
    <x v="0"/>
    <s v="name@company.org"/>
    <s v="098-765-4321"/>
    <n v="7"/>
    <s v="Medium"/>
    <x v="0"/>
  </r>
  <r>
    <x v="3"/>
    <n v="50"/>
    <n v="65000"/>
    <x v="2"/>
    <x v="3"/>
    <s v="Manager"/>
    <d v="2019-03-25T00:00:00"/>
    <x v="3"/>
    <s v="name@company.org"/>
    <s v="098-765-4321"/>
    <n v="6"/>
    <s v="High"/>
    <x v="3"/>
  </r>
  <r>
    <x v="5"/>
    <n v="35"/>
    <n v="70000"/>
    <x v="0"/>
    <x v="1"/>
    <s v="Clerk"/>
    <d v="2019-03-25T00:00:00"/>
    <x v="1"/>
    <s v="Email not provided"/>
    <s v="123-456-7890"/>
    <n v="6"/>
    <s v="High"/>
    <x v="1"/>
  </r>
  <r>
    <x v="2"/>
    <n v="25"/>
    <n v="70000"/>
    <x v="2"/>
    <x v="1"/>
    <s v="Analyst"/>
    <d v="2020-01-15T00:00:00"/>
    <x v="1"/>
    <s v="user@domain.com"/>
    <s v="Phone not provided"/>
    <n v="6"/>
    <s v="High"/>
    <x v="1"/>
  </r>
  <r>
    <x v="6"/>
    <n v="30"/>
    <n v="60000"/>
    <x v="0"/>
    <x v="0"/>
    <s v="Clerk"/>
    <d v="2019-12-01T00:00:00"/>
    <x v="3"/>
    <s v="Email not provided"/>
    <s v="Phone not provided"/>
    <n v="6"/>
    <s v="Medium"/>
    <x v="3"/>
  </r>
  <r>
    <x v="5"/>
    <n v="50"/>
    <n v="60000"/>
    <x v="2"/>
    <x v="0"/>
    <s v="Clerk"/>
    <d v="2019-12-01T00:00:00"/>
    <x v="3"/>
    <s v="email@example.com"/>
    <s v="555-555-5555"/>
    <n v="6"/>
    <s v="Medium"/>
    <x v="3"/>
  </r>
  <r>
    <x v="8"/>
    <n v="50"/>
    <n v="55000"/>
    <x v="1"/>
    <x v="2"/>
    <s v="Clerk"/>
    <d v="2020-01-15T00:00:00"/>
    <x v="3"/>
    <s v="Email not provided"/>
    <s v="123-456-7890"/>
    <n v="6"/>
    <s v="Low"/>
    <x v="3"/>
  </r>
  <r>
    <x v="5"/>
    <n v="35"/>
    <n v="60000"/>
    <x v="2"/>
    <x v="3"/>
    <s v="Manager"/>
    <d v="2019-12-01T00:00:00"/>
    <x v="1"/>
    <s v="user@domain.com"/>
    <s v="Phone not provided"/>
    <n v="6"/>
    <s v="Medium"/>
    <x v="1"/>
  </r>
  <r>
    <x v="3"/>
    <n v="35"/>
    <n v="70000"/>
    <x v="0"/>
    <x v="0"/>
    <s v="Manager"/>
    <d v="2020-02-20T00:00:00"/>
    <x v="4"/>
    <s v="user@domain.com"/>
    <s v="Phone not provided"/>
    <n v="5"/>
    <s v="High"/>
    <x v="4"/>
  </r>
  <r>
    <x v="5"/>
    <n v="25"/>
    <n v="65000"/>
    <x v="1"/>
    <x v="0"/>
    <s v="Analyst"/>
    <d v="2019-12-01T00:00:00"/>
    <x v="3"/>
    <s v="Email not provided"/>
    <s v="098-765-4321"/>
    <n v="6"/>
    <s v="High"/>
    <x v="3"/>
  </r>
  <r>
    <x v="8"/>
    <n v="40"/>
    <n v="70000"/>
    <x v="2"/>
    <x v="3"/>
    <s v="Director"/>
    <d v="2019-12-01T00:00:00"/>
    <x v="0"/>
    <s v="name@company.org"/>
    <s v="555-555-5555"/>
    <n v="6"/>
    <s v="High"/>
    <x v="0"/>
  </r>
  <r>
    <x v="3"/>
    <n v="35"/>
    <n v="65000"/>
    <x v="2"/>
    <x v="2"/>
    <s v="Director"/>
    <d v="2020-01-15T00:00:00"/>
    <x v="1"/>
    <s v="name@company.org"/>
    <s v="123-456-7890"/>
    <n v="6"/>
    <s v="High"/>
    <x v="1"/>
  </r>
  <r>
    <x v="4"/>
    <n v="30"/>
    <n v="60000"/>
    <x v="2"/>
    <x v="0"/>
    <s v="Director"/>
    <d v="2018-04-05T00:00:00"/>
    <x v="2"/>
    <s v="user@domain.com"/>
    <s v="098-765-4321"/>
    <n v="7"/>
    <s v="Medium"/>
    <x v="2"/>
  </r>
  <r>
    <x v="0"/>
    <n v="30"/>
    <n v="60000"/>
    <x v="2"/>
    <x v="2"/>
    <s v="Analyst"/>
    <d v="2019-12-01T00:00:00"/>
    <x v="2"/>
    <s v="Email not provided"/>
    <s v="098-765-4321"/>
    <n v="6"/>
    <s v="Medium"/>
    <x v="2"/>
  </r>
  <r>
    <x v="0"/>
    <n v="35"/>
    <n v="70000"/>
    <x v="2"/>
    <x v="4"/>
    <s v="Director"/>
    <d v="2019-12-01T00:00:00"/>
    <x v="0"/>
    <s v="Email not provided"/>
    <s v="Phone not provided"/>
    <n v="6"/>
    <s v="High"/>
    <x v="0"/>
  </r>
  <r>
    <x v="9"/>
    <n v="50"/>
    <n v="65000"/>
    <x v="1"/>
    <x v="2"/>
    <s v="Director"/>
    <d v="2018-04-05T00:00:00"/>
    <x v="4"/>
    <s v="email@example.com"/>
    <s v="Phone not provided"/>
    <n v="7"/>
    <s v="High"/>
    <x v="4"/>
  </r>
  <r>
    <x v="4"/>
    <n v="30"/>
    <n v="60000"/>
    <x v="1"/>
    <x v="1"/>
    <s v="Clerk"/>
    <d v="2020-01-15T00:00:00"/>
    <x v="3"/>
    <s v="name@company.org"/>
    <s v="123-456-7890"/>
    <n v="6"/>
    <s v="Medium"/>
    <x v="3"/>
  </r>
  <r>
    <x v="4"/>
    <n v="35"/>
    <n v="55000"/>
    <x v="1"/>
    <x v="1"/>
    <s v="Manager"/>
    <d v="2018-04-05T00:00:00"/>
    <x v="1"/>
    <s v="user@domain.com"/>
    <s v="123-456-7890"/>
    <n v="7"/>
    <s v="Low"/>
    <x v="1"/>
  </r>
  <r>
    <x v="5"/>
    <n v="25"/>
    <n v="65000"/>
    <x v="1"/>
    <x v="2"/>
    <s v="Manager"/>
    <d v="2020-01-15T00:00:00"/>
    <x v="3"/>
    <s v="Email not provided"/>
    <s v="123-456-7890"/>
    <n v="6"/>
    <s v="High"/>
    <x v="3"/>
  </r>
  <r>
    <x v="0"/>
    <n v="35"/>
    <n v="60000"/>
    <x v="0"/>
    <x v="1"/>
    <s v="Clerk"/>
    <d v="2020-02-20T00:00:00"/>
    <x v="1"/>
    <s v="name@company.org"/>
    <s v="098-765-4321"/>
    <n v="5"/>
    <s v="Medium"/>
    <x v="1"/>
  </r>
  <r>
    <x v="8"/>
    <n v="30"/>
    <n v="55000"/>
    <x v="1"/>
    <x v="4"/>
    <s v="Clerk"/>
    <d v="2020-01-15T00:00:00"/>
    <x v="2"/>
    <s v="email@example.com"/>
    <s v="Phone not provided"/>
    <n v="6"/>
    <s v="Low"/>
    <x v="2"/>
  </r>
  <r>
    <x v="1"/>
    <n v="40"/>
    <n v="55000"/>
    <x v="2"/>
    <x v="3"/>
    <s v="Clerk"/>
    <d v="2020-02-20T00:00:00"/>
    <x v="3"/>
    <s v="Email not provided"/>
    <s v="555-555-5555"/>
    <n v="5"/>
    <s v="Low"/>
    <x v="3"/>
  </r>
  <r>
    <x v="1"/>
    <n v="25"/>
    <n v="50000"/>
    <x v="2"/>
    <x v="1"/>
    <s v="Manager"/>
    <d v="2020-02-20T00:00:00"/>
    <x v="0"/>
    <s v="user@domain.com"/>
    <s v="098-765-4321"/>
    <n v="5"/>
    <s v="Low"/>
    <x v="0"/>
  </r>
  <r>
    <x v="3"/>
    <n v="25"/>
    <n v="70000"/>
    <x v="1"/>
    <x v="1"/>
    <s v="Director"/>
    <d v="2020-01-15T00:00:00"/>
    <x v="4"/>
    <s v="name@company.org"/>
    <s v="555-555-5555"/>
    <n v="6"/>
    <s v="High"/>
    <x v="4"/>
  </r>
  <r>
    <x v="0"/>
    <n v="35"/>
    <n v="65000"/>
    <x v="2"/>
    <x v="2"/>
    <s v="Clerk"/>
    <d v="2019-03-25T00:00:00"/>
    <x v="0"/>
    <s v="Email not provided"/>
    <s v="Phone not provided"/>
    <n v="6"/>
    <s v="High"/>
    <x v="0"/>
  </r>
  <r>
    <x v="0"/>
    <n v="35"/>
    <n v="55000"/>
    <x v="1"/>
    <x v="4"/>
    <s v="Analyst"/>
    <d v="2020-01-15T00:00:00"/>
    <x v="4"/>
    <s v="email@example.com"/>
    <s v="Phone not provided"/>
    <n v="6"/>
    <s v="Low"/>
    <x v="4"/>
  </r>
  <r>
    <x v="1"/>
    <n v="40"/>
    <n v="50000"/>
    <x v="2"/>
    <x v="3"/>
    <s v="Clerk"/>
    <d v="2019-12-01T00:00:00"/>
    <x v="3"/>
    <s v="email@example.com"/>
    <s v="123-456-7890"/>
    <n v="6"/>
    <s v="Low"/>
    <x v="3"/>
  </r>
  <r>
    <x v="0"/>
    <n v="50"/>
    <n v="60000"/>
    <x v="0"/>
    <x v="2"/>
    <s v="Assistant"/>
    <d v="2019-12-01T00:00:00"/>
    <x v="3"/>
    <s v="name@company.org"/>
    <s v="555-555-5555"/>
    <n v="6"/>
    <s v="Medium"/>
    <x v="3"/>
  </r>
  <r>
    <x v="5"/>
    <n v="25"/>
    <n v="60000"/>
    <x v="0"/>
    <x v="2"/>
    <s v="Clerk"/>
    <d v="2019-03-25T00:00:00"/>
    <x v="4"/>
    <s v="Email not provided"/>
    <s v="098-765-4321"/>
    <n v="6"/>
    <s v="Medium"/>
    <x v="4"/>
  </r>
  <r>
    <x v="6"/>
    <n v="40"/>
    <n v="65000"/>
    <x v="1"/>
    <x v="4"/>
    <s v="Manager"/>
    <d v="2020-02-20T00:00:00"/>
    <x v="2"/>
    <s v="email@example.com"/>
    <s v="555-555-5555"/>
    <n v="5"/>
    <s v="High"/>
    <x v="2"/>
  </r>
  <r>
    <x v="7"/>
    <n v="35"/>
    <n v="55000"/>
    <x v="1"/>
    <x v="3"/>
    <s v="Clerk"/>
    <d v="2019-03-25T00:00:00"/>
    <x v="1"/>
    <s v="user@domain.com"/>
    <s v="Phone not provided"/>
    <n v="6"/>
    <s v="Low"/>
    <x v="1"/>
  </r>
  <r>
    <x v="4"/>
    <n v="35"/>
    <n v="70000"/>
    <x v="1"/>
    <x v="4"/>
    <s v="Assistant"/>
    <d v="2019-12-01T00:00:00"/>
    <x v="0"/>
    <s v="email@example.com"/>
    <s v="123-456-7890"/>
    <n v="6"/>
    <s v="High"/>
    <x v="0"/>
  </r>
  <r>
    <x v="9"/>
    <n v="25"/>
    <n v="50000"/>
    <x v="2"/>
    <x v="3"/>
    <s v="Analyst"/>
    <d v="2019-03-25T00:00:00"/>
    <x v="0"/>
    <s v="Email not provided"/>
    <s v="555-555-5555"/>
    <n v="6"/>
    <s v="Low"/>
    <x v="0"/>
  </r>
  <r>
    <x v="3"/>
    <n v="35"/>
    <n v="55000"/>
    <x v="1"/>
    <x v="4"/>
    <s v="Director"/>
    <d v="2020-01-15T00:00:00"/>
    <x v="0"/>
    <s v="Email not provided"/>
    <s v="Phone not provided"/>
    <n v="6"/>
    <s v="Low"/>
    <x v="0"/>
  </r>
  <r>
    <x v="6"/>
    <n v="30"/>
    <n v="70000"/>
    <x v="0"/>
    <x v="2"/>
    <s v="Clerk"/>
    <d v="2019-03-25T00:00:00"/>
    <x v="3"/>
    <s v="Email not provided"/>
    <s v="098-765-4321"/>
    <n v="6"/>
    <s v="High"/>
    <x v="3"/>
  </r>
  <r>
    <x v="1"/>
    <n v="35"/>
    <n v="55000"/>
    <x v="2"/>
    <x v="2"/>
    <s v="Assistant"/>
    <d v="2020-02-20T00:00:00"/>
    <x v="0"/>
    <s v="name@company.org"/>
    <s v="Phone not provided"/>
    <n v="5"/>
    <s v="Low"/>
    <x v="0"/>
  </r>
  <r>
    <x v="4"/>
    <n v="50"/>
    <n v="65000"/>
    <x v="1"/>
    <x v="0"/>
    <s v="Assistant"/>
    <d v="2020-01-15T00:00:00"/>
    <x v="1"/>
    <s v="Email not provided"/>
    <s v="098-765-4321"/>
    <n v="6"/>
    <s v="High"/>
    <x v="1"/>
  </r>
  <r>
    <x v="0"/>
    <n v="50"/>
    <n v="65000"/>
    <x v="2"/>
    <x v="1"/>
    <s v="Analyst"/>
    <d v="2018-04-05T00:00:00"/>
    <x v="1"/>
    <s v="email@example.com"/>
    <s v="123-456-7890"/>
    <n v="7"/>
    <s v="High"/>
    <x v="1"/>
  </r>
  <r>
    <x v="9"/>
    <n v="35"/>
    <n v="65000"/>
    <x v="2"/>
    <x v="4"/>
    <s v="Manager"/>
    <d v="2019-12-01T00:00:00"/>
    <x v="4"/>
    <s v="email@example.com"/>
    <s v="098-765-4321"/>
    <n v="6"/>
    <s v="High"/>
    <x v="4"/>
  </r>
  <r>
    <x v="0"/>
    <n v="35"/>
    <n v="60000"/>
    <x v="1"/>
    <x v="0"/>
    <s v="Clerk"/>
    <d v="2019-12-01T00:00:00"/>
    <x v="3"/>
    <s v="Email not provided"/>
    <s v="098-765-4321"/>
    <n v="6"/>
    <s v="Medium"/>
    <x v="3"/>
  </r>
  <r>
    <x v="8"/>
    <n v="35"/>
    <n v="60000"/>
    <x v="2"/>
    <x v="1"/>
    <s v="Assistant"/>
    <d v="2019-03-25T00:00:00"/>
    <x v="1"/>
    <s v="Email not provided"/>
    <s v="098-765-4321"/>
    <n v="6"/>
    <s v="Medium"/>
    <x v="1"/>
  </r>
  <r>
    <x v="8"/>
    <n v="40"/>
    <n v="50000"/>
    <x v="0"/>
    <x v="4"/>
    <s v="Analyst"/>
    <d v="2020-01-15T00:00:00"/>
    <x v="2"/>
    <s v="user@domain.com"/>
    <s v="098-765-4321"/>
    <n v="6"/>
    <s v="Low"/>
    <x v="2"/>
  </r>
  <r>
    <x v="9"/>
    <n v="50"/>
    <n v="65000"/>
    <x v="0"/>
    <x v="3"/>
    <s v="Director"/>
    <d v="2018-04-05T00:00:00"/>
    <x v="3"/>
    <s v="Email not provided"/>
    <s v="123-456-7890"/>
    <n v="7"/>
    <s v="High"/>
    <x v="3"/>
  </r>
  <r>
    <x v="9"/>
    <n v="40"/>
    <n v="70000"/>
    <x v="2"/>
    <x v="1"/>
    <s v="Assistant"/>
    <d v="2020-01-15T00:00:00"/>
    <x v="3"/>
    <s v="user@domain.com"/>
    <s v="Phone not provided"/>
    <n v="6"/>
    <s v="High"/>
    <x v="3"/>
  </r>
  <r>
    <x v="1"/>
    <n v="50"/>
    <n v="55000"/>
    <x v="1"/>
    <x v="2"/>
    <s v="Analyst"/>
    <d v="2019-12-01T00:00:00"/>
    <x v="1"/>
    <s v="email@example.com"/>
    <s v="555-555-5555"/>
    <n v="6"/>
    <s v="Low"/>
    <x v="1"/>
  </r>
  <r>
    <x v="9"/>
    <n v="30"/>
    <n v="60000"/>
    <x v="2"/>
    <x v="0"/>
    <s v="Manager"/>
    <d v="2020-01-15T00:00:00"/>
    <x v="2"/>
    <s v="user@domain.com"/>
    <s v="Phone not provided"/>
    <n v="6"/>
    <s v="Medium"/>
    <x v="2"/>
  </r>
  <r>
    <x v="5"/>
    <n v="30"/>
    <n v="70000"/>
    <x v="0"/>
    <x v="1"/>
    <s v="Manager"/>
    <d v="2018-04-05T00:00:00"/>
    <x v="4"/>
    <s v="user@domain.com"/>
    <s v="555-555-5555"/>
    <n v="7"/>
    <s v="High"/>
    <x v="4"/>
  </r>
  <r>
    <x v="0"/>
    <n v="25"/>
    <n v="60000"/>
    <x v="2"/>
    <x v="1"/>
    <s v="Assistant"/>
    <d v="2019-03-25T00:00:00"/>
    <x v="1"/>
    <s v="name@company.org"/>
    <s v="555-555-5555"/>
    <n v="6"/>
    <s v="Medium"/>
    <x v="1"/>
  </r>
  <r>
    <x v="6"/>
    <n v="40"/>
    <n v="60000"/>
    <x v="2"/>
    <x v="2"/>
    <s v="Assistant"/>
    <d v="2020-02-20T00:00:00"/>
    <x v="2"/>
    <s v="Email not provided"/>
    <s v="Phone not provided"/>
    <n v="5"/>
    <s v="Medium"/>
    <x v="2"/>
  </r>
  <r>
    <x v="2"/>
    <n v="35"/>
    <n v="70000"/>
    <x v="0"/>
    <x v="4"/>
    <s v="Clerk"/>
    <d v="2020-01-15T00:00:00"/>
    <x v="3"/>
    <s v="user@domain.com"/>
    <s v="123-456-7890"/>
    <n v="6"/>
    <s v="High"/>
    <x v="3"/>
  </r>
  <r>
    <x v="9"/>
    <n v="40"/>
    <n v="60000"/>
    <x v="2"/>
    <x v="3"/>
    <s v="Analyst"/>
    <d v="2020-02-20T00:00:00"/>
    <x v="2"/>
    <s v="email@example.com"/>
    <s v="Phone not provided"/>
    <n v="5"/>
    <s v="Medium"/>
    <x v="2"/>
  </r>
  <r>
    <x v="3"/>
    <n v="35"/>
    <n v="65000"/>
    <x v="2"/>
    <x v="2"/>
    <s v="Assistant"/>
    <d v="2019-12-01T00:00:00"/>
    <x v="3"/>
    <s v="Email not provided"/>
    <s v="123-456-7890"/>
    <n v="6"/>
    <s v="High"/>
    <x v="3"/>
  </r>
  <r>
    <x v="8"/>
    <n v="35"/>
    <n v="50000"/>
    <x v="1"/>
    <x v="3"/>
    <s v="Clerk"/>
    <d v="2019-03-25T00:00:00"/>
    <x v="1"/>
    <s v="user@domain.com"/>
    <s v="555-555-5555"/>
    <n v="6"/>
    <s v="Low"/>
    <x v="1"/>
  </r>
  <r>
    <x v="5"/>
    <n v="40"/>
    <n v="55000"/>
    <x v="1"/>
    <x v="4"/>
    <s v="Clerk"/>
    <d v="2019-03-25T00:00:00"/>
    <x v="1"/>
    <s v="Email not provided"/>
    <s v="123-456-7890"/>
    <n v="6"/>
    <s v="Low"/>
    <x v="1"/>
  </r>
  <r>
    <x v="4"/>
    <n v="35"/>
    <n v="50000"/>
    <x v="0"/>
    <x v="1"/>
    <s v="Assistant"/>
    <d v="2020-01-15T00:00:00"/>
    <x v="0"/>
    <s v="name@company.org"/>
    <s v="Phone not provided"/>
    <n v="6"/>
    <s v="Low"/>
    <x v="0"/>
  </r>
  <r>
    <x v="2"/>
    <n v="30"/>
    <n v="55000"/>
    <x v="0"/>
    <x v="3"/>
    <s v="Manager"/>
    <d v="2019-03-25T00:00:00"/>
    <x v="0"/>
    <s v="email@example.com"/>
    <s v="Phone not provided"/>
    <n v="6"/>
    <s v="Low"/>
    <x v="0"/>
  </r>
  <r>
    <x v="6"/>
    <n v="30"/>
    <n v="55000"/>
    <x v="0"/>
    <x v="0"/>
    <s v="Analyst"/>
    <d v="2020-01-15T00:00:00"/>
    <x v="0"/>
    <s v="name@company.org"/>
    <s v="Phone not provided"/>
    <n v="6"/>
    <s v="Low"/>
    <x v="0"/>
  </r>
  <r>
    <x v="2"/>
    <n v="25"/>
    <n v="50000"/>
    <x v="1"/>
    <x v="0"/>
    <s v="Analyst"/>
    <d v="2020-01-15T00:00:00"/>
    <x v="1"/>
    <s v="Email not provided"/>
    <s v="555-555-5555"/>
    <n v="6"/>
    <s v="Low"/>
    <x v="1"/>
  </r>
  <r>
    <x v="9"/>
    <n v="40"/>
    <n v="70000"/>
    <x v="0"/>
    <x v="2"/>
    <s v="Manager"/>
    <d v="2020-02-20T00:00:00"/>
    <x v="4"/>
    <s v="user@domain.com"/>
    <s v="Phone not provided"/>
    <n v="5"/>
    <s v="High"/>
    <x v="4"/>
  </r>
  <r>
    <x v="1"/>
    <n v="35"/>
    <n v="55000"/>
    <x v="0"/>
    <x v="4"/>
    <s v="Assistant"/>
    <d v="2019-03-25T00:00:00"/>
    <x v="1"/>
    <s v="user@domain.com"/>
    <s v="555-555-5555"/>
    <n v="6"/>
    <s v="Low"/>
    <x v="1"/>
  </r>
  <r>
    <x v="8"/>
    <n v="35"/>
    <n v="50000"/>
    <x v="0"/>
    <x v="2"/>
    <s v="Analyst"/>
    <d v="2020-01-15T00:00:00"/>
    <x v="2"/>
    <s v="Email not provided"/>
    <s v="Phone not provided"/>
    <n v="6"/>
    <s v="Low"/>
    <x v="2"/>
  </r>
  <r>
    <x v="8"/>
    <n v="30"/>
    <n v="55000"/>
    <x v="1"/>
    <x v="2"/>
    <s v="Assistant"/>
    <d v="2020-02-20T00:00:00"/>
    <x v="1"/>
    <s v="user@domain.com"/>
    <s v="555-555-5555"/>
    <n v="5"/>
    <s v="Low"/>
    <x v="1"/>
  </r>
  <r>
    <x v="4"/>
    <n v="30"/>
    <n v="60000"/>
    <x v="2"/>
    <x v="2"/>
    <s v="Assistant"/>
    <d v="2018-04-05T00:00:00"/>
    <x v="1"/>
    <s v="email@example.com"/>
    <s v="Phone not provided"/>
    <n v="7"/>
    <s v="Medium"/>
    <x v="1"/>
  </r>
  <r>
    <x v="1"/>
    <n v="35"/>
    <n v="70000"/>
    <x v="0"/>
    <x v="0"/>
    <s v="Clerk"/>
    <d v="2020-02-20T00:00:00"/>
    <x v="3"/>
    <s v="Email not provided"/>
    <s v="Phone not provided"/>
    <n v="5"/>
    <s v="High"/>
    <x v="3"/>
  </r>
  <r>
    <x v="0"/>
    <n v="35"/>
    <n v="65000"/>
    <x v="2"/>
    <x v="0"/>
    <s v="Manager"/>
    <d v="2020-02-20T00:00:00"/>
    <x v="3"/>
    <s v="name@company.org"/>
    <s v="555-555-5555"/>
    <n v="5"/>
    <s v="High"/>
    <x v="3"/>
  </r>
  <r>
    <x v="7"/>
    <n v="35"/>
    <n v="55000"/>
    <x v="0"/>
    <x v="2"/>
    <s v="Assistant"/>
    <d v="2020-01-15T00:00:00"/>
    <x v="3"/>
    <s v="Email not provided"/>
    <s v="Phone not provided"/>
    <n v="6"/>
    <s v="Low"/>
    <x v="3"/>
  </r>
  <r>
    <x v="5"/>
    <n v="40"/>
    <n v="60000"/>
    <x v="2"/>
    <x v="0"/>
    <s v="Director"/>
    <d v="2019-12-01T00:00:00"/>
    <x v="1"/>
    <s v="user@domain.com"/>
    <s v="Phone not provided"/>
    <n v="6"/>
    <s v="Medium"/>
    <x v="1"/>
  </r>
  <r>
    <x v="8"/>
    <n v="40"/>
    <n v="65000"/>
    <x v="1"/>
    <x v="4"/>
    <s v="Manager"/>
    <d v="2019-12-01T00:00:00"/>
    <x v="4"/>
    <s v="name@company.org"/>
    <s v="555-555-5555"/>
    <n v="6"/>
    <s v="High"/>
    <x v="4"/>
  </r>
  <r>
    <x v="3"/>
    <n v="50"/>
    <n v="65000"/>
    <x v="1"/>
    <x v="2"/>
    <s v="Analyst"/>
    <d v="2019-12-01T00:00:00"/>
    <x v="2"/>
    <s v="Email not provided"/>
    <s v="Phone not provided"/>
    <n v="6"/>
    <s v="High"/>
    <x v="2"/>
  </r>
  <r>
    <x v="8"/>
    <n v="50"/>
    <n v="55000"/>
    <x v="0"/>
    <x v="0"/>
    <s v="Clerk"/>
    <d v="2020-02-20T00:00:00"/>
    <x v="2"/>
    <s v="Email not provided"/>
    <s v="Phone not provided"/>
    <n v="5"/>
    <s v="Low"/>
    <x v="2"/>
  </r>
  <r>
    <x v="2"/>
    <n v="25"/>
    <n v="50000"/>
    <x v="2"/>
    <x v="3"/>
    <s v="Analyst"/>
    <d v="2020-01-15T00:00:00"/>
    <x v="4"/>
    <s v="name@company.org"/>
    <s v="Phone not provided"/>
    <n v="6"/>
    <s v="Low"/>
    <x v="4"/>
  </r>
  <r>
    <x v="8"/>
    <n v="30"/>
    <n v="55000"/>
    <x v="1"/>
    <x v="2"/>
    <s v="Analyst"/>
    <d v="2019-03-25T00:00:00"/>
    <x v="4"/>
    <s v="name@company.org"/>
    <s v="Phone not provided"/>
    <n v="6"/>
    <s v="Low"/>
    <x v="4"/>
  </r>
  <r>
    <x v="8"/>
    <n v="40"/>
    <n v="60000"/>
    <x v="0"/>
    <x v="2"/>
    <s v="Manager"/>
    <d v="2020-02-20T00:00:00"/>
    <x v="2"/>
    <s v="name@company.org"/>
    <s v="Phone not provided"/>
    <n v="5"/>
    <s v="Medium"/>
    <x v="2"/>
  </r>
  <r>
    <x v="7"/>
    <n v="35"/>
    <n v="65000"/>
    <x v="0"/>
    <x v="4"/>
    <s v="Analyst"/>
    <d v="2020-02-20T00:00:00"/>
    <x v="0"/>
    <s v="email@example.com"/>
    <s v="555-555-5555"/>
    <n v="5"/>
    <s v="High"/>
    <x v="0"/>
  </r>
  <r>
    <x v="7"/>
    <n v="35"/>
    <n v="55000"/>
    <x v="1"/>
    <x v="1"/>
    <s v="Assistant"/>
    <d v="2020-01-15T00:00:00"/>
    <x v="3"/>
    <s v="Email not provided"/>
    <s v="Phone not provided"/>
    <n v="6"/>
    <s v="Low"/>
    <x v="3"/>
  </r>
  <r>
    <x v="6"/>
    <n v="35"/>
    <n v="50000"/>
    <x v="1"/>
    <x v="1"/>
    <s v="Analyst"/>
    <d v="2018-04-05T00:00:00"/>
    <x v="3"/>
    <s v="name@company.org"/>
    <s v="Phone not provided"/>
    <n v="7"/>
    <s v="Low"/>
    <x v="3"/>
  </r>
  <r>
    <x v="0"/>
    <n v="30"/>
    <n v="55000"/>
    <x v="0"/>
    <x v="4"/>
    <s v="Clerk"/>
    <d v="2020-02-20T00:00:00"/>
    <x v="2"/>
    <s v="Email not provided"/>
    <s v="123-456-7890"/>
    <n v="5"/>
    <s v="Low"/>
    <x v="2"/>
  </r>
  <r>
    <x v="3"/>
    <n v="50"/>
    <n v="70000"/>
    <x v="2"/>
    <x v="4"/>
    <s v="Clerk"/>
    <d v="2018-04-05T00:00:00"/>
    <x v="4"/>
    <s v="name@company.org"/>
    <s v="Phone not provided"/>
    <n v="7"/>
    <s v="High"/>
    <x v="4"/>
  </r>
  <r>
    <x v="8"/>
    <n v="35"/>
    <n v="50000"/>
    <x v="2"/>
    <x v="4"/>
    <s v="Director"/>
    <d v="2018-04-05T00:00:00"/>
    <x v="0"/>
    <s v="Email not provided"/>
    <s v="Phone not provided"/>
    <n v="7"/>
    <s v="Low"/>
    <x v="0"/>
  </r>
  <r>
    <x v="8"/>
    <n v="25"/>
    <n v="60000"/>
    <x v="2"/>
    <x v="1"/>
    <s v="Clerk"/>
    <d v="2019-12-01T00:00:00"/>
    <x v="2"/>
    <s v="Email not provided"/>
    <s v="123-456-7890"/>
    <n v="6"/>
    <s v="Medium"/>
    <x v="2"/>
  </r>
  <r>
    <x v="5"/>
    <n v="30"/>
    <n v="65000"/>
    <x v="0"/>
    <x v="4"/>
    <s v="Analyst"/>
    <d v="2020-01-15T00:00:00"/>
    <x v="3"/>
    <s v="Email not provided"/>
    <s v="Phone not provided"/>
    <n v="6"/>
    <s v="High"/>
    <x v="3"/>
  </r>
  <r>
    <x v="7"/>
    <n v="50"/>
    <n v="55000"/>
    <x v="1"/>
    <x v="0"/>
    <s v="Clerk"/>
    <d v="2018-04-05T00:00:00"/>
    <x v="1"/>
    <s v="user@domain.com"/>
    <s v="098-765-4321"/>
    <n v="7"/>
    <s v="Low"/>
    <x v="1"/>
  </r>
  <r>
    <x v="3"/>
    <n v="35"/>
    <n v="50000"/>
    <x v="0"/>
    <x v="2"/>
    <s v="Manager"/>
    <d v="2020-01-15T00:00:00"/>
    <x v="4"/>
    <s v="name@company.org"/>
    <s v="098-765-4321"/>
    <n v="6"/>
    <s v="Low"/>
    <x v="4"/>
  </r>
  <r>
    <x v="4"/>
    <n v="50"/>
    <n v="70000"/>
    <x v="1"/>
    <x v="2"/>
    <s v="Clerk"/>
    <d v="2019-12-01T00:00:00"/>
    <x v="1"/>
    <s v="user@domain.com"/>
    <s v="Phone not provided"/>
    <n v="6"/>
    <s v="High"/>
    <x v="1"/>
  </r>
  <r>
    <x v="6"/>
    <n v="25"/>
    <n v="50000"/>
    <x v="2"/>
    <x v="3"/>
    <s v="Assistant"/>
    <d v="2020-01-15T00:00:00"/>
    <x v="2"/>
    <s v="Email not provided"/>
    <s v="Phone not provided"/>
    <n v="6"/>
    <s v="Low"/>
    <x v="2"/>
  </r>
  <r>
    <x v="0"/>
    <n v="30"/>
    <n v="60000"/>
    <x v="2"/>
    <x v="3"/>
    <s v="Manager"/>
    <d v="2020-02-20T00:00:00"/>
    <x v="3"/>
    <s v="user@domain.com"/>
    <s v="098-765-4321"/>
    <n v="5"/>
    <s v="Medium"/>
    <x v="3"/>
  </r>
  <r>
    <x v="1"/>
    <n v="35"/>
    <n v="70000"/>
    <x v="1"/>
    <x v="2"/>
    <s v="Director"/>
    <d v="2018-04-05T00:00:00"/>
    <x v="0"/>
    <s v="Email not provided"/>
    <s v="555-555-5555"/>
    <n v="7"/>
    <s v="High"/>
    <x v="0"/>
  </r>
  <r>
    <x v="0"/>
    <n v="25"/>
    <n v="60000"/>
    <x v="1"/>
    <x v="0"/>
    <s v="Assistant"/>
    <d v="2020-01-15T00:00:00"/>
    <x v="1"/>
    <s v="Email not provided"/>
    <s v="555-555-5555"/>
    <n v="6"/>
    <s v="Medium"/>
    <x v="1"/>
  </r>
  <r>
    <x v="2"/>
    <n v="50"/>
    <n v="65000"/>
    <x v="0"/>
    <x v="1"/>
    <s v="Analyst"/>
    <d v="2019-03-25T00:00:00"/>
    <x v="0"/>
    <s v="Email not provided"/>
    <s v="123-456-7890"/>
    <n v="6"/>
    <s v="High"/>
    <x v="0"/>
  </r>
  <r>
    <x v="8"/>
    <n v="25"/>
    <n v="60000"/>
    <x v="2"/>
    <x v="1"/>
    <s v="Analyst"/>
    <d v="2020-01-15T00:00:00"/>
    <x v="3"/>
    <s v="user@domain.com"/>
    <s v="Phone not provided"/>
    <n v="6"/>
    <s v="Medium"/>
    <x v="3"/>
  </r>
  <r>
    <x v="6"/>
    <n v="30"/>
    <n v="55000"/>
    <x v="0"/>
    <x v="0"/>
    <s v="Analyst"/>
    <d v="2018-04-05T00:00:00"/>
    <x v="1"/>
    <s v="name@company.org"/>
    <s v="Phone not provided"/>
    <n v="7"/>
    <s v="Low"/>
    <x v="1"/>
  </r>
  <r>
    <x v="2"/>
    <n v="40"/>
    <n v="50000"/>
    <x v="0"/>
    <x v="1"/>
    <s v="Assistant"/>
    <d v="2019-12-01T00:00:00"/>
    <x v="0"/>
    <s v="user@domain.com"/>
    <s v="098-765-4321"/>
    <n v="6"/>
    <s v="Low"/>
    <x v="0"/>
  </r>
  <r>
    <x v="3"/>
    <n v="25"/>
    <n v="60000"/>
    <x v="0"/>
    <x v="4"/>
    <s v="Assistant"/>
    <d v="2019-12-01T00:00:00"/>
    <x v="0"/>
    <s v="name@company.org"/>
    <s v="Phone not provided"/>
    <n v="6"/>
    <s v="Medium"/>
    <x v="0"/>
  </r>
  <r>
    <x v="1"/>
    <n v="25"/>
    <n v="70000"/>
    <x v="2"/>
    <x v="2"/>
    <s v="Assistant"/>
    <d v="2018-04-05T00:00:00"/>
    <x v="1"/>
    <s v="name@company.org"/>
    <s v="Phone not provided"/>
    <n v="7"/>
    <s v="High"/>
    <x v="1"/>
  </r>
  <r>
    <x v="7"/>
    <n v="50"/>
    <n v="70000"/>
    <x v="0"/>
    <x v="2"/>
    <s v="Manager"/>
    <d v="2020-02-20T00:00:00"/>
    <x v="3"/>
    <s v="Email not provided"/>
    <s v="098-765-4321"/>
    <n v="5"/>
    <s v="High"/>
    <x v="3"/>
  </r>
  <r>
    <x v="6"/>
    <n v="50"/>
    <n v="50000"/>
    <x v="0"/>
    <x v="0"/>
    <s v="Manager"/>
    <d v="2020-02-20T00:00:00"/>
    <x v="0"/>
    <s v="user@domain.com"/>
    <s v="098-765-4321"/>
    <n v="5"/>
    <s v="Low"/>
    <x v="0"/>
  </r>
  <r>
    <x v="6"/>
    <n v="35"/>
    <n v="60000"/>
    <x v="0"/>
    <x v="1"/>
    <s v="Analyst"/>
    <d v="2019-12-01T00:00:00"/>
    <x v="2"/>
    <s v="name@company.org"/>
    <s v="Phone not provided"/>
    <n v="6"/>
    <s v="Medium"/>
    <x v="2"/>
  </r>
  <r>
    <x v="8"/>
    <n v="50"/>
    <n v="50000"/>
    <x v="0"/>
    <x v="3"/>
    <s v="Clerk"/>
    <d v="2019-12-01T00:00:00"/>
    <x v="1"/>
    <s v="Email not provided"/>
    <s v="098-765-4321"/>
    <n v="6"/>
    <s v="Low"/>
    <x v="1"/>
  </r>
  <r>
    <x v="9"/>
    <n v="35"/>
    <n v="55000"/>
    <x v="0"/>
    <x v="3"/>
    <s v="Analyst"/>
    <d v="2018-04-05T00:00:00"/>
    <x v="4"/>
    <s v="name@company.org"/>
    <s v="123-456-7890"/>
    <n v="7"/>
    <s v="Low"/>
    <x v="4"/>
  </r>
  <r>
    <x v="6"/>
    <n v="30"/>
    <n v="60000"/>
    <x v="0"/>
    <x v="1"/>
    <s v="Director"/>
    <d v="2020-02-20T00:00:00"/>
    <x v="4"/>
    <s v="Email not provided"/>
    <s v="123-456-7890"/>
    <n v="5"/>
    <s v="Medium"/>
    <x v="4"/>
  </r>
  <r>
    <x v="5"/>
    <n v="30"/>
    <n v="70000"/>
    <x v="2"/>
    <x v="3"/>
    <s v="Manager"/>
    <d v="2019-12-01T00:00:00"/>
    <x v="3"/>
    <s v="user@domain.com"/>
    <s v="Phone not provided"/>
    <n v="6"/>
    <s v="High"/>
    <x v="3"/>
  </r>
  <r>
    <x v="1"/>
    <n v="40"/>
    <n v="55000"/>
    <x v="0"/>
    <x v="0"/>
    <s v="Assistant"/>
    <d v="2020-02-20T00:00:00"/>
    <x v="2"/>
    <s v="user@domain.com"/>
    <s v="Phone not provided"/>
    <n v="5"/>
    <s v="Low"/>
    <x v="2"/>
  </r>
  <r>
    <x v="1"/>
    <n v="40"/>
    <n v="60000"/>
    <x v="1"/>
    <x v="0"/>
    <s v="Manager"/>
    <d v="2019-12-01T00:00:00"/>
    <x v="0"/>
    <s v="user@domain.com"/>
    <s v="123-456-7890"/>
    <n v="6"/>
    <s v="Medium"/>
    <x v="0"/>
  </r>
  <r>
    <x v="5"/>
    <n v="30"/>
    <n v="55000"/>
    <x v="0"/>
    <x v="1"/>
    <s v="Assistant"/>
    <d v="2020-01-15T00:00:00"/>
    <x v="4"/>
    <s v="name@company.org"/>
    <s v="123-456-7890"/>
    <n v="6"/>
    <s v="Low"/>
    <x v="4"/>
  </r>
  <r>
    <x v="4"/>
    <n v="40"/>
    <n v="60000"/>
    <x v="0"/>
    <x v="3"/>
    <s v="Director"/>
    <d v="2019-03-25T00:00:00"/>
    <x v="3"/>
    <s v="email@example.com"/>
    <s v="Phone not provided"/>
    <n v="6"/>
    <s v="Medium"/>
    <x v="3"/>
  </r>
  <r>
    <x v="5"/>
    <n v="35"/>
    <n v="70000"/>
    <x v="2"/>
    <x v="0"/>
    <s v="Director"/>
    <d v="2020-01-15T00:00:00"/>
    <x v="2"/>
    <s v="name@company.org"/>
    <s v="555-555-5555"/>
    <n v="6"/>
    <s v="High"/>
    <x v="2"/>
  </r>
  <r>
    <x v="5"/>
    <n v="50"/>
    <n v="50000"/>
    <x v="2"/>
    <x v="0"/>
    <s v="Manager"/>
    <d v="2019-12-01T00:00:00"/>
    <x v="2"/>
    <s v="name@company.org"/>
    <s v="098-765-4321"/>
    <n v="6"/>
    <s v="Low"/>
    <x v="2"/>
  </r>
  <r>
    <x v="1"/>
    <n v="30"/>
    <n v="50000"/>
    <x v="1"/>
    <x v="4"/>
    <s v="Assistant"/>
    <d v="2019-03-25T00:00:00"/>
    <x v="3"/>
    <s v="Email not provided"/>
    <s v="123-456-7890"/>
    <n v="6"/>
    <s v="Low"/>
    <x v="3"/>
  </r>
  <r>
    <x v="0"/>
    <n v="40"/>
    <n v="60000"/>
    <x v="1"/>
    <x v="4"/>
    <s v="Director"/>
    <d v="2019-03-25T00:00:00"/>
    <x v="3"/>
    <s v="Email not provided"/>
    <s v="555-555-5555"/>
    <n v="6"/>
    <s v="Medium"/>
    <x v="3"/>
  </r>
  <r>
    <x v="1"/>
    <n v="30"/>
    <n v="65000"/>
    <x v="2"/>
    <x v="0"/>
    <s v="Analyst"/>
    <d v="2019-12-01T00:00:00"/>
    <x v="0"/>
    <s v="name@company.org"/>
    <s v="Phone not provided"/>
    <n v="6"/>
    <s v="High"/>
    <x v="0"/>
  </r>
  <r>
    <x v="9"/>
    <n v="35"/>
    <n v="60000"/>
    <x v="2"/>
    <x v="1"/>
    <s v="Analyst"/>
    <d v="2019-12-01T00:00:00"/>
    <x v="3"/>
    <s v="Email not provided"/>
    <s v="555-555-5555"/>
    <n v="6"/>
    <s v="Medium"/>
    <x v="3"/>
  </r>
  <r>
    <x v="8"/>
    <n v="25"/>
    <n v="60000"/>
    <x v="0"/>
    <x v="2"/>
    <s v="Assistant"/>
    <d v="2020-02-20T00:00:00"/>
    <x v="0"/>
    <s v="Email not provided"/>
    <s v="Phone not provided"/>
    <n v="5"/>
    <s v="Medium"/>
    <x v="0"/>
  </r>
  <r>
    <x v="2"/>
    <n v="50"/>
    <n v="65000"/>
    <x v="2"/>
    <x v="2"/>
    <s v="Manager"/>
    <d v="2019-12-01T00:00:00"/>
    <x v="0"/>
    <s v="name@company.org"/>
    <s v="Phone not provided"/>
    <n v="6"/>
    <s v="High"/>
    <x v="0"/>
  </r>
  <r>
    <x v="0"/>
    <n v="30"/>
    <n v="55000"/>
    <x v="1"/>
    <x v="0"/>
    <s v="Director"/>
    <d v="2018-04-05T00:00:00"/>
    <x v="1"/>
    <s v="email@example.com"/>
    <s v="Phone not provided"/>
    <n v="7"/>
    <s v="Low"/>
    <x v="1"/>
  </r>
  <r>
    <x v="7"/>
    <n v="25"/>
    <n v="60000"/>
    <x v="0"/>
    <x v="0"/>
    <s v="Manager"/>
    <d v="2019-12-01T00:00:00"/>
    <x v="2"/>
    <s v="Email not provided"/>
    <s v="555-555-5555"/>
    <n v="6"/>
    <s v="Medium"/>
    <x v="2"/>
  </r>
  <r>
    <x v="2"/>
    <n v="40"/>
    <n v="55000"/>
    <x v="1"/>
    <x v="0"/>
    <s v="Analyst"/>
    <d v="2018-04-05T00:00:00"/>
    <x v="2"/>
    <s v="user@domain.com"/>
    <s v="Phone not provided"/>
    <n v="7"/>
    <s v="Low"/>
    <x v="2"/>
  </r>
  <r>
    <x v="8"/>
    <n v="25"/>
    <n v="70000"/>
    <x v="0"/>
    <x v="1"/>
    <s v="Director"/>
    <d v="2019-12-01T00:00:00"/>
    <x v="2"/>
    <s v="name@company.org"/>
    <s v="123-456-7890"/>
    <n v="6"/>
    <s v="High"/>
    <x v="2"/>
  </r>
  <r>
    <x v="9"/>
    <n v="50"/>
    <n v="60000"/>
    <x v="2"/>
    <x v="4"/>
    <s v="Manager"/>
    <d v="2020-02-20T00:00:00"/>
    <x v="1"/>
    <s v="name@company.org"/>
    <s v="555-555-5555"/>
    <n v="5"/>
    <s v="Medium"/>
    <x v="1"/>
  </r>
  <r>
    <x v="9"/>
    <n v="30"/>
    <n v="65000"/>
    <x v="1"/>
    <x v="0"/>
    <s v="Clerk"/>
    <d v="2018-04-05T00:00:00"/>
    <x v="0"/>
    <s v="Email not provided"/>
    <s v="123-456-7890"/>
    <n v="7"/>
    <s v="High"/>
    <x v="0"/>
  </r>
  <r>
    <x v="7"/>
    <n v="35"/>
    <n v="70000"/>
    <x v="0"/>
    <x v="0"/>
    <s v="Assistant"/>
    <d v="2020-01-15T00:00:00"/>
    <x v="0"/>
    <s v="Email not provided"/>
    <s v="555-555-5555"/>
    <n v="6"/>
    <s v="High"/>
    <x v="0"/>
  </r>
  <r>
    <x v="0"/>
    <n v="40"/>
    <n v="50000"/>
    <x v="0"/>
    <x v="3"/>
    <s v="Assistant"/>
    <d v="2018-04-05T00:00:00"/>
    <x v="3"/>
    <s v="Email not provided"/>
    <s v="123-456-7890"/>
    <n v="7"/>
    <s v="Low"/>
    <x v="3"/>
  </r>
  <r>
    <x v="4"/>
    <n v="30"/>
    <n v="65000"/>
    <x v="2"/>
    <x v="1"/>
    <s v="Clerk"/>
    <d v="2020-02-20T00:00:00"/>
    <x v="1"/>
    <s v="Email not provided"/>
    <s v="555-555-5555"/>
    <n v="5"/>
    <s v="High"/>
    <x v="1"/>
  </r>
  <r>
    <x v="5"/>
    <n v="50"/>
    <n v="60000"/>
    <x v="2"/>
    <x v="0"/>
    <s v="Analyst"/>
    <d v="2018-04-05T00:00:00"/>
    <x v="3"/>
    <s v="user@domain.com"/>
    <s v="Phone not provided"/>
    <n v="7"/>
    <s v="Medium"/>
    <x v="3"/>
  </r>
  <r>
    <x v="0"/>
    <n v="40"/>
    <n v="50000"/>
    <x v="2"/>
    <x v="3"/>
    <s v="Director"/>
    <d v="2019-12-01T00:00:00"/>
    <x v="1"/>
    <s v="Email not provided"/>
    <s v="098-765-4321"/>
    <n v="6"/>
    <s v="Low"/>
    <x v="1"/>
  </r>
  <r>
    <x v="4"/>
    <n v="35"/>
    <n v="50000"/>
    <x v="1"/>
    <x v="2"/>
    <s v="Assistant"/>
    <d v="2019-12-01T00:00:00"/>
    <x v="3"/>
    <s v="Email not provided"/>
    <s v="Phone not provided"/>
    <n v="6"/>
    <s v="Low"/>
    <x v="3"/>
  </r>
  <r>
    <x v="9"/>
    <n v="25"/>
    <n v="60000"/>
    <x v="0"/>
    <x v="0"/>
    <s v="Clerk"/>
    <d v="2020-02-20T00:00:00"/>
    <x v="4"/>
    <s v="Email not provided"/>
    <s v="123-456-7890"/>
    <n v="5"/>
    <s v="Medium"/>
    <x v="4"/>
  </r>
  <r>
    <x v="1"/>
    <n v="50"/>
    <n v="60000"/>
    <x v="2"/>
    <x v="0"/>
    <s v="Clerk"/>
    <d v="2019-03-25T00:00:00"/>
    <x v="2"/>
    <s v="Email not provided"/>
    <s v="Phone not provided"/>
    <n v="6"/>
    <s v="Medium"/>
    <x v="2"/>
  </r>
  <r>
    <x v="8"/>
    <n v="35"/>
    <n v="50000"/>
    <x v="1"/>
    <x v="3"/>
    <s v="Analyst"/>
    <d v="2019-12-01T00:00:00"/>
    <x v="2"/>
    <s v="email@example.com"/>
    <s v="Phone not provided"/>
    <n v="6"/>
    <s v="Low"/>
    <x v="2"/>
  </r>
  <r>
    <x v="7"/>
    <n v="30"/>
    <n v="65000"/>
    <x v="1"/>
    <x v="1"/>
    <s v="Analyst"/>
    <d v="2020-01-15T00:00:00"/>
    <x v="0"/>
    <s v="email@example.com"/>
    <s v="098-765-4321"/>
    <n v="6"/>
    <s v="High"/>
    <x v="0"/>
  </r>
  <r>
    <x v="8"/>
    <n v="35"/>
    <n v="70000"/>
    <x v="1"/>
    <x v="0"/>
    <s v="Manager"/>
    <d v="2020-02-20T00:00:00"/>
    <x v="4"/>
    <s v="name@company.org"/>
    <s v="123-456-7890"/>
    <n v="5"/>
    <s v="High"/>
    <x v="4"/>
  </r>
  <r>
    <x v="3"/>
    <n v="40"/>
    <n v="50000"/>
    <x v="2"/>
    <x v="2"/>
    <s v="Assistant"/>
    <d v="2018-04-05T00:00:00"/>
    <x v="2"/>
    <s v="name@company.org"/>
    <s v="Phone not provided"/>
    <n v="7"/>
    <s v="Low"/>
    <x v="2"/>
  </r>
  <r>
    <x v="3"/>
    <n v="25"/>
    <n v="65000"/>
    <x v="2"/>
    <x v="0"/>
    <s v="Manager"/>
    <d v="2018-04-05T00:00:00"/>
    <x v="0"/>
    <s v="Email not provided"/>
    <s v="555-555-5555"/>
    <n v="7"/>
    <s v="High"/>
    <x v="0"/>
  </r>
  <r>
    <x v="0"/>
    <n v="40"/>
    <n v="55000"/>
    <x v="0"/>
    <x v="2"/>
    <s v="Clerk"/>
    <d v="2020-01-15T00:00:00"/>
    <x v="4"/>
    <s v="Email not provided"/>
    <s v="Phone not provided"/>
    <n v="6"/>
    <s v="Low"/>
    <x v="4"/>
  </r>
  <r>
    <x v="9"/>
    <n v="30"/>
    <n v="65000"/>
    <x v="0"/>
    <x v="4"/>
    <s v="Director"/>
    <d v="2019-12-01T00:00:00"/>
    <x v="2"/>
    <s v="user@domain.com"/>
    <s v="123-456-7890"/>
    <n v="6"/>
    <s v="High"/>
    <x v="2"/>
  </r>
  <r>
    <x v="9"/>
    <n v="40"/>
    <n v="70000"/>
    <x v="2"/>
    <x v="4"/>
    <s v="Director"/>
    <d v="2020-02-20T00:00:00"/>
    <x v="3"/>
    <s v="user@domain.com"/>
    <s v="Phone not provided"/>
    <n v="5"/>
    <s v="High"/>
    <x v="3"/>
  </r>
  <r>
    <x v="5"/>
    <n v="25"/>
    <n v="65000"/>
    <x v="1"/>
    <x v="2"/>
    <s v="Analyst"/>
    <d v="2020-01-15T00:00:00"/>
    <x v="1"/>
    <s v="email@example.com"/>
    <s v="123-456-7890"/>
    <n v="6"/>
    <s v="High"/>
    <x v="1"/>
  </r>
  <r>
    <x v="5"/>
    <n v="30"/>
    <n v="60000"/>
    <x v="1"/>
    <x v="1"/>
    <s v="Director"/>
    <d v="2019-12-01T00:00:00"/>
    <x v="4"/>
    <s v="name@company.org"/>
    <s v="555-555-5555"/>
    <n v="6"/>
    <s v="Medium"/>
    <x v="4"/>
  </r>
  <r>
    <x v="5"/>
    <n v="40"/>
    <n v="70000"/>
    <x v="1"/>
    <x v="0"/>
    <s v="Director"/>
    <d v="2020-02-20T00:00:00"/>
    <x v="0"/>
    <s v="email@example.com"/>
    <s v="098-765-4321"/>
    <n v="5"/>
    <s v="High"/>
    <x v="0"/>
  </r>
  <r>
    <x v="1"/>
    <n v="35"/>
    <n v="60000"/>
    <x v="0"/>
    <x v="0"/>
    <s v="Director"/>
    <d v="2018-04-05T00:00:00"/>
    <x v="4"/>
    <s v="email@example.com"/>
    <s v="Phone not provided"/>
    <n v="7"/>
    <s v="Medium"/>
    <x v="4"/>
  </r>
  <r>
    <x v="2"/>
    <n v="50"/>
    <n v="55000"/>
    <x v="1"/>
    <x v="4"/>
    <s v="Clerk"/>
    <d v="2020-02-20T00:00:00"/>
    <x v="0"/>
    <s v="name@company.org"/>
    <s v="123-456-7890"/>
    <n v="5"/>
    <s v="Low"/>
    <x v="0"/>
  </r>
  <r>
    <x v="6"/>
    <n v="30"/>
    <n v="60000"/>
    <x v="0"/>
    <x v="2"/>
    <s v="Director"/>
    <d v="2019-03-25T00:00:00"/>
    <x v="4"/>
    <s v="user@domain.com"/>
    <s v="123-456-7890"/>
    <n v="6"/>
    <s v="Medium"/>
    <x v="4"/>
  </r>
  <r>
    <x v="2"/>
    <n v="50"/>
    <n v="60000"/>
    <x v="0"/>
    <x v="0"/>
    <s v="Director"/>
    <d v="2020-02-20T00:00:00"/>
    <x v="0"/>
    <s v="name@company.org"/>
    <s v="123-456-7890"/>
    <n v="5"/>
    <s v="Medium"/>
    <x v="0"/>
  </r>
  <r>
    <x v="8"/>
    <n v="30"/>
    <n v="65000"/>
    <x v="1"/>
    <x v="0"/>
    <s v="Director"/>
    <d v="2019-03-25T00:00:00"/>
    <x v="2"/>
    <s v="Email not provided"/>
    <s v="098-765-4321"/>
    <n v="6"/>
    <s v="High"/>
    <x v="2"/>
  </r>
  <r>
    <x v="2"/>
    <n v="35"/>
    <n v="70000"/>
    <x v="1"/>
    <x v="1"/>
    <s v="Manager"/>
    <d v="2020-02-20T00:00:00"/>
    <x v="3"/>
    <s v="Email not provided"/>
    <s v="123-456-7890"/>
    <n v="5"/>
    <s v="High"/>
    <x v="3"/>
  </r>
  <r>
    <x v="1"/>
    <n v="50"/>
    <n v="55000"/>
    <x v="2"/>
    <x v="3"/>
    <s v="Clerk"/>
    <d v="2019-03-25T00:00:00"/>
    <x v="2"/>
    <s v="Email not provided"/>
    <s v="Phone not provided"/>
    <n v="6"/>
    <s v="Low"/>
    <x v="2"/>
  </r>
  <r>
    <x v="8"/>
    <n v="35"/>
    <n v="60000"/>
    <x v="2"/>
    <x v="4"/>
    <s v="Analyst"/>
    <d v="2018-04-05T00:00:00"/>
    <x v="3"/>
    <s v="Email not provided"/>
    <s v="Phone not provided"/>
    <n v="7"/>
    <s v="Medium"/>
    <x v="3"/>
  </r>
  <r>
    <x v="2"/>
    <n v="25"/>
    <n v="60000"/>
    <x v="1"/>
    <x v="4"/>
    <s v="Manager"/>
    <d v="2019-12-01T00:00:00"/>
    <x v="2"/>
    <s v="user@domain.com"/>
    <s v="123-456-7890"/>
    <n v="6"/>
    <s v="Medium"/>
    <x v="2"/>
  </r>
  <r>
    <x v="1"/>
    <n v="35"/>
    <n v="60000"/>
    <x v="0"/>
    <x v="3"/>
    <s v="Assistant"/>
    <d v="2019-03-25T00:00:00"/>
    <x v="2"/>
    <s v="user@domain.com"/>
    <s v="Phone not provided"/>
    <n v="6"/>
    <s v="Medium"/>
    <x v="2"/>
  </r>
  <r>
    <x v="6"/>
    <n v="40"/>
    <n v="55000"/>
    <x v="0"/>
    <x v="0"/>
    <s v="Clerk"/>
    <d v="2019-03-25T00:00:00"/>
    <x v="4"/>
    <s v="Email not provided"/>
    <s v="Phone not provided"/>
    <n v="6"/>
    <s v="Low"/>
    <x v="4"/>
  </r>
  <r>
    <x v="2"/>
    <n v="35"/>
    <n v="65000"/>
    <x v="0"/>
    <x v="1"/>
    <s v="Clerk"/>
    <d v="2018-04-05T00:00:00"/>
    <x v="1"/>
    <s v="email@example.com"/>
    <s v="Phone not provided"/>
    <n v="7"/>
    <s v="High"/>
    <x v="1"/>
  </r>
  <r>
    <x v="1"/>
    <n v="35"/>
    <n v="55000"/>
    <x v="0"/>
    <x v="1"/>
    <s v="Assistant"/>
    <d v="2019-03-25T00:00:00"/>
    <x v="0"/>
    <s v="Email not provided"/>
    <s v="123-456-7890"/>
    <n v="6"/>
    <s v="Low"/>
    <x v="0"/>
  </r>
  <r>
    <x v="5"/>
    <n v="30"/>
    <n v="60000"/>
    <x v="0"/>
    <x v="4"/>
    <s v="Assistant"/>
    <d v="2020-01-15T00:00:00"/>
    <x v="0"/>
    <s v="Email not provided"/>
    <s v="555-555-5555"/>
    <n v="6"/>
    <s v="Medium"/>
    <x v="0"/>
  </r>
  <r>
    <x v="9"/>
    <n v="40"/>
    <n v="50000"/>
    <x v="2"/>
    <x v="1"/>
    <s v="Assistant"/>
    <d v="2018-04-05T00:00:00"/>
    <x v="0"/>
    <s v="email@example.com"/>
    <s v="Phone not provided"/>
    <n v="7"/>
    <s v="Low"/>
    <x v="0"/>
  </r>
  <r>
    <x v="5"/>
    <n v="40"/>
    <n v="60000"/>
    <x v="1"/>
    <x v="3"/>
    <s v="Analyst"/>
    <d v="2020-01-15T00:00:00"/>
    <x v="3"/>
    <s v="name@company.org"/>
    <s v="098-765-4321"/>
    <n v="6"/>
    <s v="Medium"/>
    <x v="3"/>
  </r>
  <r>
    <x v="9"/>
    <n v="35"/>
    <n v="55000"/>
    <x v="2"/>
    <x v="0"/>
    <s v="Director"/>
    <d v="2018-04-05T00:00:00"/>
    <x v="0"/>
    <s v="name@company.org"/>
    <s v="123-456-7890"/>
    <n v="7"/>
    <s v="Low"/>
    <x v="0"/>
  </r>
  <r>
    <x v="7"/>
    <n v="35"/>
    <n v="60000"/>
    <x v="0"/>
    <x v="3"/>
    <s v="Clerk"/>
    <d v="2019-03-25T00:00:00"/>
    <x v="0"/>
    <s v="user@domain.com"/>
    <s v="098-765-4321"/>
    <n v="6"/>
    <s v="Medium"/>
    <x v="0"/>
  </r>
  <r>
    <x v="7"/>
    <n v="35"/>
    <n v="65000"/>
    <x v="0"/>
    <x v="2"/>
    <s v="Director"/>
    <d v="2020-01-15T00:00:00"/>
    <x v="4"/>
    <s v="Email not provided"/>
    <s v="555-555-5555"/>
    <n v="6"/>
    <s v="High"/>
    <x v="4"/>
  </r>
  <r>
    <x v="7"/>
    <n v="25"/>
    <n v="60000"/>
    <x v="0"/>
    <x v="4"/>
    <s v="Director"/>
    <d v="2019-03-25T00:00:00"/>
    <x v="2"/>
    <s v="user@domain.com"/>
    <s v="098-765-4321"/>
    <n v="6"/>
    <s v="Medium"/>
    <x v="2"/>
  </r>
  <r>
    <x v="6"/>
    <n v="35"/>
    <n v="65000"/>
    <x v="0"/>
    <x v="1"/>
    <s v="Assistant"/>
    <d v="2018-04-05T00:00:00"/>
    <x v="0"/>
    <s v="name@company.org"/>
    <s v="123-456-7890"/>
    <n v="7"/>
    <s v="High"/>
    <x v="0"/>
  </r>
  <r>
    <x v="5"/>
    <n v="35"/>
    <n v="55000"/>
    <x v="1"/>
    <x v="2"/>
    <s v="Analyst"/>
    <d v="2019-03-25T00:00:00"/>
    <x v="1"/>
    <s v="email@example.com"/>
    <s v="123-456-7890"/>
    <n v="6"/>
    <s v="Low"/>
    <x v="1"/>
  </r>
  <r>
    <x v="9"/>
    <n v="50"/>
    <n v="65000"/>
    <x v="0"/>
    <x v="1"/>
    <s v="Manager"/>
    <d v="2020-01-15T00:00:00"/>
    <x v="0"/>
    <s v="user@domain.com"/>
    <s v="555-555-5555"/>
    <n v="6"/>
    <s v="High"/>
    <x v="0"/>
  </r>
  <r>
    <x v="1"/>
    <n v="30"/>
    <n v="70000"/>
    <x v="1"/>
    <x v="0"/>
    <s v="Analyst"/>
    <d v="2020-01-15T00:00:00"/>
    <x v="3"/>
    <s v="Email not provided"/>
    <s v="123-456-7890"/>
    <n v="6"/>
    <s v="High"/>
    <x v="3"/>
  </r>
  <r>
    <x v="8"/>
    <n v="50"/>
    <n v="70000"/>
    <x v="0"/>
    <x v="0"/>
    <s v="Director"/>
    <d v="2019-03-25T00:00:00"/>
    <x v="3"/>
    <s v="Email not provided"/>
    <s v="555-555-5555"/>
    <n v="6"/>
    <s v="High"/>
    <x v="3"/>
  </r>
  <r>
    <x v="1"/>
    <n v="50"/>
    <n v="70000"/>
    <x v="1"/>
    <x v="0"/>
    <s v="Analyst"/>
    <d v="2020-02-20T00:00:00"/>
    <x v="3"/>
    <s v="email@example.com"/>
    <s v="555-555-5555"/>
    <n v="5"/>
    <s v="High"/>
    <x v="3"/>
  </r>
  <r>
    <x v="8"/>
    <n v="40"/>
    <n v="50000"/>
    <x v="2"/>
    <x v="1"/>
    <s v="Assistant"/>
    <d v="2018-04-05T00:00:00"/>
    <x v="0"/>
    <s v="name@company.org"/>
    <s v="123-456-7890"/>
    <n v="7"/>
    <s v="Low"/>
    <x v="0"/>
  </r>
  <r>
    <x v="3"/>
    <n v="25"/>
    <n v="55000"/>
    <x v="0"/>
    <x v="2"/>
    <s v="Manager"/>
    <d v="2018-04-05T00:00:00"/>
    <x v="4"/>
    <s v="Email not provided"/>
    <s v="Phone not provided"/>
    <n v="7"/>
    <s v="Low"/>
    <x v="4"/>
  </r>
  <r>
    <x v="1"/>
    <n v="30"/>
    <n v="60000"/>
    <x v="1"/>
    <x v="0"/>
    <s v="Assistant"/>
    <d v="2019-03-25T00:00:00"/>
    <x v="1"/>
    <s v="Email not provided"/>
    <s v="555-555-5555"/>
    <n v="6"/>
    <s v="Medium"/>
    <x v="1"/>
  </r>
  <r>
    <x v="2"/>
    <n v="35"/>
    <n v="60000"/>
    <x v="2"/>
    <x v="2"/>
    <s v="Manager"/>
    <d v="2020-02-20T00:00:00"/>
    <x v="0"/>
    <s v="Email not provided"/>
    <s v="123-456-7890"/>
    <n v="5"/>
    <s v="Medium"/>
    <x v="0"/>
  </r>
  <r>
    <x v="2"/>
    <n v="35"/>
    <n v="50000"/>
    <x v="0"/>
    <x v="1"/>
    <s v="Director"/>
    <d v="2020-01-15T00:00:00"/>
    <x v="4"/>
    <s v="user@domain.com"/>
    <s v="Phone not provided"/>
    <n v="6"/>
    <s v="Low"/>
    <x v="4"/>
  </r>
  <r>
    <x v="0"/>
    <n v="35"/>
    <n v="65000"/>
    <x v="0"/>
    <x v="2"/>
    <s v="Manager"/>
    <d v="2019-12-01T00:00:00"/>
    <x v="4"/>
    <s v="name@company.org"/>
    <s v="555-555-5555"/>
    <n v="6"/>
    <s v="High"/>
    <x v="4"/>
  </r>
  <r>
    <x v="5"/>
    <n v="35"/>
    <n v="50000"/>
    <x v="0"/>
    <x v="1"/>
    <s v="Manager"/>
    <d v="2019-12-01T00:00:00"/>
    <x v="0"/>
    <s v="user@domain.com"/>
    <s v="Phone not provided"/>
    <n v="6"/>
    <s v="Low"/>
    <x v="0"/>
  </r>
  <r>
    <x v="8"/>
    <n v="35"/>
    <n v="65000"/>
    <x v="1"/>
    <x v="1"/>
    <s v="Manager"/>
    <d v="2019-03-25T00:00:00"/>
    <x v="0"/>
    <s v="name@company.org"/>
    <s v="Phone not provided"/>
    <n v="6"/>
    <s v="High"/>
    <x v="0"/>
  </r>
  <r>
    <x v="8"/>
    <n v="35"/>
    <n v="65000"/>
    <x v="1"/>
    <x v="4"/>
    <s v="Analyst"/>
    <d v="2020-02-20T00:00:00"/>
    <x v="4"/>
    <s v="Email not provided"/>
    <s v="Phone not provided"/>
    <n v="5"/>
    <s v="High"/>
    <x v="4"/>
  </r>
  <r>
    <x v="5"/>
    <n v="25"/>
    <n v="60000"/>
    <x v="2"/>
    <x v="1"/>
    <s v="Analyst"/>
    <d v="2020-02-20T00:00:00"/>
    <x v="4"/>
    <s v="Email not provided"/>
    <s v="Phone not provided"/>
    <n v="5"/>
    <s v="Medium"/>
    <x v="4"/>
  </r>
  <r>
    <x v="6"/>
    <n v="50"/>
    <n v="60000"/>
    <x v="1"/>
    <x v="1"/>
    <s v="Director"/>
    <d v="2018-04-05T00:00:00"/>
    <x v="4"/>
    <s v="user@domain.com"/>
    <s v="555-555-5555"/>
    <n v="7"/>
    <s v="Medium"/>
    <x v="4"/>
  </r>
  <r>
    <x v="0"/>
    <n v="35"/>
    <n v="70000"/>
    <x v="1"/>
    <x v="3"/>
    <s v="Manager"/>
    <d v="2020-01-15T00:00:00"/>
    <x v="0"/>
    <s v="Email not provided"/>
    <s v="123-456-7890"/>
    <n v="6"/>
    <s v="High"/>
    <x v="0"/>
  </r>
  <r>
    <x v="6"/>
    <n v="40"/>
    <n v="65000"/>
    <x v="0"/>
    <x v="0"/>
    <s v="Clerk"/>
    <d v="2020-02-20T00:00:00"/>
    <x v="4"/>
    <s v="name@company.org"/>
    <s v="098-765-4321"/>
    <n v="5"/>
    <s v="High"/>
    <x v="4"/>
  </r>
  <r>
    <x v="6"/>
    <n v="35"/>
    <n v="60000"/>
    <x v="0"/>
    <x v="4"/>
    <s v="Director"/>
    <d v="2019-12-01T00:00:00"/>
    <x v="3"/>
    <s v="user@domain.com"/>
    <s v="123-456-7890"/>
    <n v="6"/>
    <s v="Medium"/>
    <x v="3"/>
  </r>
  <r>
    <x v="6"/>
    <n v="30"/>
    <n v="60000"/>
    <x v="0"/>
    <x v="4"/>
    <s v="Manager"/>
    <d v="2020-01-15T00:00:00"/>
    <x v="0"/>
    <s v="user@domain.com"/>
    <s v="098-765-4321"/>
    <n v="6"/>
    <s v="Medium"/>
    <x v="0"/>
  </r>
  <r>
    <x v="5"/>
    <n v="25"/>
    <n v="70000"/>
    <x v="0"/>
    <x v="4"/>
    <s v="Manager"/>
    <d v="2020-01-15T00:00:00"/>
    <x v="3"/>
    <s v="Email not provided"/>
    <s v="098-765-4321"/>
    <n v="6"/>
    <s v="High"/>
    <x v="3"/>
  </r>
  <r>
    <x v="6"/>
    <n v="30"/>
    <n v="65000"/>
    <x v="0"/>
    <x v="3"/>
    <s v="Analyst"/>
    <d v="2019-03-25T00:00:00"/>
    <x v="2"/>
    <s v="user@domain.com"/>
    <s v="555-555-5555"/>
    <n v="6"/>
    <s v="High"/>
    <x v="2"/>
  </r>
  <r>
    <x v="2"/>
    <n v="30"/>
    <n v="65000"/>
    <x v="0"/>
    <x v="1"/>
    <s v="Director"/>
    <d v="2020-02-20T00:00:00"/>
    <x v="0"/>
    <s v="Email not provided"/>
    <s v="Phone not provided"/>
    <n v="5"/>
    <s v="High"/>
    <x v="0"/>
  </r>
  <r>
    <x v="7"/>
    <n v="40"/>
    <n v="50000"/>
    <x v="0"/>
    <x v="0"/>
    <s v="Manager"/>
    <d v="2019-03-25T00:00:00"/>
    <x v="2"/>
    <s v="Email not provided"/>
    <s v="123-456-7890"/>
    <n v="6"/>
    <s v="Low"/>
    <x v="2"/>
  </r>
  <r>
    <x v="3"/>
    <n v="25"/>
    <n v="50000"/>
    <x v="2"/>
    <x v="2"/>
    <s v="Manager"/>
    <d v="2020-02-20T00:00:00"/>
    <x v="4"/>
    <s v="Email not provided"/>
    <s v="Phone not provided"/>
    <n v="5"/>
    <s v="Low"/>
    <x v="4"/>
  </r>
  <r>
    <x v="8"/>
    <n v="25"/>
    <n v="60000"/>
    <x v="2"/>
    <x v="1"/>
    <s v="Director"/>
    <d v="2018-04-05T00:00:00"/>
    <x v="4"/>
    <s v="name@company.org"/>
    <s v="Phone not provided"/>
    <n v="7"/>
    <s v="Medium"/>
    <x v="4"/>
  </r>
  <r>
    <x v="8"/>
    <n v="25"/>
    <n v="70000"/>
    <x v="2"/>
    <x v="3"/>
    <s v="Clerk"/>
    <d v="2019-03-25T00:00:00"/>
    <x v="1"/>
    <s v="Email not provided"/>
    <s v="555-555-5555"/>
    <n v="6"/>
    <s v="High"/>
    <x v="1"/>
  </r>
  <r>
    <x v="3"/>
    <n v="25"/>
    <n v="65000"/>
    <x v="2"/>
    <x v="1"/>
    <s v="Director"/>
    <d v="2019-03-25T00:00:00"/>
    <x v="4"/>
    <s v="Email not provided"/>
    <s v="555-555-5555"/>
    <n v="6"/>
    <s v="High"/>
    <x v="4"/>
  </r>
  <r>
    <x v="5"/>
    <n v="25"/>
    <n v="60000"/>
    <x v="0"/>
    <x v="1"/>
    <s v="Director"/>
    <d v="2019-12-01T00:00:00"/>
    <x v="2"/>
    <s v="email@example.com"/>
    <s v="Phone not provided"/>
    <n v="6"/>
    <s v="Medium"/>
    <x v="2"/>
  </r>
  <r>
    <x v="1"/>
    <n v="40"/>
    <n v="60000"/>
    <x v="2"/>
    <x v="3"/>
    <s v="Clerk"/>
    <d v="2019-03-25T00:00:00"/>
    <x v="4"/>
    <s v="email@example.com"/>
    <s v="123-456-7890"/>
    <n v="6"/>
    <s v="Medium"/>
    <x v="4"/>
  </r>
  <r>
    <x v="5"/>
    <n v="35"/>
    <n v="55000"/>
    <x v="0"/>
    <x v="4"/>
    <s v="Director"/>
    <d v="2020-02-20T00:00:00"/>
    <x v="0"/>
    <s v="user@domain.com"/>
    <s v="Phone not provided"/>
    <n v="5"/>
    <s v="Low"/>
    <x v="0"/>
  </r>
  <r>
    <x v="8"/>
    <n v="30"/>
    <n v="50000"/>
    <x v="2"/>
    <x v="4"/>
    <s v="Manager"/>
    <d v="2019-12-01T00:00:00"/>
    <x v="4"/>
    <s v="user@domain.com"/>
    <s v="123-456-7890"/>
    <n v="6"/>
    <s v="Low"/>
    <x v="4"/>
  </r>
  <r>
    <x v="8"/>
    <n v="25"/>
    <n v="70000"/>
    <x v="1"/>
    <x v="0"/>
    <s v="Director"/>
    <d v="2019-03-25T00:00:00"/>
    <x v="1"/>
    <s v="email@example.com"/>
    <s v="098-765-4321"/>
    <n v="6"/>
    <s v="High"/>
    <x v="1"/>
  </r>
  <r>
    <x v="3"/>
    <n v="35"/>
    <n v="65000"/>
    <x v="2"/>
    <x v="0"/>
    <s v="Clerk"/>
    <d v="2019-03-25T00:00:00"/>
    <x v="4"/>
    <s v="Email not provided"/>
    <s v="555-555-5555"/>
    <n v="6"/>
    <s v="High"/>
    <x v="4"/>
  </r>
  <r>
    <x v="6"/>
    <n v="35"/>
    <n v="60000"/>
    <x v="2"/>
    <x v="4"/>
    <s v="Assistant"/>
    <d v="2018-04-05T00:00:00"/>
    <x v="2"/>
    <s v="user@domain.com"/>
    <s v="123-456-7890"/>
    <n v="7"/>
    <s v="Medium"/>
    <x v="2"/>
  </r>
  <r>
    <x v="5"/>
    <n v="30"/>
    <n v="65000"/>
    <x v="0"/>
    <x v="2"/>
    <s v="Director"/>
    <d v="2019-03-25T00:00:00"/>
    <x v="2"/>
    <s v="Email not provided"/>
    <s v="Phone not provided"/>
    <n v="6"/>
    <s v="High"/>
    <x v="2"/>
  </r>
  <r>
    <x v="9"/>
    <n v="40"/>
    <n v="55000"/>
    <x v="2"/>
    <x v="1"/>
    <s v="Analyst"/>
    <d v="2020-01-15T00:00:00"/>
    <x v="4"/>
    <s v="Email not provided"/>
    <s v="Phone not provided"/>
    <n v="6"/>
    <s v="Low"/>
    <x v="4"/>
  </r>
  <r>
    <x v="3"/>
    <n v="35"/>
    <n v="70000"/>
    <x v="1"/>
    <x v="2"/>
    <s v="Manager"/>
    <d v="2019-12-01T00:00:00"/>
    <x v="2"/>
    <s v="Email not provided"/>
    <s v="555-555-5555"/>
    <n v="6"/>
    <s v="High"/>
    <x v="2"/>
  </r>
  <r>
    <x v="2"/>
    <n v="35"/>
    <n v="60000"/>
    <x v="0"/>
    <x v="1"/>
    <s v="Manager"/>
    <d v="2020-01-15T00:00:00"/>
    <x v="2"/>
    <s v="user@domain.com"/>
    <s v="Phone not provided"/>
    <n v="6"/>
    <s v="Medium"/>
    <x v="2"/>
  </r>
  <r>
    <x v="8"/>
    <n v="35"/>
    <n v="65000"/>
    <x v="0"/>
    <x v="4"/>
    <s v="Analyst"/>
    <d v="2019-12-01T00:00:00"/>
    <x v="1"/>
    <s v="Email not provided"/>
    <s v="Phone not provided"/>
    <n v="6"/>
    <s v="High"/>
    <x v="1"/>
  </r>
  <r>
    <x v="3"/>
    <n v="50"/>
    <n v="50000"/>
    <x v="2"/>
    <x v="0"/>
    <s v="Analyst"/>
    <d v="2018-04-05T00:00:00"/>
    <x v="0"/>
    <s v="user@domain.com"/>
    <s v="123-456-7890"/>
    <n v="7"/>
    <s v="Low"/>
    <x v="0"/>
  </r>
  <r>
    <x v="5"/>
    <n v="50"/>
    <n v="55000"/>
    <x v="0"/>
    <x v="0"/>
    <s v="Director"/>
    <d v="2019-03-25T00:00:00"/>
    <x v="1"/>
    <s v="user@domain.com"/>
    <s v="Phone not provided"/>
    <n v="6"/>
    <s v="Low"/>
    <x v="1"/>
  </r>
  <r>
    <x v="8"/>
    <n v="30"/>
    <n v="70000"/>
    <x v="0"/>
    <x v="2"/>
    <s v="Analyst"/>
    <d v="2019-03-25T00:00:00"/>
    <x v="3"/>
    <s v="Email not provided"/>
    <s v="555-555-5555"/>
    <n v="6"/>
    <s v="High"/>
    <x v="3"/>
  </r>
  <r>
    <x v="1"/>
    <n v="35"/>
    <n v="55000"/>
    <x v="0"/>
    <x v="0"/>
    <s v="Assistant"/>
    <d v="2019-03-25T00:00:00"/>
    <x v="1"/>
    <s v="email@example.com"/>
    <s v="123-456-7890"/>
    <n v="6"/>
    <s v="Low"/>
    <x v="1"/>
  </r>
  <r>
    <x v="3"/>
    <n v="35"/>
    <n v="50000"/>
    <x v="0"/>
    <x v="4"/>
    <s v="Clerk"/>
    <d v="2019-12-01T00:00:00"/>
    <x v="4"/>
    <s v="Email not provided"/>
    <s v="098-765-4321"/>
    <n v="6"/>
    <s v="Low"/>
    <x v="4"/>
  </r>
  <r>
    <x v="0"/>
    <n v="40"/>
    <n v="70000"/>
    <x v="0"/>
    <x v="2"/>
    <s v="Analyst"/>
    <d v="2019-03-25T00:00:00"/>
    <x v="0"/>
    <s v="Email not provided"/>
    <s v="Phone not provided"/>
    <n v="6"/>
    <s v="High"/>
    <x v="0"/>
  </r>
  <r>
    <x v="8"/>
    <n v="35"/>
    <n v="55000"/>
    <x v="0"/>
    <x v="1"/>
    <s v="Analyst"/>
    <d v="2020-01-15T00:00:00"/>
    <x v="4"/>
    <s v="name@company.org"/>
    <s v="Phone not provided"/>
    <n v="6"/>
    <s v="Low"/>
    <x v="4"/>
  </r>
  <r>
    <x v="5"/>
    <n v="35"/>
    <n v="60000"/>
    <x v="1"/>
    <x v="0"/>
    <s v="Assistant"/>
    <d v="2019-03-25T00:00:00"/>
    <x v="3"/>
    <s v="Email not provided"/>
    <s v="123-456-7890"/>
    <n v="6"/>
    <s v="Medium"/>
    <x v="3"/>
  </r>
  <r>
    <x v="7"/>
    <n v="35"/>
    <n v="50000"/>
    <x v="2"/>
    <x v="3"/>
    <s v="Manager"/>
    <d v="2018-04-05T00:00:00"/>
    <x v="0"/>
    <s v="user@domain.com"/>
    <s v="Phone not provided"/>
    <n v="7"/>
    <s v="Low"/>
    <x v="0"/>
  </r>
  <r>
    <x v="9"/>
    <n v="25"/>
    <n v="50000"/>
    <x v="1"/>
    <x v="0"/>
    <s v="Manager"/>
    <d v="2020-01-15T00:00:00"/>
    <x v="2"/>
    <s v="user@domain.com"/>
    <s v="Phone not provided"/>
    <n v="6"/>
    <s v="Low"/>
    <x v="2"/>
  </r>
  <r>
    <x v="4"/>
    <n v="40"/>
    <n v="50000"/>
    <x v="0"/>
    <x v="1"/>
    <s v="Director"/>
    <d v="2019-03-25T00:00:00"/>
    <x v="1"/>
    <s v="Email not provided"/>
    <s v="555-555-5555"/>
    <n v="6"/>
    <s v="Low"/>
    <x v="1"/>
  </r>
  <r>
    <x v="6"/>
    <n v="25"/>
    <n v="60000"/>
    <x v="0"/>
    <x v="2"/>
    <s v="Assistant"/>
    <d v="2019-03-25T00:00:00"/>
    <x v="4"/>
    <s v="name@company.org"/>
    <s v="Phone not provided"/>
    <n v="6"/>
    <s v="Medium"/>
    <x v="4"/>
  </r>
  <r>
    <x v="4"/>
    <n v="30"/>
    <n v="60000"/>
    <x v="2"/>
    <x v="1"/>
    <s v="Clerk"/>
    <d v="2020-02-20T00:00:00"/>
    <x v="3"/>
    <s v="Email not provided"/>
    <s v="098-765-4321"/>
    <n v="5"/>
    <s v="Medium"/>
    <x v="3"/>
  </r>
  <r>
    <x v="5"/>
    <n v="25"/>
    <n v="65000"/>
    <x v="1"/>
    <x v="3"/>
    <s v="Clerk"/>
    <d v="2019-12-01T00:00:00"/>
    <x v="2"/>
    <s v="name@company.org"/>
    <s v="Phone not provided"/>
    <n v="6"/>
    <s v="High"/>
    <x v="2"/>
  </r>
  <r>
    <x v="2"/>
    <n v="25"/>
    <n v="60000"/>
    <x v="2"/>
    <x v="4"/>
    <s v="Assistant"/>
    <d v="2020-01-15T00:00:00"/>
    <x v="1"/>
    <s v="name@company.org"/>
    <s v="Phone not provided"/>
    <n v="6"/>
    <s v="Medium"/>
    <x v="1"/>
  </r>
  <r>
    <x v="2"/>
    <n v="35"/>
    <n v="55000"/>
    <x v="1"/>
    <x v="0"/>
    <s v="Clerk"/>
    <d v="2020-02-20T00:00:00"/>
    <x v="2"/>
    <s v="Email not provided"/>
    <s v="Phone not provided"/>
    <n v="5"/>
    <s v="Low"/>
    <x v="2"/>
  </r>
  <r>
    <x v="7"/>
    <n v="50"/>
    <n v="65000"/>
    <x v="0"/>
    <x v="2"/>
    <s v="Manager"/>
    <d v="2018-04-05T00:00:00"/>
    <x v="1"/>
    <s v="user@domain.com"/>
    <s v="123-456-7890"/>
    <n v="7"/>
    <s v="High"/>
    <x v="1"/>
  </r>
  <r>
    <x v="6"/>
    <n v="35"/>
    <n v="55000"/>
    <x v="2"/>
    <x v="4"/>
    <s v="Clerk"/>
    <d v="2019-12-01T00:00:00"/>
    <x v="0"/>
    <s v="user@domain.com"/>
    <s v="Phone not provided"/>
    <n v="6"/>
    <s v="Low"/>
    <x v="0"/>
  </r>
  <r>
    <x v="0"/>
    <n v="40"/>
    <n v="60000"/>
    <x v="2"/>
    <x v="1"/>
    <s v="Clerk"/>
    <d v="2020-01-15T00:00:00"/>
    <x v="2"/>
    <s v="name@company.org"/>
    <s v="Phone not provided"/>
    <n v="6"/>
    <s v="Medium"/>
    <x v="2"/>
  </r>
  <r>
    <x v="7"/>
    <n v="25"/>
    <n v="60000"/>
    <x v="0"/>
    <x v="2"/>
    <s v="Assistant"/>
    <d v="2019-03-25T00:00:00"/>
    <x v="2"/>
    <s v="user@domain.com"/>
    <s v="123-456-7890"/>
    <n v="6"/>
    <s v="Medium"/>
    <x v="2"/>
  </r>
  <r>
    <x v="4"/>
    <n v="40"/>
    <n v="60000"/>
    <x v="2"/>
    <x v="4"/>
    <s v="Assistant"/>
    <d v="2020-01-15T00:00:00"/>
    <x v="2"/>
    <s v="email@example.com"/>
    <s v="555-555-5555"/>
    <n v="6"/>
    <s v="Medium"/>
    <x v="2"/>
  </r>
  <r>
    <x v="7"/>
    <n v="50"/>
    <n v="60000"/>
    <x v="1"/>
    <x v="2"/>
    <s v="Clerk"/>
    <d v="2019-03-25T00:00:00"/>
    <x v="0"/>
    <s v="name@company.org"/>
    <s v="123-456-7890"/>
    <n v="6"/>
    <s v="Medium"/>
    <x v="0"/>
  </r>
  <r>
    <x v="4"/>
    <n v="50"/>
    <n v="60000"/>
    <x v="1"/>
    <x v="3"/>
    <s v="Analyst"/>
    <d v="2019-12-01T00:00:00"/>
    <x v="3"/>
    <s v="user@domain.com"/>
    <s v="098-765-4321"/>
    <n v="6"/>
    <s v="Medium"/>
    <x v="3"/>
  </r>
  <r>
    <x v="8"/>
    <n v="25"/>
    <n v="65000"/>
    <x v="1"/>
    <x v="3"/>
    <s v="Assistant"/>
    <d v="2019-03-25T00:00:00"/>
    <x v="1"/>
    <s v="email@example.com"/>
    <s v="123-456-7890"/>
    <n v="6"/>
    <s v="High"/>
    <x v="1"/>
  </r>
  <r>
    <x v="2"/>
    <n v="30"/>
    <n v="70000"/>
    <x v="1"/>
    <x v="0"/>
    <s v="Director"/>
    <d v="2018-04-05T00:00:00"/>
    <x v="2"/>
    <s v="Email not provided"/>
    <s v="555-555-5555"/>
    <n v="7"/>
    <s v="High"/>
    <x v="2"/>
  </r>
  <r>
    <x v="8"/>
    <n v="25"/>
    <n v="65000"/>
    <x v="0"/>
    <x v="0"/>
    <s v="Director"/>
    <d v="2019-03-25T00:00:00"/>
    <x v="0"/>
    <s v="user@domain.com"/>
    <s v="Phone not provided"/>
    <n v="6"/>
    <s v="High"/>
    <x v="0"/>
  </r>
  <r>
    <x v="9"/>
    <n v="35"/>
    <n v="55000"/>
    <x v="2"/>
    <x v="3"/>
    <s v="Manager"/>
    <d v="2018-04-05T00:00:00"/>
    <x v="3"/>
    <s v="email@example.com"/>
    <s v="123-456-7890"/>
    <n v="7"/>
    <s v="Low"/>
    <x v="3"/>
  </r>
  <r>
    <x v="6"/>
    <n v="35"/>
    <n v="65000"/>
    <x v="1"/>
    <x v="2"/>
    <s v="Clerk"/>
    <d v="2019-12-01T00:00:00"/>
    <x v="1"/>
    <s v="Email not provided"/>
    <s v="123-456-7890"/>
    <n v="6"/>
    <s v="High"/>
    <x v="1"/>
  </r>
  <r>
    <x v="0"/>
    <n v="30"/>
    <n v="50000"/>
    <x v="0"/>
    <x v="3"/>
    <s v="Analyst"/>
    <d v="2019-12-01T00:00:00"/>
    <x v="0"/>
    <s v="Email not provided"/>
    <s v="123-456-7890"/>
    <n v="6"/>
    <s v="Low"/>
    <x v="0"/>
  </r>
  <r>
    <x v="4"/>
    <n v="25"/>
    <n v="55000"/>
    <x v="2"/>
    <x v="0"/>
    <s v="Manager"/>
    <d v="2020-01-15T00:00:00"/>
    <x v="1"/>
    <s v="email@example.com"/>
    <s v="123-456-7890"/>
    <n v="6"/>
    <s v="Low"/>
    <x v="1"/>
  </r>
  <r>
    <x v="0"/>
    <n v="40"/>
    <n v="60000"/>
    <x v="2"/>
    <x v="3"/>
    <s v="Clerk"/>
    <d v="2018-04-05T00:00:00"/>
    <x v="2"/>
    <s v="name@company.org"/>
    <s v="555-555-5555"/>
    <n v="7"/>
    <s v="Medium"/>
    <x v="2"/>
  </r>
  <r>
    <x v="4"/>
    <n v="30"/>
    <n v="55000"/>
    <x v="0"/>
    <x v="3"/>
    <s v="Assistant"/>
    <d v="2018-04-05T00:00:00"/>
    <x v="3"/>
    <s v="name@company.org"/>
    <s v="Phone not provided"/>
    <n v="7"/>
    <s v="Low"/>
    <x v="3"/>
  </r>
  <r>
    <x v="5"/>
    <n v="30"/>
    <n v="70000"/>
    <x v="0"/>
    <x v="2"/>
    <s v="Director"/>
    <d v="2020-02-20T00:00:00"/>
    <x v="0"/>
    <s v="user@domain.com"/>
    <s v="Phone not provided"/>
    <n v="5"/>
    <s v="High"/>
    <x v="0"/>
  </r>
  <r>
    <x v="7"/>
    <n v="25"/>
    <n v="60000"/>
    <x v="1"/>
    <x v="4"/>
    <s v="Analyst"/>
    <d v="2020-02-20T00:00:00"/>
    <x v="3"/>
    <s v="Email not provided"/>
    <s v="123-456-7890"/>
    <n v="5"/>
    <s v="Medium"/>
    <x v="3"/>
  </r>
  <r>
    <x v="9"/>
    <n v="30"/>
    <n v="60000"/>
    <x v="2"/>
    <x v="0"/>
    <s v="Director"/>
    <d v="2020-02-20T00:00:00"/>
    <x v="2"/>
    <s v="name@company.org"/>
    <s v="555-555-5555"/>
    <n v="5"/>
    <s v="Medium"/>
    <x v="2"/>
  </r>
  <r>
    <x v="2"/>
    <n v="40"/>
    <n v="55000"/>
    <x v="2"/>
    <x v="2"/>
    <s v="Assistant"/>
    <d v="2019-03-25T00:00:00"/>
    <x v="3"/>
    <s v="name@company.org"/>
    <s v="555-555-5555"/>
    <n v="6"/>
    <s v="Low"/>
    <x v="3"/>
  </r>
  <r>
    <x v="4"/>
    <n v="50"/>
    <n v="60000"/>
    <x v="0"/>
    <x v="3"/>
    <s v="Clerk"/>
    <d v="2020-02-20T00:00:00"/>
    <x v="3"/>
    <s v="Email not provided"/>
    <s v="123-456-7890"/>
    <n v="5"/>
    <s v="Medium"/>
    <x v="3"/>
  </r>
  <r>
    <x v="0"/>
    <n v="30"/>
    <n v="60000"/>
    <x v="2"/>
    <x v="3"/>
    <s v="Assistant"/>
    <d v="2018-04-05T00:00:00"/>
    <x v="4"/>
    <s v="Email not provided"/>
    <s v="098-765-4321"/>
    <n v="7"/>
    <s v="Medium"/>
    <x v="4"/>
  </r>
  <r>
    <x v="9"/>
    <n v="50"/>
    <n v="60000"/>
    <x v="1"/>
    <x v="4"/>
    <s v="Assistant"/>
    <d v="2019-03-25T00:00:00"/>
    <x v="3"/>
    <s v="name@company.org"/>
    <s v="123-456-7890"/>
    <n v="6"/>
    <s v="Medium"/>
    <x v="3"/>
  </r>
  <r>
    <x v="1"/>
    <n v="40"/>
    <n v="60000"/>
    <x v="2"/>
    <x v="0"/>
    <s v="Director"/>
    <d v="2019-12-01T00:00:00"/>
    <x v="1"/>
    <s v="email@example.com"/>
    <s v="098-765-4321"/>
    <n v="6"/>
    <s v="Medium"/>
    <x v="1"/>
  </r>
  <r>
    <x v="1"/>
    <n v="25"/>
    <n v="65000"/>
    <x v="0"/>
    <x v="0"/>
    <s v="Analyst"/>
    <d v="2020-01-15T00:00:00"/>
    <x v="0"/>
    <s v="user@domain.com"/>
    <s v="123-456-7890"/>
    <n v="6"/>
    <s v="High"/>
    <x v="0"/>
  </r>
  <r>
    <x v="8"/>
    <n v="35"/>
    <n v="60000"/>
    <x v="0"/>
    <x v="1"/>
    <s v="Assistant"/>
    <d v="2020-02-20T00:00:00"/>
    <x v="4"/>
    <s v="name@company.org"/>
    <s v="098-765-4321"/>
    <n v="5"/>
    <s v="Medium"/>
    <x v="4"/>
  </r>
  <r>
    <x v="2"/>
    <n v="30"/>
    <n v="50000"/>
    <x v="1"/>
    <x v="0"/>
    <s v="Director"/>
    <d v="2019-12-01T00:00:00"/>
    <x v="0"/>
    <s v="name@company.org"/>
    <s v="098-765-4321"/>
    <n v="6"/>
    <s v="Low"/>
    <x v="0"/>
  </r>
  <r>
    <x v="5"/>
    <n v="35"/>
    <n v="70000"/>
    <x v="1"/>
    <x v="4"/>
    <s v="Analyst"/>
    <d v="2018-04-05T00:00:00"/>
    <x v="0"/>
    <s v="Email not provided"/>
    <s v="123-456-7890"/>
    <n v="7"/>
    <s v="High"/>
    <x v="0"/>
  </r>
  <r>
    <x v="0"/>
    <n v="40"/>
    <n v="60000"/>
    <x v="2"/>
    <x v="1"/>
    <s v="Clerk"/>
    <d v="2020-01-15T00:00:00"/>
    <x v="2"/>
    <s v="email@example.com"/>
    <s v="098-765-4321"/>
    <n v="6"/>
    <s v="Medium"/>
    <x v="2"/>
  </r>
  <r>
    <x v="7"/>
    <n v="30"/>
    <n v="55000"/>
    <x v="2"/>
    <x v="1"/>
    <s v="Clerk"/>
    <d v="2019-12-01T00:00:00"/>
    <x v="2"/>
    <s v="user@domain.com"/>
    <s v="Phone not provided"/>
    <n v="6"/>
    <s v="Low"/>
    <x v="2"/>
  </r>
  <r>
    <x v="7"/>
    <n v="50"/>
    <n v="60000"/>
    <x v="0"/>
    <x v="3"/>
    <s v="Manager"/>
    <d v="2020-01-15T00:00:00"/>
    <x v="4"/>
    <s v="name@company.org"/>
    <s v="Phone not provided"/>
    <n v="6"/>
    <s v="Medium"/>
    <x v="4"/>
  </r>
  <r>
    <x v="0"/>
    <n v="35"/>
    <n v="55000"/>
    <x v="1"/>
    <x v="3"/>
    <s v="Director"/>
    <d v="2020-02-20T00:00:00"/>
    <x v="2"/>
    <s v="user@domain.com"/>
    <s v="555-555-5555"/>
    <n v="5"/>
    <s v="Low"/>
    <x v="2"/>
  </r>
  <r>
    <x v="6"/>
    <n v="35"/>
    <n v="60000"/>
    <x v="1"/>
    <x v="0"/>
    <s v="Analyst"/>
    <d v="2018-04-05T00:00:00"/>
    <x v="2"/>
    <s v="Email not provided"/>
    <s v="098-765-4321"/>
    <n v="7"/>
    <s v="Medium"/>
    <x v="2"/>
  </r>
  <r>
    <x v="5"/>
    <n v="30"/>
    <n v="55000"/>
    <x v="1"/>
    <x v="1"/>
    <s v="Assistant"/>
    <d v="2020-01-15T00:00:00"/>
    <x v="2"/>
    <s v="name@company.org"/>
    <s v="098-765-4321"/>
    <n v="6"/>
    <s v="Low"/>
    <x v="2"/>
  </r>
  <r>
    <x v="9"/>
    <n v="35"/>
    <n v="60000"/>
    <x v="2"/>
    <x v="3"/>
    <s v="Clerk"/>
    <d v="2019-12-01T00:00:00"/>
    <x v="0"/>
    <s v="name@company.org"/>
    <s v="555-555-5555"/>
    <n v="6"/>
    <s v="Medium"/>
    <x v="0"/>
  </r>
  <r>
    <x v="4"/>
    <n v="30"/>
    <n v="65000"/>
    <x v="1"/>
    <x v="4"/>
    <s v="Analyst"/>
    <d v="2020-02-20T00:00:00"/>
    <x v="4"/>
    <s v="Email not provided"/>
    <s v="098-765-4321"/>
    <n v="5"/>
    <s v="High"/>
    <x v="4"/>
  </r>
  <r>
    <x v="6"/>
    <n v="25"/>
    <n v="55000"/>
    <x v="0"/>
    <x v="3"/>
    <s v="Director"/>
    <d v="2020-02-20T00:00:00"/>
    <x v="0"/>
    <s v="Email not provided"/>
    <s v="555-555-5555"/>
    <n v="5"/>
    <s v="Low"/>
    <x v="0"/>
  </r>
  <r>
    <x v="4"/>
    <n v="50"/>
    <n v="55000"/>
    <x v="0"/>
    <x v="3"/>
    <s v="Manager"/>
    <d v="2019-12-01T00:00:00"/>
    <x v="1"/>
    <s v="name@company.org"/>
    <s v="123-456-7890"/>
    <n v="6"/>
    <s v="Low"/>
    <x v="1"/>
  </r>
  <r>
    <x v="4"/>
    <n v="35"/>
    <n v="50000"/>
    <x v="2"/>
    <x v="1"/>
    <s v="Clerk"/>
    <d v="2019-12-01T00:00:00"/>
    <x v="0"/>
    <s v="user@domain.com"/>
    <s v="Phone not provided"/>
    <n v="6"/>
    <s v="Low"/>
    <x v="0"/>
  </r>
  <r>
    <x v="6"/>
    <n v="35"/>
    <n v="55000"/>
    <x v="2"/>
    <x v="1"/>
    <s v="Analyst"/>
    <d v="2020-01-15T00:00:00"/>
    <x v="1"/>
    <s v="email@example.com"/>
    <s v="Phone not provided"/>
    <n v="6"/>
    <s v="Low"/>
    <x v="1"/>
  </r>
  <r>
    <x v="8"/>
    <n v="35"/>
    <n v="50000"/>
    <x v="1"/>
    <x v="2"/>
    <s v="Analyst"/>
    <d v="2019-03-25T00:00:00"/>
    <x v="3"/>
    <s v="user@domain.com"/>
    <s v="Phone not provided"/>
    <n v="6"/>
    <s v="Low"/>
    <x v="3"/>
  </r>
  <r>
    <x v="1"/>
    <n v="40"/>
    <n v="70000"/>
    <x v="2"/>
    <x v="4"/>
    <s v="Analyst"/>
    <d v="2020-02-20T00:00:00"/>
    <x v="3"/>
    <s v="Email not provided"/>
    <s v="098-765-4321"/>
    <n v="5"/>
    <s v="High"/>
    <x v="3"/>
  </r>
  <r>
    <x v="4"/>
    <n v="30"/>
    <n v="60000"/>
    <x v="0"/>
    <x v="1"/>
    <s v="Director"/>
    <d v="2020-01-15T00:00:00"/>
    <x v="1"/>
    <s v="email@example.com"/>
    <s v="Phone not provided"/>
    <n v="6"/>
    <s v="Medium"/>
    <x v="1"/>
  </r>
  <r>
    <x v="6"/>
    <n v="35"/>
    <n v="50000"/>
    <x v="1"/>
    <x v="0"/>
    <s v="Director"/>
    <d v="2019-12-01T00:00:00"/>
    <x v="1"/>
    <s v="user@domain.com"/>
    <s v="123-456-7890"/>
    <n v="6"/>
    <s v="Low"/>
    <x v="1"/>
  </r>
  <r>
    <x v="6"/>
    <n v="40"/>
    <n v="65000"/>
    <x v="0"/>
    <x v="4"/>
    <s v="Director"/>
    <d v="2020-01-15T00:00:00"/>
    <x v="0"/>
    <s v="user@domain.com"/>
    <s v="Phone not provided"/>
    <n v="6"/>
    <s v="High"/>
    <x v="0"/>
  </r>
  <r>
    <x v="3"/>
    <n v="35"/>
    <n v="60000"/>
    <x v="1"/>
    <x v="4"/>
    <s v="Assistant"/>
    <d v="2019-12-01T00:00:00"/>
    <x v="1"/>
    <s v="Email not provided"/>
    <s v="123-456-7890"/>
    <n v="6"/>
    <s v="Medium"/>
    <x v="1"/>
  </r>
  <r>
    <x v="8"/>
    <n v="30"/>
    <n v="50000"/>
    <x v="2"/>
    <x v="1"/>
    <s v="Analyst"/>
    <d v="2018-04-05T00:00:00"/>
    <x v="4"/>
    <s v="Email not provided"/>
    <s v="123-456-7890"/>
    <n v="7"/>
    <s v="Low"/>
    <x v="4"/>
  </r>
  <r>
    <x v="2"/>
    <n v="35"/>
    <n v="60000"/>
    <x v="1"/>
    <x v="4"/>
    <s v="Clerk"/>
    <d v="2019-12-01T00:00:00"/>
    <x v="3"/>
    <s v="Email not provided"/>
    <s v="098-765-4321"/>
    <n v="6"/>
    <s v="Medium"/>
    <x v="3"/>
  </r>
  <r>
    <x v="3"/>
    <n v="25"/>
    <n v="60000"/>
    <x v="1"/>
    <x v="1"/>
    <s v="Director"/>
    <d v="2019-12-01T00:00:00"/>
    <x v="3"/>
    <s v="email@example.com"/>
    <s v="123-456-7890"/>
    <n v="6"/>
    <s v="Medium"/>
    <x v="3"/>
  </r>
  <r>
    <x v="3"/>
    <n v="35"/>
    <n v="60000"/>
    <x v="0"/>
    <x v="3"/>
    <s v="Director"/>
    <d v="2019-12-01T00:00:00"/>
    <x v="1"/>
    <s v="Email not provided"/>
    <s v="Phone not provided"/>
    <n v="6"/>
    <s v="Medium"/>
    <x v="1"/>
  </r>
  <r>
    <x v="0"/>
    <n v="40"/>
    <n v="70000"/>
    <x v="0"/>
    <x v="2"/>
    <s v="Analyst"/>
    <d v="2019-03-25T00:00:00"/>
    <x v="2"/>
    <s v="Email not provided"/>
    <s v="Phone not provided"/>
    <n v="6"/>
    <s v="High"/>
    <x v="2"/>
  </r>
  <r>
    <x v="1"/>
    <n v="50"/>
    <n v="65000"/>
    <x v="1"/>
    <x v="3"/>
    <s v="Director"/>
    <d v="2019-12-01T00:00:00"/>
    <x v="2"/>
    <s v="name@company.org"/>
    <s v="Phone not provided"/>
    <n v="6"/>
    <s v="High"/>
    <x v="2"/>
  </r>
  <r>
    <x v="6"/>
    <n v="25"/>
    <n v="60000"/>
    <x v="2"/>
    <x v="1"/>
    <s v="Assistant"/>
    <d v="2020-02-20T00:00:00"/>
    <x v="1"/>
    <s v="name@company.org"/>
    <s v="098-765-4321"/>
    <n v="5"/>
    <s v="Medium"/>
    <x v="1"/>
  </r>
  <r>
    <x v="1"/>
    <n v="40"/>
    <n v="60000"/>
    <x v="2"/>
    <x v="1"/>
    <s v="Assistant"/>
    <d v="2020-02-20T00:00:00"/>
    <x v="4"/>
    <s v="email@example.com"/>
    <s v="Phone not provided"/>
    <n v="5"/>
    <s v="Medium"/>
    <x v="4"/>
  </r>
  <r>
    <x v="5"/>
    <n v="30"/>
    <n v="50000"/>
    <x v="0"/>
    <x v="3"/>
    <s v="Director"/>
    <d v="2020-01-15T00:00:00"/>
    <x v="2"/>
    <s v="name@company.org"/>
    <s v="555-555-5555"/>
    <n v="6"/>
    <s v="Low"/>
    <x v="2"/>
  </r>
  <r>
    <x v="0"/>
    <n v="25"/>
    <n v="60000"/>
    <x v="2"/>
    <x v="0"/>
    <s v="Analyst"/>
    <d v="2019-03-25T00:00:00"/>
    <x v="1"/>
    <s v="Email not provided"/>
    <s v="Phone not provided"/>
    <n v="6"/>
    <s v="Medium"/>
    <x v="1"/>
  </r>
  <r>
    <x v="2"/>
    <n v="40"/>
    <n v="50000"/>
    <x v="0"/>
    <x v="0"/>
    <s v="Analyst"/>
    <d v="2020-01-15T00:00:00"/>
    <x v="4"/>
    <s v="email@example.com"/>
    <s v="555-555-5555"/>
    <n v="6"/>
    <s v="Low"/>
    <x v="4"/>
  </r>
  <r>
    <x v="1"/>
    <n v="30"/>
    <n v="70000"/>
    <x v="2"/>
    <x v="0"/>
    <s v="Analyst"/>
    <d v="2020-02-20T00:00:00"/>
    <x v="4"/>
    <s v="Email not provided"/>
    <s v="555-555-5555"/>
    <n v="5"/>
    <s v="High"/>
    <x v="4"/>
  </r>
  <r>
    <x v="7"/>
    <n v="35"/>
    <n v="70000"/>
    <x v="1"/>
    <x v="1"/>
    <s v="Manager"/>
    <d v="2020-02-20T00:00:00"/>
    <x v="0"/>
    <s v="email@example.com"/>
    <s v="098-765-4321"/>
    <n v="5"/>
    <s v="High"/>
    <x v="0"/>
  </r>
  <r>
    <x v="4"/>
    <n v="50"/>
    <n v="55000"/>
    <x v="0"/>
    <x v="4"/>
    <s v="Director"/>
    <d v="2018-04-05T00:00:00"/>
    <x v="4"/>
    <s v="email@example.com"/>
    <s v="123-456-7890"/>
    <n v="7"/>
    <s v="Low"/>
    <x v="4"/>
  </r>
  <r>
    <x v="5"/>
    <n v="30"/>
    <n v="70000"/>
    <x v="0"/>
    <x v="1"/>
    <s v="Analyst"/>
    <d v="2019-12-01T00:00:00"/>
    <x v="2"/>
    <s v="user@domain.com"/>
    <s v="555-555-5555"/>
    <n v="6"/>
    <s v="High"/>
    <x v="2"/>
  </r>
  <r>
    <x v="8"/>
    <n v="35"/>
    <n v="55000"/>
    <x v="1"/>
    <x v="4"/>
    <s v="Assistant"/>
    <d v="2020-02-20T00:00:00"/>
    <x v="2"/>
    <s v="user@domain.com"/>
    <s v="Phone not provided"/>
    <n v="5"/>
    <s v="Low"/>
    <x v="2"/>
  </r>
  <r>
    <x v="2"/>
    <n v="30"/>
    <n v="65000"/>
    <x v="0"/>
    <x v="3"/>
    <s v="Clerk"/>
    <d v="2020-01-15T00:00:00"/>
    <x v="1"/>
    <s v="email@example.com"/>
    <s v="123-456-7890"/>
    <n v="6"/>
    <s v="High"/>
    <x v="1"/>
  </r>
  <r>
    <x v="5"/>
    <n v="30"/>
    <n v="50000"/>
    <x v="2"/>
    <x v="2"/>
    <s v="Clerk"/>
    <d v="2020-01-15T00:00:00"/>
    <x v="1"/>
    <s v="name@company.org"/>
    <s v="Phone not provided"/>
    <n v="6"/>
    <s v="Low"/>
    <x v="1"/>
  </r>
  <r>
    <x v="4"/>
    <n v="50"/>
    <n v="65000"/>
    <x v="2"/>
    <x v="4"/>
    <s v="Analyst"/>
    <d v="2019-12-01T00:00:00"/>
    <x v="4"/>
    <s v="user@domain.com"/>
    <s v="Phone not provided"/>
    <n v="6"/>
    <s v="High"/>
    <x v="4"/>
  </r>
  <r>
    <x v="0"/>
    <n v="35"/>
    <n v="70000"/>
    <x v="0"/>
    <x v="0"/>
    <s v="Clerk"/>
    <d v="2019-12-01T00:00:00"/>
    <x v="3"/>
    <s v="Email not provided"/>
    <s v="123-456-7890"/>
    <n v="6"/>
    <s v="High"/>
    <x v="3"/>
  </r>
  <r>
    <x v="4"/>
    <n v="40"/>
    <n v="65000"/>
    <x v="2"/>
    <x v="1"/>
    <s v="Clerk"/>
    <d v="2018-04-05T00:00:00"/>
    <x v="0"/>
    <s v="Email not provided"/>
    <s v="123-456-7890"/>
    <n v="7"/>
    <s v="High"/>
    <x v="0"/>
  </r>
  <r>
    <x v="3"/>
    <n v="40"/>
    <n v="65000"/>
    <x v="0"/>
    <x v="3"/>
    <s v="Manager"/>
    <d v="2019-03-25T00:00:00"/>
    <x v="3"/>
    <s v="user@domain.com"/>
    <s v="Phone not provided"/>
    <n v="6"/>
    <s v="High"/>
    <x v="3"/>
  </r>
  <r>
    <x v="4"/>
    <n v="30"/>
    <n v="65000"/>
    <x v="1"/>
    <x v="0"/>
    <s v="Assistant"/>
    <d v="2020-01-15T00:00:00"/>
    <x v="4"/>
    <s v="email@example.com"/>
    <s v="098-765-4321"/>
    <n v="6"/>
    <s v="High"/>
    <x v="4"/>
  </r>
  <r>
    <x v="3"/>
    <n v="35"/>
    <n v="70000"/>
    <x v="0"/>
    <x v="3"/>
    <s v="Assistant"/>
    <d v="2019-12-01T00:00:00"/>
    <x v="4"/>
    <s v="name@company.org"/>
    <s v="Phone not provided"/>
    <n v="6"/>
    <s v="High"/>
    <x v="4"/>
  </r>
  <r>
    <x v="0"/>
    <n v="35"/>
    <n v="60000"/>
    <x v="1"/>
    <x v="2"/>
    <s v="Manager"/>
    <d v="2020-01-15T00:00:00"/>
    <x v="3"/>
    <s v="Email not provided"/>
    <s v="Phone not provided"/>
    <n v="6"/>
    <s v="Medium"/>
    <x v="3"/>
  </r>
  <r>
    <x v="9"/>
    <n v="50"/>
    <n v="65000"/>
    <x v="2"/>
    <x v="1"/>
    <s v="Manager"/>
    <d v="2019-12-01T00:00:00"/>
    <x v="0"/>
    <s v="user@domain.com"/>
    <s v="098-765-4321"/>
    <n v="6"/>
    <s v="High"/>
    <x v="0"/>
  </r>
  <r>
    <x v="3"/>
    <n v="35"/>
    <n v="55000"/>
    <x v="1"/>
    <x v="1"/>
    <s v="Clerk"/>
    <d v="2020-02-20T00:00:00"/>
    <x v="3"/>
    <s v="name@company.org"/>
    <s v="123-456-7890"/>
    <n v="5"/>
    <s v="Low"/>
    <x v="3"/>
  </r>
  <r>
    <x v="8"/>
    <n v="40"/>
    <n v="70000"/>
    <x v="2"/>
    <x v="2"/>
    <s v="Director"/>
    <d v="2020-01-15T00:00:00"/>
    <x v="1"/>
    <s v="name@company.org"/>
    <s v="Phone not provided"/>
    <n v="6"/>
    <s v="High"/>
    <x v="1"/>
  </r>
  <r>
    <x v="4"/>
    <n v="50"/>
    <n v="65000"/>
    <x v="0"/>
    <x v="1"/>
    <s v="Clerk"/>
    <d v="2020-02-20T00:00:00"/>
    <x v="2"/>
    <s v="name@company.org"/>
    <s v="Phone not provided"/>
    <n v="5"/>
    <s v="High"/>
    <x v="2"/>
  </r>
  <r>
    <x v="4"/>
    <n v="25"/>
    <n v="60000"/>
    <x v="2"/>
    <x v="4"/>
    <s v="Manager"/>
    <d v="2020-01-15T00:00:00"/>
    <x v="1"/>
    <s v="email@example.com"/>
    <s v="Phone not provided"/>
    <n v="6"/>
    <s v="Medium"/>
    <x v="1"/>
  </r>
  <r>
    <x v="8"/>
    <n v="40"/>
    <n v="70000"/>
    <x v="0"/>
    <x v="3"/>
    <s v="Assistant"/>
    <d v="2019-03-25T00:00:00"/>
    <x v="2"/>
    <s v="Email not provided"/>
    <s v="098-765-4321"/>
    <n v="6"/>
    <s v="High"/>
    <x v="2"/>
  </r>
  <r>
    <x v="7"/>
    <n v="50"/>
    <n v="60000"/>
    <x v="0"/>
    <x v="0"/>
    <s v="Clerk"/>
    <d v="2018-04-05T00:00:00"/>
    <x v="4"/>
    <s v="name@company.org"/>
    <s v="Phone not provided"/>
    <n v="7"/>
    <s v="Medium"/>
    <x v="4"/>
  </r>
  <r>
    <x v="6"/>
    <n v="40"/>
    <n v="60000"/>
    <x v="1"/>
    <x v="2"/>
    <s v="Director"/>
    <d v="2020-02-20T00:00:00"/>
    <x v="0"/>
    <s v="Email not provided"/>
    <s v="098-765-4321"/>
    <n v="5"/>
    <s v="Medium"/>
    <x v="0"/>
  </r>
  <r>
    <x v="9"/>
    <n v="35"/>
    <n v="55000"/>
    <x v="1"/>
    <x v="4"/>
    <s v="Clerk"/>
    <d v="2019-12-01T00:00:00"/>
    <x v="3"/>
    <s v="user@domain.com"/>
    <s v="123-456-7890"/>
    <n v="6"/>
    <s v="Low"/>
    <x v="3"/>
  </r>
  <r>
    <x v="2"/>
    <n v="25"/>
    <n v="65000"/>
    <x v="1"/>
    <x v="0"/>
    <s v="Analyst"/>
    <d v="2019-03-25T00:00:00"/>
    <x v="0"/>
    <s v="Email not provided"/>
    <s v="098-765-4321"/>
    <n v="6"/>
    <s v="High"/>
    <x v="0"/>
  </r>
  <r>
    <x v="3"/>
    <n v="35"/>
    <n v="60000"/>
    <x v="1"/>
    <x v="0"/>
    <s v="Clerk"/>
    <d v="2020-01-15T00:00:00"/>
    <x v="3"/>
    <s v="email@example.com"/>
    <s v="098-765-4321"/>
    <n v="6"/>
    <s v="Medium"/>
    <x v="3"/>
  </r>
  <r>
    <x v="8"/>
    <n v="25"/>
    <n v="60000"/>
    <x v="2"/>
    <x v="2"/>
    <s v="Manager"/>
    <d v="2020-02-20T00:00:00"/>
    <x v="1"/>
    <s v="email@example.com"/>
    <s v="Phone not provided"/>
    <n v="5"/>
    <s v="Medium"/>
    <x v="1"/>
  </r>
  <r>
    <x v="0"/>
    <n v="30"/>
    <n v="70000"/>
    <x v="2"/>
    <x v="4"/>
    <s v="Assistant"/>
    <d v="2020-01-15T00:00:00"/>
    <x v="1"/>
    <s v="Email not provided"/>
    <s v="Phone not provided"/>
    <n v="6"/>
    <s v="High"/>
    <x v="1"/>
  </r>
  <r>
    <x v="3"/>
    <n v="50"/>
    <n v="60000"/>
    <x v="2"/>
    <x v="0"/>
    <s v="Assistant"/>
    <d v="2020-01-15T00:00:00"/>
    <x v="3"/>
    <s v="Email not provided"/>
    <s v="Phone not provided"/>
    <n v="6"/>
    <s v="Medium"/>
    <x v="3"/>
  </r>
  <r>
    <x v="6"/>
    <n v="25"/>
    <n v="55000"/>
    <x v="0"/>
    <x v="0"/>
    <s v="Manager"/>
    <d v="2020-01-15T00:00:00"/>
    <x v="0"/>
    <s v="email@example.com"/>
    <s v="555-555-5555"/>
    <n v="6"/>
    <s v="Low"/>
    <x v="0"/>
  </r>
  <r>
    <x v="0"/>
    <n v="35"/>
    <n v="55000"/>
    <x v="2"/>
    <x v="4"/>
    <s v="Analyst"/>
    <d v="2018-04-05T00:00:00"/>
    <x v="3"/>
    <s v="email@example.com"/>
    <s v="098-765-4321"/>
    <n v="7"/>
    <s v="Low"/>
    <x v="3"/>
  </r>
  <r>
    <x v="5"/>
    <n v="40"/>
    <n v="50000"/>
    <x v="2"/>
    <x v="1"/>
    <s v="Manager"/>
    <d v="2018-04-05T00:00:00"/>
    <x v="4"/>
    <s v="Email not provided"/>
    <s v="555-555-5555"/>
    <n v="7"/>
    <s v="Low"/>
    <x v="4"/>
  </r>
  <r>
    <x v="4"/>
    <n v="25"/>
    <n v="55000"/>
    <x v="2"/>
    <x v="0"/>
    <s v="Clerk"/>
    <d v="2019-12-01T00:00:00"/>
    <x v="1"/>
    <s v="email@example.com"/>
    <s v="Phone not provided"/>
    <n v="6"/>
    <s v="Low"/>
    <x v="1"/>
  </r>
  <r>
    <x v="5"/>
    <n v="50"/>
    <n v="60000"/>
    <x v="1"/>
    <x v="3"/>
    <s v="Manager"/>
    <d v="2020-02-20T00:00:00"/>
    <x v="4"/>
    <s v="Email not provided"/>
    <s v="Phone not provided"/>
    <n v="5"/>
    <s v="Medium"/>
    <x v="4"/>
  </r>
  <r>
    <x v="3"/>
    <n v="25"/>
    <n v="60000"/>
    <x v="2"/>
    <x v="4"/>
    <s v="Manager"/>
    <d v="2019-03-25T00:00:00"/>
    <x v="1"/>
    <s v="Email not provided"/>
    <s v="Phone not provided"/>
    <n v="6"/>
    <s v="Medium"/>
    <x v="1"/>
  </r>
  <r>
    <x v="6"/>
    <n v="35"/>
    <n v="55000"/>
    <x v="0"/>
    <x v="0"/>
    <s v="Analyst"/>
    <d v="2019-03-25T00:00:00"/>
    <x v="1"/>
    <s v="Email not provided"/>
    <s v="Phone not provided"/>
    <n v="6"/>
    <s v="Low"/>
    <x v="1"/>
  </r>
  <r>
    <x v="9"/>
    <n v="40"/>
    <n v="70000"/>
    <x v="1"/>
    <x v="2"/>
    <s v="Clerk"/>
    <d v="2019-03-25T00:00:00"/>
    <x v="2"/>
    <s v="user@domain.com"/>
    <s v="Phone not provided"/>
    <n v="6"/>
    <s v="High"/>
    <x v="2"/>
  </r>
  <r>
    <x v="3"/>
    <n v="50"/>
    <n v="50000"/>
    <x v="0"/>
    <x v="3"/>
    <s v="Director"/>
    <d v="2020-01-15T00:00:00"/>
    <x v="4"/>
    <s v="Email not provided"/>
    <s v="123-456-7890"/>
    <n v="6"/>
    <s v="Low"/>
    <x v="4"/>
  </r>
  <r>
    <x v="8"/>
    <n v="50"/>
    <n v="60000"/>
    <x v="2"/>
    <x v="0"/>
    <s v="Director"/>
    <d v="2018-04-05T00:00:00"/>
    <x v="4"/>
    <s v="Email not provided"/>
    <s v="098-765-4321"/>
    <n v="7"/>
    <s v="Medium"/>
    <x v="4"/>
  </r>
  <r>
    <x v="1"/>
    <n v="30"/>
    <n v="50000"/>
    <x v="1"/>
    <x v="3"/>
    <s v="Assistant"/>
    <d v="2020-02-20T00:00:00"/>
    <x v="2"/>
    <s v="user@domain.com"/>
    <s v="Phone not provided"/>
    <n v="5"/>
    <s v="Low"/>
    <x v="2"/>
  </r>
  <r>
    <x v="3"/>
    <n v="35"/>
    <n v="60000"/>
    <x v="0"/>
    <x v="3"/>
    <s v="Manager"/>
    <d v="2020-01-15T00:00:00"/>
    <x v="0"/>
    <s v="name@company.org"/>
    <s v="Phone not provided"/>
    <n v="6"/>
    <s v="Medium"/>
    <x v="0"/>
  </r>
  <r>
    <x v="4"/>
    <n v="30"/>
    <n v="70000"/>
    <x v="2"/>
    <x v="1"/>
    <s v="Assistant"/>
    <d v="2018-04-05T00:00:00"/>
    <x v="4"/>
    <s v="email@example.com"/>
    <s v="Phone not provided"/>
    <n v="7"/>
    <s v="High"/>
    <x v="4"/>
  </r>
  <r>
    <x v="4"/>
    <n v="50"/>
    <n v="50000"/>
    <x v="0"/>
    <x v="3"/>
    <s v="Analyst"/>
    <d v="2018-04-05T00:00:00"/>
    <x v="3"/>
    <s v="Email not provided"/>
    <s v="Phone not provided"/>
    <n v="7"/>
    <s v="Low"/>
    <x v="3"/>
  </r>
  <r>
    <x v="3"/>
    <n v="40"/>
    <n v="65000"/>
    <x v="0"/>
    <x v="1"/>
    <s v="Director"/>
    <d v="2020-02-20T00:00:00"/>
    <x v="2"/>
    <s v="email@example.com"/>
    <s v="Phone not provided"/>
    <n v="5"/>
    <s v="High"/>
    <x v="2"/>
  </r>
  <r>
    <x v="0"/>
    <n v="25"/>
    <n v="60000"/>
    <x v="0"/>
    <x v="4"/>
    <s v="Manager"/>
    <d v="2020-02-20T00:00:00"/>
    <x v="4"/>
    <s v="Email not provided"/>
    <s v="555-555-5555"/>
    <n v="5"/>
    <s v="Medium"/>
    <x v="4"/>
  </r>
  <r>
    <x v="1"/>
    <n v="25"/>
    <n v="60000"/>
    <x v="2"/>
    <x v="1"/>
    <s v="Analyst"/>
    <d v="2020-02-20T00:00:00"/>
    <x v="0"/>
    <s v="email@example.com"/>
    <s v="098-765-4321"/>
    <n v="5"/>
    <s v="Medium"/>
    <x v="0"/>
  </r>
  <r>
    <x v="8"/>
    <n v="40"/>
    <n v="60000"/>
    <x v="2"/>
    <x v="2"/>
    <s v="Analyst"/>
    <d v="2020-01-15T00:00:00"/>
    <x v="4"/>
    <s v="user@domain.com"/>
    <s v="098-765-4321"/>
    <n v="6"/>
    <s v="Medium"/>
    <x v="4"/>
  </r>
  <r>
    <x v="3"/>
    <n v="50"/>
    <n v="65000"/>
    <x v="0"/>
    <x v="0"/>
    <s v="Manager"/>
    <d v="2019-12-01T00:00:00"/>
    <x v="1"/>
    <s v="email@example.com"/>
    <s v="123-456-7890"/>
    <n v="6"/>
    <s v="High"/>
    <x v="1"/>
  </r>
  <r>
    <x v="0"/>
    <n v="25"/>
    <n v="50000"/>
    <x v="1"/>
    <x v="4"/>
    <s v="Analyst"/>
    <d v="2020-02-20T00:00:00"/>
    <x v="3"/>
    <s v="email@example.com"/>
    <s v="123-456-7890"/>
    <n v="5"/>
    <s v="Low"/>
    <x v="3"/>
  </r>
  <r>
    <x v="4"/>
    <n v="25"/>
    <n v="65000"/>
    <x v="1"/>
    <x v="4"/>
    <s v="Manager"/>
    <d v="2019-12-01T00:00:00"/>
    <x v="2"/>
    <s v="email@example.com"/>
    <s v="123-456-7890"/>
    <n v="6"/>
    <s v="High"/>
    <x v="2"/>
  </r>
  <r>
    <x v="4"/>
    <n v="25"/>
    <n v="65000"/>
    <x v="2"/>
    <x v="2"/>
    <s v="Manager"/>
    <d v="2020-01-15T00:00:00"/>
    <x v="1"/>
    <s v="name@company.org"/>
    <s v="098-765-4321"/>
    <n v="6"/>
    <s v="High"/>
    <x v="1"/>
  </r>
  <r>
    <x v="6"/>
    <n v="35"/>
    <n v="50000"/>
    <x v="2"/>
    <x v="1"/>
    <s v="Clerk"/>
    <d v="2019-12-01T00:00:00"/>
    <x v="0"/>
    <s v="name@company.org"/>
    <s v="555-555-5555"/>
    <n v="6"/>
    <s v="Low"/>
    <x v="0"/>
  </r>
  <r>
    <x v="3"/>
    <n v="35"/>
    <n v="70000"/>
    <x v="2"/>
    <x v="0"/>
    <s v="Assistant"/>
    <d v="2019-03-25T00:00:00"/>
    <x v="1"/>
    <s v="Email not provided"/>
    <s v="098-765-4321"/>
    <n v="6"/>
    <s v="High"/>
    <x v="1"/>
  </r>
  <r>
    <x v="1"/>
    <n v="35"/>
    <n v="65000"/>
    <x v="2"/>
    <x v="1"/>
    <s v="Analyst"/>
    <d v="2019-12-01T00:00:00"/>
    <x v="1"/>
    <s v="user@domain.com"/>
    <s v="098-765-4321"/>
    <n v="6"/>
    <s v="High"/>
    <x v="1"/>
  </r>
  <r>
    <x v="7"/>
    <n v="30"/>
    <n v="65000"/>
    <x v="2"/>
    <x v="3"/>
    <s v="Analyst"/>
    <d v="2020-02-20T00:00:00"/>
    <x v="0"/>
    <s v="email@example.com"/>
    <s v="098-765-4321"/>
    <n v="5"/>
    <s v="High"/>
    <x v="0"/>
  </r>
  <r>
    <x v="1"/>
    <n v="40"/>
    <n v="70000"/>
    <x v="1"/>
    <x v="1"/>
    <s v="Clerk"/>
    <d v="2020-01-15T00:00:00"/>
    <x v="1"/>
    <s v="email@example.com"/>
    <s v="098-765-4321"/>
    <n v="6"/>
    <s v="High"/>
    <x v="1"/>
  </r>
  <r>
    <x v="4"/>
    <n v="40"/>
    <n v="65000"/>
    <x v="2"/>
    <x v="4"/>
    <s v="Clerk"/>
    <d v="2020-02-20T00:00:00"/>
    <x v="2"/>
    <s v="email@example.com"/>
    <s v="555-555-5555"/>
    <n v="5"/>
    <s v="High"/>
    <x v="2"/>
  </r>
  <r>
    <x v="4"/>
    <n v="40"/>
    <n v="65000"/>
    <x v="0"/>
    <x v="0"/>
    <s v="Clerk"/>
    <d v="2019-03-25T00:00:00"/>
    <x v="4"/>
    <s v="email@example.com"/>
    <s v="123-456-7890"/>
    <n v="6"/>
    <s v="High"/>
    <x v="4"/>
  </r>
  <r>
    <x v="5"/>
    <n v="35"/>
    <n v="65000"/>
    <x v="0"/>
    <x v="1"/>
    <s v="Director"/>
    <d v="2020-02-20T00:00:00"/>
    <x v="1"/>
    <s v="name@company.org"/>
    <s v="Phone not provided"/>
    <n v="5"/>
    <s v="High"/>
    <x v="1"/>
  </r>
  <r>
    <x v="4"/>
    <n v="35"/>
    <n v="60000"/>
    <x v="1"/>
    <x v="0"/>
    <s v="Director"/>
    <d v="2020-02-20T00:00:00"/>
    <x v="2"/>
    <s v="Email not provided"/>
    <s v="123-456-7890"/>
    <n v="5"/>
    <s v="Medium"/>
    <x v="2"/>
  </r>
  <r>
    <x v="8"/>
    <n v="50"/>
    <n v="55000"/>
    <x v="0"/>
    <x v="0"/>
    <s v="Director"/>
    <d v="2020-02-20T00:00:00"/>
    <x v="4"/>
    <s v="Email not provided"/>
    <s v="123-456-7890"/>
    <n v="5"/>
    <s v="Low"/>
    <x v="4"/>
  </r>
  <r>
    <x v="2"/>
    <n v="50"/>
    <n v="70000"/>
    <x v="1"/>
    <x v="3"/>
    <s v="Manager"/>
    <d v="2018-04-05T00:00:00"/>
    <x v="4"/>
    <s v="user@domain.com"/>
    <s v="Phone not provided"/>
    <n v="7"/>
    <s v="High"/>
    <x v="4"/>
  </r>
  <r>
    <x v="3"/>
    <n v="35"/>
    <n v="65000"/>
    <x v="1"/>
    <x v="3"/>
    <s v="Analyst"/>
    <d v="2019-03-25T00:00:00"/>
    <x v="1"/>
    <s v="email@example.com"/>
    <s v="098-765-4321"/>
    <n v="6"/>
    <s v="High"/>
    <x v="1"/>
  </r>
  <r>
    <x v="1"/>
    <n v="50"/>
    <n v="60000"/>
    <x v="0"/>
    <x v="4"/>
    <s v="Assistant"/>
    <d v="2020-02-20T00:00:00"/>
    <x v="2"/>
    <s v="Email not provided"/>
    <s v="555-555-5555"/>
    <n v="5"/>
    <s v="Medium"/>
    <x v="2"/>
  </r>
  <r>
    <x v="2"/>
    <n v="40"/>
    <n v="70000"/>
    <x v="2"/>
    <x v="2"/>
    <s v="Manager"/>
    <d v="2020-02-20T00:00:00"/>
    <x v="1"/>
    <s v="Email not provided"/>
    <s v="555-555-5555"/>
    <n v="5"/>
    <s v="High"/>
    <x v="1"/>
  </r>
  <r>
    <x v="0"/>
    <n v="30"/>
    <n v="60000"/>
    <x v="0"/>
    <x v="0"/>
    <s v="Analyst"/>
    <d v="2020-02-20T00:00:00"/>
    <x v="0"/>
    <s v="Email not provided"/>
    <s v="123-456-7890"/>
    <n v="5"/>
    <s v="Medium"/>
    <x v="0"/>
  </r>
  <r>
    <x v="7"/>
    <n v="25"/>
    <n v="60000"/>
    <x v="0"/>
    <x v="2"/>
    <s v="Analyst"/>
    <d v="2020-01-15T00:00:00"/>
    <x v="4"/>
    <s v="name@company.org"/>
    <s v="Phone not provided"/>
    <n v="6"/>
    <s v="Medium"/>
    <x v="4"/>
  </r>
  <r>
    <x v="8"/>
    <n v="35"/>
    <n v="65000"/>
    <x v="1"/>
    <x v="4"/>
    <s v="Clerk"/>
    <d v="2018-04-05T00:00:00"/>
    <x v="1"/>
    <s v="Email not provided"/>
    <s v="Phone not provided"/>
    <n v="7"/>
    <s v="High"/>
    <x v="1"/>
  </r>
  <r>
    <x v="1"/>
    <n v="35"/>
    <n v="60000"/>
    <x v="0"/>
    <x v="0"/>
    <s v="Clerk"/>
    <d v="2020-01-15T00:00:00"/>
    <x v="4"/>
    <s v="Email not provided"/>
    <s v="098-765-4321"/>
    <n v="6"/>
    <s v="Medium"/>
    <x v="4"/>
  </r>
  <r>
    <x v="2"/>
    <n v="35"/>
    <n v="60000"/>
    <x v="1"/>
    <x v="0"/>
    <s v="Manager"/>
    <d v="2018-04-05T00:00:00"/>
    <x v="2"/>
    <s v="name@company.org"/>
    <s v="123-456-7890"/>
    <n v="7"/>
    <s v="Medium"/>
    <x v="2"/>
  </r>
  <r>
    <x v="7"/>
    <n v="35"/>
    <n v="70000"/>
    <x v="2"/>
    <x v="2"/>
    <s v="Clerk"/>
    <d v="2020-02-20T00:00:00"/>
    <x v="3"/>
    <s v="Email not provided"/>
    <s v="555-555-5555"/>
    <n v="5"/>
    <s v="High"/>
    <x v="3"/>
  </r>
  <r>
    <x v="5"/>
    <n v="40"/>
    <n v="70000"/>
    <x v="2"/>
    <x v="1"/>
    <s v="Analyst"/>
    <d v="2019-03-25T00:00:00"/>
    <x v="1"/>
    <s v="Email not provided"/>
    <s v="Phone not provided"/>
    <n v="6"/>
    <s v="High"/>
    <x v="1"/>
  </r>
  <r>
    <x v="8"/>
    <n v="50"/>
    <n v="60000"/>
    <x v="2"/>
    <x v="3"/>
    <s v="Clerk"/>
    <d v="2019-12-01T00:00:00"/>
    <x v="1"/>
    <s v="Email not provided"/>
    <s v="Phone not provided"/>
    <n v="6"/>
    <s v="Medium"/>
    <x v="1"/>
  </r>
  <r>
    <x v="8"/>
    <n v="40"/>
    <n v="70000"/>
    <x v="0"/>
    <x v="1"/>
    <s v="Director"/>
    <d v="2019-12-01T00:00:00"/>
    <x v="4"/>
    <s v="name@company.org"/>
    <s v="123-456-7890"/>
    <n v="6"/>
    <s v="High"/>
    <x v="4"/>
  </r>
  <r>
    <x v="5"/>
    <n v="35"/>
    <n v="60000"/>
    <x v="1"/>
    <x v="2"/>
    <s v="Clerk"/>
    <d v="2020-02-20T00:00:00"/>
    <x v="2"/>
    <s v="email@example.com"/>
    <s v="Phone not provided"/>
    <n v="5"/>
    <s v="Medium"/>
    <x v="2"/>
  </r>
  <r>
    <x v="3"/>
    <n v="40"/>
    <n v="55000"/>
    <x v="2"/>
    <x v="3"/>
    <s v="Analyst"/>
    <d v="2020-01-15T00:00:00"/>
    <x v="0"/>
    <s v="user@domain.com"/>
    <s v="555-555-5555"/>
    <n v="6"/>
    <s v="Low"/>
    <x v="0"/>
  </r>
  <r>
    <x v="5"/>
    <n v="50"/>
    <n v="60000"/>
    <x v="1"/>
    <x v="1"/>
    <s v="Manager"/>
    <d v="2019-03-25T00:00:00"/>
    <x v="2"/>
    <s v="Email not provided"/>
    <s v="123-456-7890"/>
    <n v="6"/>
    <s v="Medium"/>
    <x v="2"/>
  </r>
  <r>
    <x v="8"/>
    <n v="30"/>
    <n v="60000"/>
    <x v="1"/>
    <x v="3"/>
    <s v="Assistant"/>
    <d v="2018-04-05T00:00:00"/>
    <x v="1"/>
    <s v="name@company.org"/>
    <s v="Phone not provided"/>
    <n v="7"/>
    <s v="Medium"/>
    <x v="1"/>
  </r>
  <r>
    <x v="8"/>
    <n v="35"/>
    <n v="70000"/>
    <x v="2"/>
    <x v="0"/>
    <s v="Clerk"/>
    <d v="2020-02-20T00:00:00"/>
    <x v="0"/>
    <s v="Email not provided"/>
    <s v="Phone not provided"/>
    <n v="5"/>
    <s v="High"/>
    <x v="0"/>
  </r>
  <r>
    <x v="2"/>
    <n v="30"/>
    <n v="60000"/>
    <x v="2"/>
    <x v="1"/>
    <s v="Analyst"/>
    <d v="2019-03-25T00:00:00"/>
    <x v="2"/>
    <s v="name@company.org"/>
    <s v="098-765-4321"/>
    <n v="6"/>
    <s v="Medium"/>
    <x v="2"/>
  </r>
  <r>
    <x v="4"/>
    <n v="25"/>
    <n v="60000"/>
    <x v="1"/>
    <x v="3"/>
    <s v="Assistant"/>
    <d v="2019-03-25T00:00:00"/>
    <x v="3"/>
    <s v="user@domain.com"/>
    <s v="555-555-5555"/>
    <n v="6"/>
    <s v="Medium"/>
    <x v="3"/>
  </r>
  <r>
    <x v="7"/>
    <n v="30"/>
    <n v="70000"/>
    <x v="2"/>
    <x v="3"/>
    <s v="Assistant"/>
    <d v="2018-04-05T00:00:00"/>
    <x v="4"/>
    <s v="user@domain.com"/>
    <s v="555-555-5555"/>
    <n v="7"/>
    <s v="High"/>
    <x v="4"/>
  </r>
  <r>
    <x v="5"/>
    <n v="25"/>
    <n v="55000"/>
    <x v="1"/>
    <x v="3"/>
    <s v="Director"/>
    <d v="2019-03-25T00:00:00"/>
    <x v="2"/>
    <s v="email@example.com"/>
    <s v="Phone not provided"/>
    <n v="6"/>
    <s v="Low"/>
    <x v="2"/>
  </r>
  <r>
    <x v="7"/>
    <n v="25"/>
    <n v="55000"/>
    <x v="1"/>
    <x v="1"/>
    <s v="Assistant"/>
    <d v="2020-01-15T00:00:00"/>
    <x v="2"/>
    <s v="email@example.com"/>
    <s v="123-456-7890"/>
    <n v="6"/>
    <s v="Low"/>
    <x v="2"/>
  </r>
  <r>
    <x v="5"/>
    <n v="30"/>
    <n v="70000"/>
    <x v="2"/>
    <x v="4"/>
    <s v="Analyst"/>
    <d v="2020-01-15T00:00:00"/>
    <x v="3"/>
    <s v="user@domain.com"/>
    <s v="Phone not provided"/>
    <n v="6"/>
    <s v="High"/>
    <x v="3"/>
  </r>
  <r>
    <x v="0"/>
    <n v="35"/>
    <n v="50000"/>
    <x v="0"/>
    <x v="1"/>
    <s v="Analyst"/>
    <d v="2020-01-15T00:00:00"/>
    <x v="1"/>
    <s v="Email not provided"/>
    <s v="Phone not provided"/>
    <n v="6"/>
    <s v="Low"/>
    <x v="1"/>
  </r>
  <r>
    <x v="8"/>
    <n v="50"/>
    <n v="70000"/>
    <x v="2"/>
    <x v="2"/>
    <s v="Clerk"/>
    <d v="2019-03-25T00:00:00"/>
    <x v="4"/>
    <s v="Email not provided"/>
    <s v="098-765-4321"/>
    <n v="6"/>
    <s v="High"/>
    <x v="4"/>
  </r>
  <r>
    <x v="4"/>
    <n v="40"/>
    <n v="70000"/>
    <x v="0"/>
    <x v="1"/>
    <s v="Clerk"/>
    <d v="2020-01-15T00:00:00"/>
    <x v="2"/>
    <s v="Email not provided"/>
    <s v="098-765-4321"/>
    <n v="6"/>
    <s v="High"/>
    <x v="2"/>
  </r>
  <r>
    <x v="2"/>
    <n v="40"/>
    <n v="55000"/>
    <x v="1"/>
    <x v="3"/>
    <s v="Clerk"/>
    <d v="2018-04-05T00:00:00"/>
    <x v="0"/>
    <s v="email@example.com"/>
    <s v="098-765-4321"/>
    <n v="7"/>
    <s v="Low"/>
    <x v="0"/>
  </r>
  <r>
    <x v="4"/>
    <n v="50"/>
    <n v="55000"/>
    <x v="1"/>
    <x v="0"/>
    <s v="Assistant"/>
    <d v="2019-03-25T00:00:00"/>
    <x v="2"/>
    <s v="Email not provided"/>
    <s v="Phone not provided"/>
    <n v="6"/>
    <s v="Low"/>
    <x v="2"/>
  </r>
  <r>
    <x v="4"/>
    <n v="25"/>
    <n v="70000"/>
    <x v="0"/>
    <x v="1"/>
    <s v="Assistant"/>
    <d v="2019-12-01T00:00:00"/>
    <x v="4"/>
    <s v="email@example.com"/>
    <s v="Phone not provided"/>
    <n v="6"/>
    <s v="High"/>
    <x v="4"/>
  </r>
  <r>
    <x v="4"/>
    <n v="25"/>
    <n v="70000"/>
    <x v="1"/>
    <x v="1"/>
    <s v="Director"/>
    <d v="2019-03-25T00:00:00"/>
    <x v="2"/>
    <s v="user@domain.com"/>
    <s v="555-555-5555"/>
    <n v="6"/>
    <s v="High"/>
    <x v="2"/>
  </r>
  <r>
    <x v="7"/>
    <n v="35"/>
    <n v="70000"/>
    <x v="0"/>
    <x v="3"/>
    <s v="Clerk"/>
    <d v="2018-04-05T00:00:00"/>
    <x v="3"/>
    <s v="Email not provided"/>
    <s v="123-456-7890"/>
    <n v="7"/>
    <s v="High"/>
    <x v="3"/>
  </r>
  <r>
    <x v="5"/>
    <n v="35"/>
    <n v="55000"/>
    <x v="0"/>
    <x v="0"/>
    <s v="Manager"/>
    <d v="2019-12-01T00:00:00"/>
    <x v="2"/>
    <s v="Email not provided"/>
    <s v="555-555-5555"/>
    <n v="6"/>
    <s v="Low"/>
    <x v="2"/>
  </r>
  <r>
    <x v="9"/>
    <n v="30"/>
    <n v="70000"/>
    <x v="1"/>
    <x v="0"/>
    <s v="Director"/>
    <d v="2019-03-25T00:00:00"/>
    <x v="2"/>
    <s v="user@domain.com"/>
    <s v="Phone not provided"/>
    <n v="6"/>
    <s v="High"/>
    <x v="2"/>
  </r>
  <r>
    <x v="0"/>
    <n v="25"/>
    <n v="70000"/>
    <x v="0"/>
    <x v="2"/>
    <s v="Manager"/>
    <d v="2020-01-15T00:00:00"/>
    <x v="0"/>
    <s v="Email not provided"/>
    <s v="555-555-5555"/>
    <n v="6"/>
    <s v="High"/>
    <x v="0"/>
  </r>
  <r>
    <x v="1"/>
    <n v="40"/>
    <n v="65000"/>
    <x v="2"/>
    <x v="1"/>
    <s v="Assistant"/>
    <d v="2020-02-20T00:00:00"/>
    <x v="3"/>
    <s v="Email not provided"/>
    <s v="Phone not provided"/>
    <n v="5"/>
    <s v="High"/>
    <x v="3"/>
  </r>
  <r>
    <x v="4"/>
    <n v="35"/>
    <n v="50000"/>
    <x v="2"/>
    <x v="0"/>
    <s v="Director"/>
    <d v="2020-02-20T00:00:00"/>
    <x v="3"/>
    <s v="name@company.org"/>
    <s v="098-765-4321"/>
    <n v="5"/>
    <s v="Low"/>
    <x v="3"/>
  </r>
  <r>
    <x v="3"/>
    <n v="30"/>
    <n v="60000"/>
    <x v="1"/>
    <x v="0"/>
    <s v="Director"/>
    <d v="2020-01-15T00:00:00"/>
    <x v="2"/>
    <s v="email@example.com"/>
    <s v="Phone not provided"/>
    <n v="6"/>
    <s v="Medium"/>
    <x v="2"/>
  </r>
  <r>
    <x v="7"/>
    <n v="35"/>
    <n v="50000"/>
    <x v="1"/>
    <x v="4"/>
    <s v="Analyst"/>
    <d v="2020-02-20T00:00:00"/>
    <x v="0"/>
    <s v="Email not provided"/>
    <s v="Phone not provided"/>
    <n v="5"/>
    <s v="Low"/>
    <x v="0"/>
  </r>
  <r>
    <x v="2"/>
    <n v="30"/>
    <n v="65000"/>
    <x v="0"/>
    <x v="4"/>
    <s v="Assistant"/>
    <d v="2020-02-20T00:00:00"/>
    <x v="2"/>
    <s v="user@domain.com"/>
    <s v="555-555-5555"/>
    <n v="5"/>
    <s v="High"/>
    <x v="2"/>
  </r>
  <r>
    <x v="1"/>
    <n v="30"/>
    <n v="60000"/>
    <x v="0"/>
    <x v="0"/>
    <s v="Assistant"/>
    <d v="2020-01-15T00:00:00"/>
    <x v="2"/>
    <s v="Email not provided"/>
    <s v="Phone not provided"/>
    <n v="6"/>
    <s v="Medium"/>
    <x v="2"/>
  </r>
  <r>
    <x v="9"/>
    <n v="50"/>
    <n v="70000"/>
    <x v="0"/>
    <x v="2"/>
    <s v="Director"/>
    <d v="2020-01-15T00:00:00"/>
    <x v="4"/>
    <s v="Email not provided"/>
    <s v="555-555-5555"/>
    <n v="6"/>
    <s v="High"/>
    <x v="4"/>
  </r>
  <r>
    <x v="3"/>
    <n v="25"/>
    <n v="65000"/>
    <x v="0"/>
    <x v="0"/>
    <s v="Assistant"/>
    <d v="2019-03-25T00:00:00"/>
    <x v="4"/>
    <s v="email@example.com"/>
    <s v="555-555-5555"/>
    <n v="6"/>
    <s v="High"/>
    <x v="4"/>
  </r>
  <r>
    <x v="9"/>
    <n v="35"/>
    <n v="70000"/>
    <x v="2"/>
    <x v="3"/>
    <s v="Director"/>
    <d v="2019-03-25T00:00:00"/>
    <x v="0"/>
    <s v="name@company.org"/>
    <s v="Phone not provided"/>
    <n v="6"/>
    <s v="High"/>
    <x v="0"/>
  </r>
  <r>
    <x v="1"/>
    <n v="35"/>
    <n v="55000"/>
    <x v="2"/>
    <x v="1"/>
    <s v="Analyst"/>
    <d v="2020-01-15T00:00:00"/>
    <x v="1"/>
    <s v="email@example.com"/>
    <s v="555-555-5555"/>
    <n v="6"/>
    <s v="Low"/>
    <x v="1"/>
  </r>
  <r>
    <x v="4"/>
    <n v="50"/>
    <n v="60000"/>
    <x v="1"/>
    <x v="2"/>
    <s v="Director"/>
    <d v="2018-04-05T00:00:00"/>
    <x v="4"/>
    <s v="Email not provided"/>
    <s v="098-765-4321"/>
    <n v="7"/>
    <s v="Medium"/>
    <x v="4"/>
  </r>
  <r>
    <x v="3"/>
    <n v="40"/>
    <n v="65000"/>
    <x v="0"/>
    <x v="3"/>
    <s v="Assistant"/>
    <d v="2020-02-20T00:00:00"/>
    <x v="1"/>
    <s v="Email not provided"/>
    <s v="555-555-5555"/>
    <n v="5"/>
    <s v="High"/>
    <x v="1"/>
  </r>
  <r>
    <x v="9"/>
    <n v="40"/>
    <n v="55000"/>
    <x v="0"/>
    <x v="2"/>
    <s v="Assistant"/>
    <d v="2019-03-25T00:00:00"/>
    <x v="3"/>
    <s v="Email not provided"/>
    <s v="098-765-4321"/>
    <n v="6"/>
    <s v="Low"/>
    <x v="3"/>
  </r>
  <r>
    <x v="2"/>
    <n v="25"/>
    <n v="65000"/>
    <x v="1"/>
    <x v="3"/>
    <s v="Director"/>
    <d v="2020-02-20T00:00:00"/>
    <x v="4"/>
    <s v="Email not provided"/>
    <s v="Phone not provided"/>
    <n v="5"/>
    <s v="High"/>
    <x v="4"/>
  </r>
  <r>
    <x v="5"/>
    <n v="25"/>
    <n v="65000"/>
    <x v="0"/>
    <x v="1"/>
    <s v="Director"/>
    <d v="2019-12-01T00:00:00"/>
    <x v="4"/>
    <s v="user@domain.com"/>
    <s v="Phone not provided"/>
    <n v="6"/>
    <s v="High"/>
    <x v="4"/>
  </r>
  <r>
    <x v="8"/>
    <n v="35"/>
    <n v="55000"/>
    <x v="0"/>
    <x v="1"/>
    <s v="Director"/>
    <d v="2020-01-15T00:00:00"/>
    <x v="0"/>
    <s v="name@company.org"/>
    <s v="098-765-4321"/>
    <n v="6"/>
    <s v="Low"/>
    <x v="0"/>
  </r>
  <r>
    <x v="5"/>
    <n v="50"/>
    <n v="60000"/>
    <x v="0"/>
    <x v="4"/>
    <s v="Clerk"/>
    <d v="2018-04-05T00:00:00"/>
    <x v="1"/>
    <s v="Email not provided"/>
    <s v="Phone not provided"/>
    <n v="7"/>
    <s v="Medium"/>
    <x v="1"/>
  </r>
  <r>
    <x v="1"/>
    <n v="40"/>
    <n v="50000"/>
    <x v="0"/>
    <x v="3"/>
    <s v="Assistant"/>
    <d v="2019-12-01T00:00:00"/>
    <x v="4"/>
    <s v="Email not provided"/>
    <s v="Phone not provided"/>
    <n v="6"/>
    <s v="Low"/>
    <x v="4"/>
  </r>
  <r>
    <x v="7"/>
    <n v="30"/>
    <n v="70000"/>
    <x v="0"/>
    <x v="4"/>
    <s v="Assistant"/>
    <d v="2019-12-01T00:00:00"/>
    <x v="4"/>
    <s v="Email not provided"/>
    <s v="098-765-4321"/>
    <n v="6"/>
    <s v="High"/>
    <x v="4"/>
  </r>
  <r>
    <x v="8"/>
    <n v="35"/>
    <n v="65000"/>
    <x v="1"/>
    <x v="3"/>
    <s v="Clerk"/>
    <d v="2019-12-01T00:00:00"/>
    <x v="0"/>
    <s v="name@company.org"/>
    <s v="Phone not provided"/>
    <n v="6"/>
    <s v="High"/>
    <x v="0"/>
  </r>
  <r>
    <x v="0"/>
    <n v="25"/>
    <n v="70000"/>
    <x v="0"/>
    <x v="4"/>
    <s v="Director"/>
    <d v="2020-01-15T00:00:00"/>
    <x v="0"/>
    <s v="email@example.com"/>
    <s v="123-456-7890"/>
    <n v="6"/>
    <s v="High"/>
    <x v="0"/>
  </r>
  <r>
    <x v="2"/>
    <n v="35"/>
    <n v="60000"/>
    <x v="1"/>
    <x v="1"/>
    <s v="Analyst"/>
    <d v="2019-03-25T00:00:00"/>
    <x v="1"/>
    <s v="name@company.org"/>
    <s v="Phone not provided"/>
    <n v="6"/>
    <s v="Medium"/>
    <x v="1"/>
  </r>
  <r>
    <x v="0"/>
    <n v="35"/>
    <n v="55000"/>
    <x v="0"/>
    <x v="2"/>
    <s v="Director"/>
    <d v="2020-01-15T00:00:00"/>
    <x v="3"/>
    <s v="name@company.org"/>
    <s v="Phone not provided"/>
    <n v="6"/>
    <s v="Low"/>
    <x v="3"/>
  </r>
  <r>
    <x v="3"/>
    <n v="35"/>
    <n v="70000"/>
    <x v="2"/>
    <x v="4"/>
    <s v="Director"/>
    <d v="2019-03-25T00:00:00"/>
    <x v="3"/>
    <s v="name@company.org"/>
    <s v="Phone not provided"/>
    <n v="6"/>
    <s v="High"/>
    <x v="3"/>
  </r>
  <r>
    <x v="8"/>
    <n v="40"/>
    <n v="55000"/>
    <x v="2"/>
    <x v="3"/>
    <s v="Clerk"/>
    <d v="2019-12-01T00:00:00"/>
    <x v="2"/>
    <s v="Email not provided"/>
    <s v="Phone not provided"/>
    <n v="6"/>
    <s v="Low"/>
    <x v="2"/>
  </r>
  <r>
    <x v="0"/>
    <n v="25"/>
    <n v="70000"/>
    <x v="2"/>
    <x v="3"/>
    <s v="Assistant"/>
    <d v="2019-12-01T00:00:00"/>
    <x v="4"/>
    <s v="Email not provided"/>
    <s v="555-555-5555"/>
    <n v="6"/>
    <s v="High"/>
    <x v="4"/>
  </r>
  <r>
    <x v="0"/>
    <n v="35"/>
    <n v="50000"/>
    <x v="2"/>
    <x v="1"/>
    <s v="Director"/>
    <d v="2018-04-05T00:00:00"/>
    <x v="1"/>
    <s v="user@domain.com"/>
    <s v="Phone not provided"/>
    <n v="7"/>
    <s v="Low"/>
    <x v="1"/>
  </r>
  <r>
    <x v="9"/>
    <n v="25"/>
    <n v="50000"/>
    <x v="1"/>
    <x v="3"/>
    <s v="Assistant"/>
    <d v="2019-03-25T00:00:00"/>
    <x v="4"/>
    <s v="email@example.com"/>
    <s v="Phone not provided"/>
    <n v="6"/>
    <s v="Low"/>
    <x v="4"/>
  </r>
  <r>
    <x v="5"/>
    <n v="30"/>
    <n v="50000"/>
    <x v="1"/>
    <x v="0"/>
    <s v="Manager"/>
    <d v="2019-12-01T00:00:00"/>
    <x v="1"/>
    <s v="Email not provided"/>
    <s v="098-765-4321"/>
    <n v="6"/>
    <s v="Low"/>
    <x v="1"/>
  </r>
  <r>
    <x v="9"/>
    <n v="35"/>
    <n v="50000"/>
    <x v="0"/>
    <x v="2"/>
    <s v="Assistant"/>
    <d v="2020-02-20T00:00:00"/>
    <x v="1"/>
    <s v="name@company.org"/>
    <s v="123-456-7890"/>
    <n v="5"/>
    <s v="Low"/>
    <x v="1"/>
  </r>
  <r>
    <x v="8"/>
    <n v="30"/>
    <n v="50000"/>
    <x v="2"/>
    <x v="4"/>
    <s v="Analyst"/>
    <d v="2018-04-05T00:00:00"/>
    <x v="1"/>
    <s v="email@example.com"/>
    <s v="555-555-5555"/>
    <n v="7"/>
    <s v="Low"/>
    <x v="1"/>
  </r>
  <r>
    <x v="8"/>
    <n v="25"/>
    <n v="50000"/>
    <x v="1"/>
    <x v="2"/>
    <s v="Analyst"/>
    <d v="2020-01-15T00:00:00"/>
    <x v="4"/>
    <s v="email@example.com"/>
    <s v="098-765-4321"/>
    <n v="6"/>
    <s v="Low"/>
    <x v="4"/>
  </r>
  <r>
    <x v="1"/>
    <n v="25"/>
    <n v="55000"/>
    <x v="0"/>
    <x v="1"/>
    <s v="Director"/>
    <d v="2018-04-05T00:00:00"/>
    <x v="0"/>
    <s v="user@domain.com"/>
    <s v="123-456-7890"/>
    <n v="7"/>
    <s v="Low"/>
    <x v="0"/>
  </r>
  <r>
    <x v="9"/>
    <n v="40"/>
    <n v="65000"/>
    <x v="0"/>
    <x v="4"/>
    <s v="Assistant"/>
    <d v="2020-02-20T00:00:00"/>
    <x v="4"/>
    <s v="Email not provided"/>
    <s v="123-456-7890"/>
    <n v="5"/>
    <s v="High"/>
    <x v="4"/>
  </r>
  <r>
    <x v="6"/>
    <n v="35"/>
    <n v="70000"/>
    <x v="1"/>
    <x v="4"/>
    <s v="Director"/>
    <d v="2019-03-25T00:00:00"/>
    <x v="1"/>
    <s v="name@company.org"/>
    <s v="123-456-7890"/>
    <n v="6"/>
    <s v="High"/>
    <x v="1"/>
  </r>
  <r>
    <x v="5"/>
    <n v="35"/>
    <n v="50000"/>
    <x v="2"/>
    <x v="0"/>
    <s v="Clerk"/>
    <d v="2020-01-15T00:00:00"/>
    <x v="2"/>
    <s v="Email not provided"/>
    <s v="098-765-4321"/>
    <n v="6"/>
    <s v="Low"/>
    <x v="2"/>
  </r>
  <r>
    <x v="8"/>
    <n v="30"/>
    <n v="55000"/>
    <x v="0"/>
    <x v="1"/>
    <s v="Analyst"/>
    <d v="2020-01-15T00:00:00"/>
    <x v="3"/>
    <s v="user@domain.com"/>
    <s v="555-555-5555"/>
    <n v="6"/>
    <s v="Low"/>
    <x v="3"/>
  </r>
  <r>
    <x v="1"/>
    <n v="35"/>
    <n v="55000"/>
    <x v="2"/>
    <x v="3"/>
    <s v="Director"/>
    <d v="2019-03-25T00:00:00"/>
    <x v="1"/>
    <s v="Email not provided"/>
    <s v="555-555-5555"/>
    <n v="6"/>
    <s v="Low"/>
    <x v="1"/>
  </r>
  <r>
    <x v="9"/>
    <n v="50"/>
    <n v="55000"/>
    <x v="2"/>
    <x v="0"/>
    <s v="Clerk"/>
    <d v="2018-04-05T00:00:00"/>
    <x v="2"/>
    <s v="email@example.com"/>
    <s v="123-456-7890"/>
    <n v="7"/>
    <s v="Low"/>
    <x v="2"/>
  </r>
  <r>
    <x v="5"/>
    <n v="35"/>
    <n v="65000"/>
    <x v="2"/>
    <x v="0"/>
    <s v="Director"/>
    <d v="2019-12-01T00:00:00"/>
    <x v="0"/>
    <s v="name@company.org"/>
    <s v="098-765-4321"/>
    <n v="6"/>
    <s v="High"/>
    <x v="0"/>
  </r>
  <r>
    <x v="9"/>
    <n v="40"/>
    <n v="70000"/>
    <x v="0"/>
    <x v="2"/>
    <s v="Assistant"/>
    <d v="2018-04-05T00:00:00"/>
    <x v="1"/>
    <s v="Email not provided"/>
    <s v="123-456-7890"/>
    <n v="7"/>
    <s v="High"/>
    <x v="1"/>
  </r>
  <r>
    <x v="0"/>
    <n v="30"/>
    <n v="65000"/>
    <x v="2"/>
    <x v="2"/>
    <s v="Assistant"/>
    <d v="2020-02-20T00:00:00"/>
    <x v="2"/>
    <s v="user@domain.com"/>
    <s v="Phone not provided"/>
    <n v="5"/>
    <s v="High"/>
    <x v="2"/>
  </r>
  <r>
    <x v="1"/>
    <n v="30"/>
    <n v="60000"/>
    <x v="0"/>
    <x v="2"/>
    <s v="Assistant"/>
    <d v="2019-12-01T00:00:00"/>
    <x v="1"/>
    <s v="Email not provided"/>
    <s v="555-555-5555"/>
    <n v="6"/>
    <s v="Medium"/>
    <x v="1"/>
  </r>
  <r>
    <x v="5"/>
    <n v="50"/>
    <n v="55000"/>
    <x v="2"/>
    <x v="0"/>
    <s v="Assistant"/>
    <d v="2018-04-05T00:00:00"/>
    <x v="4"/>
    <s v="email@example.com"/>
    <s v="Phone not provided"/>
    <n v="7"/>
    <s v="Low"/>
    <x v="4"/>
  </r>
  <r>
    <x v="4"/>
    <n v="40"/>
    <n v="60000"/>
    <x v="0"/>
    <x v="3"/>
    <s v="Manager"/>
    <d v="2019-03-25T00:00:00"/>
    <x v="2"/>
    <s v="name@company.org"/>
    <s v="123-456-7890"/>
    <n v="6"/>
    <s v="Medium"/>
    <x v="2"/>
  </r>
  <r>
    <x v="3"/>
    <n v="35"/>
    <n v="60000"/>
    <x v="2"/>
    <x v="4"/>
    <s v="Clerk"/>
    <d v="2020-02-20T00:00:00"/>
    <x v="4"/>
    <s v="Email not provided"/>
    <s v="Phone not provided"/>
    <n v="5"/>
    <s v="Medium"/>
    <x v="4"/>
  </r>
  <r>
    <x v="3"/>
    <n v="40"/>
    <n v="50000"/>
    <x v="1"/>
    <x v="2"/>
    <s v="Clerk"/>
    <d v="2020-02-20T00:00:00"/>
    <x v="4"/>
    <s v="Email not provided"/>
    <s v="555-555-5555"/>
    <n v="5"/>
    <s v="Low"/>
    <x v="4"/>
  </r>
  <r>
    <x v="5"/>
    <n v="35"/>
    <n v="50000"/>
    <x v="2"/>
    <x v="3"/>
    <s v="Assistant"/>
    <d v="2020-02-20T00:00:00"/>
    <x v="2"/>
    <s v="email@example.com"/>
    <s v="098-765-4321"/>
    <n v="5"/>
    <s v="Low"/>
    <x v="2"/>
  </r>
  <r>
    <x v="9"/>
    <n v="40"/>
    <n v="65000"/>
    <x v="2"/>
    <x v="1"/>
    <s v="Manager"/>
    <d v="2019-12-01T00:00:00"/>
    <x v="3"/>
    <s v="Email not provided"/>
    <s v="555-555-5555"/>
    <n v="6"/>
    <s v="High"/>
    <x v="3"/>
  </r>
  <r>
    <x v="1"/>
    <n v="40"/>
    <n v="70000"/>
    <x v="0"/>
    <x v="2"/>
    <s v="Assistant"/>
    <d v="2020-01-15T00:00:00"/>
    <x v="2"/>
    <s v="user@domain.com"/>
    <s v="098-765-4321"/>
    <n v="6"/>
    <s v="High"/>
    <x v="2"/>
  </r>
  <r>
    <x v="3"/>
    <n v="25"/>
    <n v="60000"/>
    <x v="0"/>
    <x v="4"/>
    <s v="Manager"/>
    <d v="2019-12-01T00:00:00"/>
    <x v="3"/>
    <s v="Email not provided"/>
    <s v="098-765-4321"/>
    <n v="6"/>
    <s v="Medium"/>
    <x v="3"/>
  </r>
  <r>
    <x v="1"/>
    <n v="30"/>
    <n v="70000"/>
    <x v="2"/>
    <x v="1"/>
    <s v="Assistant"/>
    <d v="2018-04-05T00:00:00"/>
    <x v="1"/>
    <s v="Email not provided"/>
    <s v="123-456-7890"/>
    <n v="7"/>
    <s v="High"/>
    <x v="1"/>
  </r>
  <r>
    <x v="3"/>
    <n v="40"/>
    <n v="65000"/>
    <x v="1"/>
    <x v="1"/>
    <s v="Analyst"/>
    <d v="2020-01-15T00:00:00"/>
    <x v="1"/>
    <s v="Email not provided"/>
    <s v="123-456-7890"/>
    <n v="6"/>
    <s v="High"/>
    <x v="1"/>
  </r>
  <r>
    <x v="0"/>
    <n v="50"/>
    <n v="50000"/>
    <x v="1"/>
    <x v="4"/>
    <s v="Analyst"/>
    <d v="2018-04-05T00:00:00"/>
    <x v="2"/>
    <s v="email@example.com"/>
    <s v="555-555-5555"/>
    <n v="7"/>
    <s v="Low"/>
    <x v="2"/>
  </r>
  <r>
    <x v="9"/>
    <n v="40"/>
    <n v="70000"/>
    <x v="0"/>
    <x v="2"/>
    <s v="Director"/>
    <d v="2020-01-15T00:00:00"/>
    <x v="1"/>
    <s v="email@example.com"/>
    <s v="Phone not provided"/>
    <n v="6"/>
    <s v="High"/>
    <x v="1"/>
  </r>
  <r>
    <x v="0"/>
    <n v="35"/>
    <n v="70000"/>
    <x v="1"/>
    <x v="0"/>
    <s v="Assistant"/>
    <d v="2019-12-01T00:00:00"/>
    <x v="0"/>
    <s v="user@domain.com"/>
    <s v="555-555-5555"/>
    <n v="6"/>
    <s v="High"/>
    <x v="0"/>
  </r>
  <r>
    <x v="3"/>
    <n v="30"/>
    <n v="50000"/>
    <x v="2"/>
    <x v="4"/>
    <s v="Clerk"/>
    <d v="2020-02-20T00:00:00"/>
    <x v="4"/>
    <s v="Email not provided"/>
    <s v="Phone not provided"/>
    <n v="5"/>
    <s v="Low"/>
    <x v="4"/>
  </r>
  <r>
    <x v="4"/>
    <n v="35"/>
    <n v="60000"/>
    <x v="0"/>
    <x v="4"/>
    <s v="Director"/>
    <d v="2019-03-25T00:00:00"/>
    <x v="4"/>
    <s v="email@example.com"/>
    <s v="098-765-4321"/>
    <n v="6"/>
    <s v="Medium"/>
    <x v="4"/>
  </r>
  <r>
    <x v="4"/>
    <n v="30"/>
    <n v="50000"/>
    <x v="2"/>
    <x v="4"/>
    <s v="Analyst"/>
    <d v="2020-02-20T00:00:00"/>
    <x v="3"/>
    <s v="user@domain.com"/>
    <s v="098-765-4321"/>
    <n v="5"/>
    <s v="Low"/>
    <x v="3"/>
  </r>
  <r>
    <x v="0"/>
    <n v="35"/>
    <n v="70000"/>
    <x v="0"/>
    <x v="1"/>
    <s v="Assistant"/>
    <d v="2019-12-01T00:00:00"/>
    <x v="1"/>
    <s v="user@domain.com"/>
    <s v="123-456-7890"/>
    <n v="6"/>
    <s v="High"/>
    <x v="1"/>
  </r>
  <r>
    <x v="4"/>
    <n v="40"/>
    <n v="60000"/>
    <x v="0"/>
    <x v="3"/>
    <s v="Director"/>
    <d v="2020-01-15T00:00:00"/>
    <x v="3"/>
    <s v="Email not provided"/>
    <s v="Phone not provided"/>
    <n v="6"/>
    <s v="Medium"/>
    <x v="3"/>
  </r>
  <r>
    <x v="3"/>
    <n v="40"/>
    <n v="60000"/>
    <x v="0"/>
    <x v="0"/>
    <s v="Assistant"/>
    <d v="2020-02-20T00:00:00"/>
    <x v="4"/>
    <s v="name@company.org"/>
    <s v="123-456-7890"/>
    <n v="5"/>
    <s v="Medium"/>
    <x v="4"/>
  </r>
  <r>
    <x v="5"/>
    <n v="25"/>
    <n v="50000"/>
    <x v="0"/>
    <x v="2"/>
    <s v="Analyst"/>
    <d v="2019-12-01T00:00:00"/>
    <x v="4"/>
    <s v="Email not provided"/>
    <s v="Phone not provided"/>
    <n v="6"/>
    <s v="Low"/>
    <x v="4"/>
  </r>
  <r>
    <x v="0"/>
    <n v="50"/>
    <n v="70000"/>
    <x v="1"/>
    <x v="2"/>
    <s v="Director"/>
    <d v="2018-04-05T00:00:00"/>
    <x v="1"/>
    <s v="name@company.org"/>
    <s v="555-555-5555"/>
    <n v="7"/>
    <s v="High"/>
    <x v="1"/>
  </r>
  <r>
    <x v="7"/>
    <n v="35"/>
    <n v="65000"/>
    <x v="2"/>
    <x v="3"/>
    <s v="Analyst"/>
    <d v="2019-03-25T00:00:00"/>
    <x v="0"/>
    <s v="user@domain.com"/>
    <s v="555-555-5555"/>
    <n v="6"/>
    <s v="High"/>
    <x v="0"/>
  </r>
  <r>
    <x v="9"/>
    <n v="35"/>
    <n v="70000"/>
    <x v="2"/>
    <x v="4"/>
    <s v="Manager"/>
    <d v="2020-02-20T00:00:00"/>
    <x v="0"/>
    <s v="email@example.com"/>
    <s v="Phone not provided"/>
    <n v="5"/>
    <s v="High"/>
    <x v="0"/>
  </r>
  <r>
    <x v="4"/>
    <n v="25"/>
    <n v="55000"/>
    <x v="2"/>
    <x v="0"/>
    <s v="Analyst"/>
    <d v="2020-01-15T00:00:00"/>
    <x v="1"/>
    <s v="Email not provided"/>
    <s v="123-456-7890"/>
    <n v="6"/>
    <s v="Low"/>
    <x v="1"/>
  </r>
  <r>
    <x v="4"/>
    <n v="35"/>
    <n v="60000"/>
    <x v="0"/>
    <x v="2"/>
    <s v="Assistant"/>
    <d v="2018-04-05T00:00:00"/>
    <x v="1"/>
    <s v="user@domain.com"/>
    <s v="123-456-7890"/>
    <n v="7"/>
    <s v="Medium"/>
    <x v="1"/>
  </r>
  <r>
    <x v="8"/>
    <n v="35"/>
    <n v="65000"/>
    <x v="1"/>
    <x v="2"/>
    <s v="Clerk"/>
    <d v="2019-12-01T00:00:00"/>
    <x v="3"/>
    <s v="email@example.com"/>
    <s v="Phone not provided"/>
    <n v="6"/>
    <s v="High"/>
    <x v="3"/>
  </r>
  <r>
    <x v="6"/>
    <n v="25"/>
    <n v="60000"/>
    <x v="2"/>
    <x v="4"/>
    <s v="Analyst"/>
    <d v="2019-03-25T00:00:00"/>
    <x v="1"/>
    <s v="user@domain.com"/>
    <s v="555-555-5555"/>
    <n v="6"/>
    <s v="Medium"/>
    <x v="1"/>
  </r>
  <r>
    <x v="0"/>
    <n v="40"/>
    <n v="65000"/>
    <x v="1"/>
    <x v="3"/>
    <s v="Clerk"/>
    <d v="2020-01-15T00:00:00"/>
    <x v="0"/>
    <s v="Email not provided"/>
    <s v="123-456-7890"/>
    <n v="6"/>
    <s v="High"/>
    <x v="0"/>
  </r>
  <r>
    <x v="2"/>
    <n v="35"/>
    <n v="60000"/>
    <x v="0"/>
    <x v="0"/>
    <s v="Manager"/>
    <d v="2019-12-01T00:00:00"/>
    <x v="1"/>
    <s v="name@company.org"/>
    <s v="Phone not provided"/>
    <n v="6"/>
    <s v="Medium"/>
    <x v="1"/>
  </r>
  <r>
    <x v="4"/>
    <n v="40"/>
    <n v="60000"/>
    <x v="2"/>
    <x v="3"/>
    <s v="Director"/>
    <d v="2019-12-01T00:00:00"/>
    <x v="3"/>
    <s v="user@domain.com"/>
    <s v="555-555-5555"/>
    <n v="6"/>
    <s v="Medium"/>
    <x v="3"/>
  </r>
  <r>
    <x v="9"/>
    <n v="25"/>
    <n v="65000"/>
    <x v="1"/>
    <x v="3"/>
    <s v="Director"/>
    <d v="2020-02-20T00:00:00"/>
    <x v="3"/>
    <s v="email@example.com"/>
    <s v="Phone not provided"/>
    <n v="5"/>
    <s v="High"/>
    <x v="3"/>
  </r>
  <r>
    <x v="7"/>
    <n v="40"/>
    <n v="60000"/>
    <x v="0"/>
    <x v="0"/>
    <s v="Clerk"/>
    <d v="2020-02-20T00:00:00"/>
    <x v="3"/>
    <s v="Email not provided"/>
    <s v="Phone not provided"/>
    <n v="5"/>
    <s v="Medium"/>
    <x v="3"/>
  </r>
  <r>
    <x v="4"/>
    <n v="30"/>
    <n v="60000"/>
    <x v="1"/>
    <x v="0"/>
    <s v="Director"/>
    <d v="2020-01-15T00:00:00"/>
    <x v="3"/>
    <s v="Email not provided"/>
    <s v="098-765-4321"/>
    <n v="6"/>
    <s v="Medium"/>
    <x v="3"/>
  </r>
  <r>
    <x v="7"/>
    <n v="35"/>
    <n v="55000"/>
    <x v="2"/>
    <x v="2"/>
    <s v="Analyst"/>
    <d v="2019-12-01T00:00:00"/>
    <x v="2"/>
    <s v="Email not provided"/>
    <s v="Phone not provided"/>
    <n v="6"/>
    <s v="Low"/>
    <x v="2"/>
  </r>
  <r>
    <x v="3"/>
    <n v="35"/>
    <n v="70000"/>
    <x v="2"/>
    <x v="2"/>
    <s v="Clerk"/>
    <d v="2020-02-20T00:00:00"/>
    <x v="1"/>
    <s v="name@company.org"/>
    <s v="Phone not provided"/>
    <n v="5"/>
    <s v="High"/>
    <x v="1"/>
  </r>
  <r>
    <x v="3"/>
    <n v="50"/>
    <n v="70000"/>
    <x v="0"/>
    <x v="0"/>
    <s v="Assistant"/>
    <d v="2019-03-25T00:00:00"/>
    <x v="4"/>
    <s v="Email not provided"/>
    <s v="123-456-7890"/>
    <n v="6"/>
    <s v="High"/>
    <x v="4"/>
  </r>
  <r>
    <x v="6"/>
    <n v="35"/>
    <n v="60000"/>
    <x v="0"/>
    <x v="1"/>
    <s v="Analyst"/>
    <d v="2019-03-25T00:00:00"/>
    <x v="1"/>
    <s v="Email not provided"/>
    <s v="098-765-4321"/>
    <n v="6"/>
    <s v="Medium"/>
    <x v="1"/>
  </r>
  <r>
    <x v="5"/>
    <n v="40"/>
    <n v="60000"/>
    <x v="0"/>
    <x v="2"/>
    <s v="Analyst"/>
    <d v="2019-12-01T00:00:00"/>
    <x v="2"/>
    <s v="email@example.com"/>
    <s v="Phone not provided"/>
    <n v="6"/>
    <s v="Medium"/>
    <x v="2"/>
  </r>
  <r>
    <x v="2"/>
    <n v="35"/>
    <n v="55000"/>
    <x v="1"/>
    <x v="1"/>
    <s v="Analyst"/>
    <d v="2020-02-20T00:00:00"/>
    <x v="3"/>
    <s v="user@domain.com"/>
    <s v="123-456-7890"/>
    <n v="5"/>
    <s v="Low"/>
    <x v="3"/>
  </r>
  <r>
    <x v="8"/>
    <n v="40"/>
    <n v="60000"/>
    <x v="1"/>
    <x v="0"/>
    <s v="Assistant"/>
    <d v="2020-01-15T00:00:00"/>
    <x v="2"/>
    <s v="name@company.org"/>
    <s v="098-765-4321"/>
    <n v="6"/>
    <s v="Medium"/>
    <x v="2"/>
  </r>
  <r>
    <x v="6"/>
    <n v="30"/>
    <n v="65000"/>
    <x v="1"/>
    <x v="2"/>
    <s v="Manager"/>
    <d v="2020-01-15T00:00:00"/>
    <x v="0"/>
    <s v="Email not provided"/>
    <s v="555-555-5555"/>
    <n v="6"/>
    <s v="High"/>
    <x v="0"/>
  </r>
  <r>
    <x v="1"/>
    <n v="25"/>
    <n v="50000"/>
    <x v="0"/>
    <x v="3"/>
    <s v="Director"/>
    <d v="2020-01-15T00:00:00"/>
    <x v="0"/>
    <s v="name@company.org"/>
    <s v="123-456-7890"/>
    <n v="6"/>
    <s v="Low"/>
    <x v="0"/>
  </r>
  <r>
    <x v="8"/>
    <n v="35"/>
    <n v="50000"/>
    <x v="2"/>
    <x v="0"/>
    <s v="Clerk"/>
    <d v="2019-03-25T00:00:00"/>
    <x v="1"/>
    <s v="Email not provided"/>
    <s v="Phone not provided"/>
    <n v="6"/>
    <s v="Low"/>
    <x v="1"/>
  </r>
  <r>
    <x v="0"/>
    <n v="30"/>
    <n v="50000"/>
    <x v="2"/>
    <x v="4"/>
    <s v="Manager"/>
    <d v="2020-02-20T00:00:00"/>
    <x v="1"/>
    <s v="name@company.org"/>
    <s v="Phone not provided"/>
    <n v="5"/>
    <s v="Low"/>
    <x v="1"/>
  </r>
  <r>
    <x v="9"/>
    <n v="30"/>
    <n v="55000"/>
    <x v="1"/>
    <x v="1"/>
    <s v="Clerk"/>
    <d v="2020-02-20T00:00:00"/>
    <x v="4"/>
    <s v="Email not provided"/>
    <s v="098-765-4321"/>
    <n v="5"/>
    <s v="Low"/>
    <x v="4"/>
  </r>
  <r>
    <x v="1"/>
    <n v="35"/>
    <n v="55000"/>
    <x v="1"/>
    <x v="0"/>
    <s v="Director"/>
    <d v="2019-03-25T00:00:00"/>
    <x v="4"/>
    <s v="user@domain.com"/>
    <s v="123-456-7890"/>
    <n v="6"/>
    <s v="Low"/>
    <x v="4"/>
  </r>
  <r>
    <x v="1"/>
    <n v="40"/>
    <n v="60000"/>
    <x v="2"/>
    <x v="0"/>
    <s v="Assistant"/>
    <d v="2020-01-15T00:00:00"/>
    <x v="0"/>
    <s v="user@domain.com"/>
    <s v="555-555-5555"/>
    <n v="6"/>
    <s v="Medium"/>
    <x v="0"/>
  </r>
  <r>
    <x v="6"/>
    <n v="50"/>
    <n v="50000"/>
    <x v="2"/>
    <x v="2"/>
    <s v="Analyst"/>
    <d v="2020-01-15T00:00:00"/>
    <x v="3"/>
    <s v="name@company.org"/>
    <s v="Phone not provided"/>
    <n v="6"/>
    <s v="Low"/>
    <x v="3"/>
  </r>
  <r>
    <x v="5"/>
    <n v="30"/>
    <n v="65000"/>
    <x v="1"/>
    <x v="2"/>
    <s v="Analyst"/>
    <d v="2019-12-01T00:00:00"/>
    <x v="2"/>
    <s v="email@example.com"/>
    <s v="Phone not provided"/>
    <n v="6"/>
    <s v="High"/>
    <x v="2"/>
  </r>
  <r>
    <x v="6"/>
    <n v="35"/>
    <n v="60000"/>
    <x v="1"/>
    <x v="2"/>
    <s v="Assistant"/>
    <d v="2018-04-05T00:00:00"/>
    <x v="4"/>
    <s v="name@company.org"/>
    <s v="123-456-7890"/>
    <n v="7"/>
    <s v="Medium"/>
    <x v="4"/>
  </r>
  <r>
    <x v="0"/>
    <n v="30"/>
    <n v="65000"/>
    <x v="2"/>
    <x v="4"/>
    <s v="Manager"/>
    <d v="2020-02-20T00:00:00"/>
    <x v="4"/>
    <s v="Email not provided"/>
    <s v="555-555-5555"/>
    <n v="5"/>
    <s v="High"/>
    <x v="4"/>
  </r>
  <r>
    <x v="4"/>
    <n v="50"/>
    <n v="60000"/>
    <x v="0"/>
    <x v="2"/>
    <s v="Manager"/>
    <d v="2020-02-20T00:00:00"/>
    <x v="3"/>
    <s v="user@domain.com"/>
    <s v="098-765-4321"/>
    <n v="5"/>
    <s v="Medium"/>
    <x v="3"/>
  </r>
  <r>
    <x v="4"/>
    <n v="40"/>
    <n v="50000"/>
    <x v="1"/>
    <x v="0"/>
    <s v="Clerk"/>
    <d v="2020-02-20T00:00:00"/>
    <x v="3"/>
    <s v="user@domain.com"/>
    <s v="123-456-7890"/>
    <n v="5"/>
    <s v="Low"/>
    <x v="3"/>
  </r>
  <r>
    <x v="5"/>
    <n v="40"/>
    <n v="50000"/>
    <x v="2"/>
    <x v="2"/>
    <s v="Assistant"/>
    <d v="2018-04-05T00:00:00"/>
    <x v="1"/>
    <s v="user@domain.com"/>
    <s v="098-765-4321"/>
    <n v="7"/>
    <s v="Low"/>
    <x v="1"/>
  </r>
  <r>
    <x v="0"/>
    <n v="35"/>
    <n v="50000"/>
    <x v="2"/>
    <x v="3"/>
    <s v="Manager"/>
    <d v="2019-12-01T00:00:00"/>
    <x v="2"/>
    <s v="email@example.com"/>
    <s v="Phone not provided"/>
    <n v="6"/>
    <s v="Low"/>
    <x v="2"/>
  </r>
  <r>
    <x v="5"/>
    <n v="30"/>
    <n v="55000"/>
    <x v="2"/>
    <x v="2"/>
    <s v="Assistant"/>
    <d v="2018-04-05T00:00:00"/>
    <x v="3"/>
    <s v="email@example.com"/>
    <s v="098-765-4321"/>
    <n v="7"/>
    <s v="Low"/>
    <x v="3"/>
  </r>
  <r>
    <x v="7"/>
    <n v="40"/>
    <n v="60000"/>
    <x v="2"/>
    <x v="4"/>
    <s v="Director"/>
    <d v="2020-01-15T00:00:00"/>
    <x v="4"/>
    <s v="Email not provided"/>
    <s v="555-555-5555"/>
    <n v="6"/>
    <s v="Medium"/>
    <x v="4"/>
  </r>
  <r>
    <x v="4"/>
    <n v="50"/>
    <n v="55000"/>
    <x v="0"/>
    <x v="3"/>
    <s v="Analyst"/>
    <d v="2020-01-15T00:00:00"/>
    <x v="4"/>
    <s v="name@company.org"/>
    <s v="Phone not provided"/>
    <n v="6"/>
    <s v="Low"/>
    <x v="4"/>
  </r>
  <r>
    <x v="1"/>
    <n v="35"/>
    <n v="55000"/>
    <x v="2"/>
    <x v="0"/>
    <s v="Analyst"/>
    <d v="2020-02-20T00:00:00"/>
    <x v="0"/>
    <s v="name@company.org"/>
    <s v="555-555-5555"/>
    <n v="5"/>
    <s v="Low"/>
    <x v="0"/>
  </r>
  <r>
    <x v="2"/>
    <n v="25"/>
    <n v="70000"/>
    <x v="1"/>
    <x v="0"/>
    <s v="Analyst"/>
    <d v="2019-03-25T00:00:00"/>
    <x v="3"/>
    <s v="Email not provided"/>
    <s v="098-765-4321"/>
    <n v="6"/>
    <s v="High"/>
    <x v="3"/>
  </r>
  <r>
    <x v="9"/>
    <n v="25"/>
    <n v="65000"/>
    <x v="0"/>
    <x v="1"/>
    <s v="Assistant"/>
    <d v="2020-02-20T00:00:00"/>
    <x v="1"/>
    <s v="user@domain.com"/>
    <s v="123-456-7890"/>
    <n v="5"/>
    <s v="High"/>
    <x v="1"/>
  </r>
  <r>
    <x v="0"/>
    <n v="25"/>
    <n v="65000"/>
    <x v="2"/>
    <x v="3"/>
    <s v="Assistant"/>
    <d v="2019-03-25T00:00:00"/>
    <x v="2"/>
    <s v="email@example.com"/>
    <s v="Phone not provided"/>
    <n v="6"/>
    <s v="High"/>
    <x v="2"/>
  </r>
  <r>
    <x v="8"/>
    <n v="30"/>
    <n v="60000"/>
    <x v="0"/>
    <x v="1"/>
    <s v="Clerk"/>
    <d v="2018-04-05T00:00:00"/>
    <x v="1"/>
    <s v="Email not provided"/>
    <s v="Phone not provided"/>
    <n v="7"/>
    <s v="Medium"/>
    <x v="1"/>
  </r>
  <r>
    <x v="5"/>
    <n v="35"/>
    <n v="55000"/>
    <x v="1"/>
    <x v="3"/>
    <s v="Analyst"/>
    <d v="2020-01-15T00:00:00"/>
    <x v="4"/>
    <s v="Email not provided"/>
    <s v="123-456-7890"/>
    <n v="6"/>
    <s v="Low"/>
    <x v="4"/>
  </r>
  <r>
    <x v="9"/>
    <n v="40"/>
    <n v="60000"/>
    <x v="2"/>
    <x v="3"/>
    <s v="Clerk"/>
    <d v="2019-03-25T00:00:00"/>
    <x v="1"/>
    <s v="email@example.com"/>
    <s v="123-456-7890"/>
    <n v="6"/>
    <s v="Medium"/>
    <x v="1"/>
  </r>
  <r>
    <x v="8"/>
    <n v="35"/>
    <n v="70000"/>
    <x v="1"/>
    <x v="4"/>
    <s v="Analyst"/>
    <d v="2018-04-05T00:00:00"/>
    <x v="4"/>
    <s v="name@company.org"/>
    <s v="555-555-5555"/>
    <n v="7"/>
    <s v="High"/>
    <x v="4"/>
  </r>
  <r>
    <x v="9"/>
    <n v="50"/>
    <n v="70000"/>
    <x v="2"/>
    <x v="1"/>
    <s v="Clerk"/>
    <d v="2020-01-15T00:00:00"/>
    <x v="4"/>
    <s v="user@domain.com"/>
    <s v="098-765-4321"/>
    <n v="6"/>
    <s v="High"/>
    <x v="4"/>
  </r>
  <r>
    <x v="2"/>
    <n v="35"/>
    <n v="65000"/>
    <x v="2"/>
    <x v="4"/>
    <s v="Clerk"/>
    <d v="2019-03-25T00:00:00"/>
    <x v="4"/>
    <s v="name@company.org"/>
    <s v="555-555-5555"/>
    <n v="6"/>
    <s v="High"/>
    <x v="4"/>
  </r>
  <r>
    <x v="8"/>
    <n v="50"/>
    <n v="55000"/>
    <x v="2"/>
    <x v="3"/>
    <s v="Director"/>
    <d v="2020-02-20T00:00:00"/>
    <x v="4"/>
    <s v="Email not provided"/>
    <s v="098-765-4321"/>
    <n v="5"/>
    <s v="Low"/>
    <x v="4"/>
  </r>
  <r>
    <x v="6"/>
    <n v="30"/>
    <n v="60000"/>
    <x v="2"/>
    <x v="0"/>
    <s v="Clerk"/>
    <d v="2020-02-20T00:00:00"/>
    <x v="4"/>
    <s v="user@domain.com"/>
    <s v="555-555-5555"/>
    <n v="5"/>
    <s v="Medium"/>
    <x v="4"/>
  </r>
  <r>
    <x v="3"/>
    <n v="25"/>
    <n v="55000"/>
    <x v="2"/>
    <x v="3"/>
    <s v="Assistant"/>
    <d v="2020-02-20T00:00:00"/>
    <x v="0"/>
    <s v="Email not provided"/>
    <s v="123-456-7890"/>
    <n v="5"/>
    <s v="Low"/>
    <x v="0"/>
  </r>
  <r>
    <x v="6"/>
    <n v="30"/>
    <n v="50000"/>
    <x v="0"/>
    <x v="4"/>
    <s v="Clerk"/>
    <d v="2018-04-05T00:00:00"/>
    <x v="1"/>
    <s v="Email not provided"/>
    <s v="Phone not provided"/>
    <n v="7"/>
    <s v="Low"/>
    <x v="1"/>
  </r>
  <r>
    <x v="4"/>
    <n v="35"/>
    <n v="55000"/>
    <x v="2"/>
    <x v="1"/>
    <s v="Analyst"/>
    <d v="2020-02-20T00:00:00"/>
    <x v="0"/>
    <s v="name@company.org"/>
    <s v="098-765-4321"/>
    <n v="5"/>
    <s v="Low"/>
    <x v="0"/>
  </r>
  <r>
    <x v="3"/>
    <n v="35"/>
    <n v="50000"/>
    <x v="2"/>
    <x v="1"/>
    <s v="Clerk"/>
    <d v="2019-12-01T00:00:00"/>
    <x v="0"/>
    <s v="name@company.org"/>
    <s v="Phone not provided"/>
    <n v="6"/>
    <s v="Low"/>
    <x v="0"/>
  </r>
  <r>
    <x v="6"/>
    <n v="50"/>
    <n v="50000"/>
    <x v="0"/>
    <x v="4"/>
    <s v="Manager"/>
    <d v="2020-01-15T00:00:00"/>
    <x v="3"/>
    <s v="name@company.org"/>
    <s v="Phone not provided"/>
    <n v="6"/>
    <s v="Low"/>
    <x v="3"/>
  </r>
  <r>
    <x v="3"/>
    <n v="40"/>
    <n v="60000"/>
    <x v="0"/>
    <x v="1"/>
    <s v="Analyst"/>
    <d v="2018-04-05T00:00:00"/>
    <x v="3"/>
    <s v="email@example.com"/>
    <s v="123-456-7890"/>
    <n v="7"/>
    <s v="Medium"/>
    <x v="3"/>
  </r>
  <r>
    <x v="3"/>
    <n v="40"/>
    <n v="60000"/>
    <x v="0"/>
    <x v="2"/>
    <s v="Manager"/>
    <d v="2020-02-20T00:00:00"/>
    <x v="3"/>
    <s v="Email not provided"/>
    <s v="555-555-5555"/>
    <n v="5"/>
    <s v="Medium"/>
    <x v="3"/>
  </r>
  <r>
    <x v="1"/>
    <n v="50"/>
    <n v="65000"/>
    <x v="0"/>
    <x v="0"/>
    <s v="Analyst"/>
    <d v="2020-01-15T00:00:00"/>
    <x v="2"/>
    <s v="user@domain.com"/>
    <s v="555-555-5555"/>
    <n v="6"/>
    <s v="High"/>
    <x v="2"/>
  </r>
  <r>
    <x v="5"/>
    <n v="35"/>
    <n v="55000"/>
    <x v="0"/>
    <x v="0"/>
    <s v="Assistant"/>
    <d v="2019-03-25T00:00:00"/>
    <x v="3"/>
    <s v="name@company.org"/>
    <s v="123-456-7890"/>
    <n v="6"/>
    <s v="Low"/>
    <x v="3"/>
  </r>
  <r>
    <x v="5"/>
    <n v="35"/>
    <n v="50000"/>
    <x v="0"/>
    <x v="0"/>
    <s v="Assistant"/>
    <d v="2020-02-20T00:00:00"/>
    <x v="1"/>
    <s v="name@company.org"/>
    <s v="Phone not provided"/>
    <n v="5"/>
    <s v="Low"/>
    <x v="1"/>
  </r>
  <r>
    <x v="1"/>
    <n v="35"/>
    <n v="55000"/>
    <x v="2"/>
    <x v="1"/>
    <s v="Assistant"/>
    <d v="2020-01-15T00:00:00"/>
    <x v="0"/>
    <s v="email@example.com"/>
    <s v="Phone not provided"/>
    <n v="6"/>
    <s v="Low"/>
    <x v="0"/>
  </r>
  <r>
    <x v="9"/>
    <n v="30"/>
    <n v="60000"/>
    <x v="2"/>
    <x v="1"/>
    <s v="Manager"/>
    <d v="2019-12-01T00:00:00"/>
    <x v="1"/>
    <s v="user@domain.com"/>
    <s v="555-555-5555"/>
    <n v="6"/>
    <s v="Medium"/>
    <x v="1"/>
  </r>
  <r>
    <x v="7"/>
    <n v="35"/>
    <n v="65000"/>
    <x v="1"/>
    <x v="3"/>
    <s v="Director"/>
    <d v="2019-03-25T00:00:00"/>
    <x v="3"/>
    <s v="Email not provided"/>
    <s v="098-765-4321"/>
    <n v="6"/>
    <s v="High"/>
    <x v="3"/>
  </r>
  <r>
    <x v="9"/>
    <n v="35"/>
    <n v="60000"/>
    <x v="2"/>
    <x v="3"/>
    <s v="Analyst"/>
    <d v="2019-12-01T00:00:00"/>
    <x v="2"/>
    <s v="Email not provided"/>
    <s v="Phone not provided"/>
    <n v="6"/>
    <s v="Medium"/>
    <x v="2"/>
  </r>
  <r>
    <x v="8"/>
    <n v="25"/>
    <n v="65000"/>
    <x v="2"/>
    <x v="0"/>
    <s v="Assistant"/>
    <d v="2020-01-15T00:00:00"/>
    <x v="2"/>
    <s v="email@example.com"/>
    <s v="098-765-4321"/>
    <n v="6"/>
    <s v="High"/>
    <x v="2"/>
  </r>
  <r>
    <x v="8"/>
    <n v="35"/>
    <n v="70000"/>
    <x v="0"/>
    <x v="2"/>
    <s v="Analyst"/>
    <d v="2019-12-01T00:00:00"/>
    <x v="0"/>
    <s v="Email not provided"/>
    <s v="Phone not provided"/>
    <n v="6"/>
    <s v="High"/>
    <x v="0"/>
  </r>
  <r>
    <x v="3"/>
    <n v="50"/>
    <n v="65000"/>
    <x v="0"/>
    <x v="3"/>
    <s v="Manager"/>
    <d v="2020-01-15T00:00:00"/>
    <x v="1"/>
    <s v="Email not provided"/>
    <s v="098-765-4321"/>
    <n v="6"/>
    <s v="High"/>
    <x v="1"/>
  </r>
  <r>
    <x v="6"/>
    <n v="25"/>
    <n v="60000"/>
    <x v="2"/>
    <x v="3"/>
    <s v="Director"/>
    <d v="2020-01-15T00:00:00"/>
    <x v="4"/>
    <s v="name@company.org"/>
    <s v="Phone not provided"/>
    <n v="6"/>
    <s v="Medium"/>
    <x v="4"/>
  </r>
  <r>
    <x v="6"/>
    <n v="30"/>
    <n v="60000"/>
    <x v="1"/>
    <x v="1"/>
    <s v="Manager"/>
    <d v="2019-12-01T00:00:00"/>
    <x v="1"/>
    <s v="name@company.org"/>
    <s v="098-765-4321"/>
    <n v="6"/>
    <s v="Medium"/>
    <x v="1"/>
  </r>
  <r>
    <x v="5"/>
    <n v="50"/>
    <n v="50000"/>
    <x v="0"/>
    <x v="2"/>
    <s v="Analyst"/>
    <d v="2020-01-15T00:00:00"/>
    <x v="3"/>
    <s v="user@domain.com"/>
    <s v="098-765-4321"/>
    <n v="6"/>
    <s v="Low"/>
    <x v="3"/>
  </r>
  <r>
    <x v="0"/>
    <n v="25"/>
    <n v="70000"/>
    <x v="2"/>
    <x v="0"/>
    <s v="Director"/>
    <d v="2020-02-20T00:00:00"/>
    <x v="4"/>
    <s v="Email not provided"/>
    <s v="098-765-4321"/>
    <n v="5"/>
    <s v="High"/>
    <x v="4"/>
  </r>
  <r>
    <x v="9"/>
    <n v="50"/>
    <n v="60000"/>
    <x v="2"/>
    <x v="3"/>
    <s v="Director"/>
    <d v="2020-01-15T00:00:00"/>
    <x v="2"/>
    <s v="name@company.org"/>
    <s v="098-765-4321"/>
    <n v="6"/>
    <s v="Medium"/>
    <x v="2"/>
  </r>
  <r>
    <x v="4"/>
    <n v="30"/>
    <n v="55000"/>
    <x v="1"/>
    <x v="2"/>
    <s v="Manager"/>
    <d v="2018-04-05T00:00:00"/>
    <x v="0"/>
    <s v="name@company.org"/>
    <s v="123-456-7890"/>
    <n v="7"/>
    <s v="Low"/>
    <x v="0"/>
  </r>
  <r>
    <x v="2"/>
    <n v="35"/>
    <n v="60000"/>
    <x v="1"/>
    <x v="2"/>
    <s v="Assistant"/>
    <d v="2020-01-15T00:00:00"/>
    <x v="0"/>
    <s v="user@domain.com"/>
    <s v="Phone not provided"/>
    <n v="6"/>
    <s v="Medium"/>
    <x v="0"/>
  </r>
  <r>
    <x v="6"/>
    <n v="30"/>
    <n v="50000"/>
    <x v="0"/>
    <x v="0"/>
    <s v="Analyst"/>
    <d v="2018-04-05T00:00:00"/>
    <x v="2"/>
    <s v="Email not provided"/>
    <s v="Phone not provided"/>
    <n v="7"/>
    <s v="Low"/>
    <x v="2"/>
  </r>
  <r>
    <x v="2"/>
    <n v="30"/>
    <n v="65000"/>
    <x v="1"/>
    <x v="2"/>
    <s v="Clerk"/>
    <d v="2020-01-15T00:00:00"/>
    <x v="3"/>
    <s v="name@company.org"/>
    <s v="Phone not provided"/>
    <n v="6"/>
    <s v="High"/>
    <x v="3"/>
  </r>
  <r>
    <x v="3"/>
    <n v="50"/>
    <n v="50000"/>
    <x v="2"/>
    <x v="2"/>
    <s v="Clerk"/>
    <d v="2020-01-15T00:00:00"/>
    <x v="2"/>
    <s v="email@example.com"/>
    <s v="123-456-7890"/>
    <n v="6"/>
    <s v="Low"/>
    <x v="2"/>
  </r>
  <r>
    <x v="2"/>
    <n v="40"/>
    <n v="55000"/>
    <x v="2"/>
    <x v="2"/>
    <s v="Manager"/>
    <d v="2019-12-01T00:00:00"/>
    <x v="3"/>
    <s v="email@example.com"/>
    <s v="123-456-7890"/>
    <n v="6"/>
    <s v="Low"/>
    <x v="3"/>
  </r>
  <r>
    <x v="4"/>
    <n v="35"/>
    <n v="70000"/>
    <x v="1"/>
    <x v="3"/>
    <s v="Analyst"/>
    <d v="2020-02-20T00:00:00"/>
    <x v="4"/>
    <s v="Email not provided"/>
    <s v="123-456-7890"/>
    <n v="5"/>
    <s v="High"/>
    <x v="4"/>
  </r>
  <r>
    <x v="1"/>
    <n v="35"/>
    <n v="70000"/>
    <x v="1"/>
    <x v="0"/>
    <s v="Analyst"/>
    <d v="2020-02-20T00:00:00"/>
    <x v="2"/>
    <s v="Email not provided"/>
    <s v="123-456-7890"/>
    <n v="5"/>
    <s v="High"/>
    <x v="2"/>
  </r>
  <r>
    <x v="4"/>
    <n v="35"/>
    <n v="60000"/>
    <x v="1"/>
    <x v="2"/>
    <s v="Manager"/>
    <d v="2019-03-25T00:00:00"/>
    <x v="3"/>
    <s v="user@domain.com"/>
    <s v="098-765-4321"/>
    <n v="6"/>
    <s v="Medium"/>
    <x v="3"/>
  </r>
  <r>
    <x v="2"/>
    <n v="35"/>
    <n v="70000"/>
    <x v="1"/>
    <x v="2"/>
    <s v="Analyst"/>
    <d v="2019-12-01T00:00:00"/>
    <x v="4"/>
    <s v="email@example.com"/>
    <s v="Phone not provided"/>
    <n v="6"/>
    <s v="High"/>
    <x v="4"/>
  </r>
  <r>
    <x v="4"/>
    <n v="35"/>
    <n v="60000"/>
    <x v="0"/>
    <x v="3"/>
    <s v="Assistant"/>
    <d v="2019-12-01T00:00:00"/>
    <x v="2"/>
    <s v="email@example.com"/>
    <s v="555-555-5555"/>
    <n v="6"/>
    <s v="Medium"/>
    <x v="2"/>
  </r>
  <r>
    <x v="7"/>
    <n v="40"/>
    <n v="60000"/>
    <x v="1"/>
    <x v="0"/>
    <s v="Manager"/>
    <d v="2020-02-20T00:00:00"/>
    <x v="0"/>
    <s v="Email not provided"/>
    <s v="Phone not provided"/>
    <n v="5"/>
    <s v="Medium"/>
    <x v="0"/>
  </r>
  <r>
    <x v="3"/>
    <n v="35"/>
    <n v="60000"/>
    <x v="0"/>
    <x v="1"/>
    <s v="Assistant"/>
    <d v="2019-12-01T00:00:00"/>
    <x v="2"/>
    <s v="Email not provided"/>
    <s v="123-456-7890"/>
    <n v="6"/>
    <s v="Medium"/>
    <x v="2"/>
  </r>
  <r>
    <x v="9"/>
    <n v="40"/>
    <n v="65000"/>
    <x v="2"/>
    <x v="3"/>
    <s v="Analyst"/>
    <d v="2020-02-20T00:00:00"/>
    <x v="1"/>
    <s v="Email not provided"/>
    <s v="Phone not provided"/>
    <n v="5"/>
    <s v="High"/>
    <x v="1"/>
  </r>
  <r>
    <x v="1"/>
    <n v="35"/>
    <n v="60000"/>
    <x v="1"/>
    <x v="0"/>
    <s v="Manager"/>
    <d v="2019-12-01T00:00:00"/>
    <x v="2"/>
    <s v="Email not provided"/>
    <s v="123-456-7890"/>
    <n v="6"/>
    <s v="Medium"/>
    <x v="2"/>
  </r>
  <r>
    <x v="6"/>
    <n v="25"/>
    <n v="60000"/>
    <x v="0"/>
    <x v="2"/>
    <s v="Analyst"/>
    <d v="2020-01-15T00:00:00"/>
    <x v="1"/>
    <s v="email@example.com"/>
    <s v="123-456-7890"/>
    <n v="6"/>
    <s v="Medium"/>
    <x v="1"/>
  </r>
  <r>
    <x v="8"/>
    <n v="50"/>
    <n v="60000"/>
    <x v="1"/>
    <x v="0"/>
    <s v="Manager"/>
    <d v="2020-02-20T00:00:00"/>
    <x v="4"/>
    <s v="user@domain.com"/>
    <s v="123-456-7890"/>
    <n v="5"/>
    <s v="Medium"/>
    <x v="4"/>
  </r>
  <r>
    <x v="9"/>
    <n v="35"/>
    <n v="60000"/>
    <x v="2"/>
    <x v="0"/>
    <s v="Analyst"/>
    <d v="2020-02-20T00:00:00"/>
    <x v="2"/>
    <s v="email@example.com"/>
    <s v="123-456-7890"/>
    <n v="5"/>
    <s v="Medium"/>
    <x v="2"/>
  </r>
  <r>
    <x v="8"/>
    <n v="35"/>
    <n v="50000"/>
    <x v="2"/>
    <x v="0"/>
    <s v="Assistant"/>
    <d v="2018-04-05T00:00:00"/>
    <x v="4"/>
    <s v="Email not provided"/>
    <s v="123-456-7890"/>
    <n v="7"/>
    <s v="Low"/>
    <x v="4"/>
  </r>
  <r>
    <x v="3"/>
    <n v="30"/>
    <n v="60000"/>
    <x v="2"/>
    <x v="1"/>
    <s v="Assistant"/>
    <d v="2019-12-01T00:00:00"/>
    <x v="4"/>
    <s v="email@example.com"/>
    <s v="Phone not provided"/>
    <n v="6"/>
    <s v="Medium"/>
    <x v="4"/>
  </r>
  <r>
    <x v="1"/>
    <n v="30"/>
    <n v="65000"/>
    <x v="1"/>
    <x v="0"/>
    <s v="Analyst"/>
    <d v="2019-12-01T00:00:00"/>
    <x v="3"/>
    <s v="user@domain.com"/>
    <s v="Phone not provided"/>
    <n v="6"/>
    <s v="High"/>
    <x v="3"/>
  </r>
  <r>
    <x v="5"/>
    <n v="30"/>
    <n v="70000"/>
    <x v="1"/>
    <x v="1"/>
    <s v="Manager"/>
    <d v="2020-02-20T00:00:00"/>
    <x v="4"/>
    <s v="name@company.org"/>
    <s v="123-456-7890"/>
    <n v="5"/>
    <s v="High"/>
    <x v="4"/>
  </r>
  <r>
    <x v="6"/>
    <n v="50"/>
    <n v="70000"/>
    <x v="0"/>
    <x v="2"/>
    <s v="Clerk"/>
    <d v="2020-01-15T00:00:00"/>
    <x v="4"/>
    <s v="email@example.com"/>
    <s v="123-456-7890"/>
    <n v="6"/>
    <s v="High"/>
    <x v="4"/>
  </r>
  <r>
    <x v="7"/>
    <n v="30"/>
    <n v="55000"/>
    <x v="2"/>
    <x v="1"/>
    <s v="Assistant"/>
    <d v="2020-01-15T00:00:00"/>
    <x v="2"/>
    <s v="Email not provided"/>
    <s v="123-456-7890"/>
    <n v="6"/>
    <s v="Low"/>
    <x v="2"/>
  </r>
  <r>
    <x v="5"/>
    <n v="40"/>
    <n v="55000"/>
    <x v="1"/>
    <x v="2"/>
    <s v="Assistant"/>
    <d v="2020-01-15T00:00:00"/>
    <x v="2"/>
    <s v="name@company.org"/>
    <s v="123-456-7890"/>
    <n v="6"/>
    <s v="Low"/>
    <x v="2"/>
  </r>
  <r>
    <x v="3"/>
    <n v="35"/>
    <n v="70000"/>
    <x v="2"/>
    <x v="2"/>
    <s v="Clerk"/>
    <d v="2019-12-01T00:00:00"/>
    <x v="0"/>
    <s v="Email not provided"/>
    <s v="098-765-4321"/>
    <n v="6"/>
    <s v="High"/>
    <x v="0"/>
  </r>
  <r>
    <x v="9"/>
    <n v="25"/>
    <n v="70000"/>
    <x v="2"/>
    <x v="1"/>
    <s v="Analyst"/>
    <d v="2018-04-05T00:00:00"/>
    <x v="3"/>
    <s v="Email not provided"/>
    <s v="098-765-4321"/>
    <n v="7"/>
    <s v="High"/>
    <x v="3"/>
  </r>
  <r>
    <x v="7"/>
    <n v="35"/>
    <n v="65000"/>
    <x v="0"/>
    <x v="3"/>
    <s v="Manager"/>
    <d v="2020-02-20T00:00:00"/>
    <x v="4"/>
    <s v="Email not provided"/>
    <s v="555-555-5555"/>
    <n v="5"/>
    <s v="High"/>
    <x v="4"/>
  </r>
  <r>
    <x v="4"/>
    <n v="40"/>
    <n v="60000"/>
    <x v="0"/>
    <x v="4"/>
    <s v="Analyst"/>
    <d v="2019-03-25T00:00:00"/>
    <x v="3"/>
    <s v="email@example.com"/>
    <s v="123-456-7890"/>
    <n v="6"/>
    <s v="Medium"/>
    <x v="3"/>
  </r>
  <r>
    <x v="2"/>
    <n v="25"/>
    <n v="55000"/>
    <x v="0"/>
    <x v="0"/>
    <s v="Director"/>
    <d v="2018-04-05T00:00:00"/>
    <x v="1"/>
    <s v="Email not provided"/>
    <s v="555-555-5555"/>
    <n v="7"/>
    <s v="Low"/>
    <x v="1"/>
  </r>
  <r>
    <x v="7"/>
    <n v="40"/>
    <n v="60000"/>
    <x v="0"/>
    <x v="4"/>
    <s v="Assistant"/>
    <d v="2019-03-25T00:00:00"/>
    <x v="4"/>
    <s v="name@company.org"/>
    <s v="Phone not provided"/>
    <n v="6"/>
    <s v="Medium"/>
    <x v="4"/>
  </r>
  <r>
    <x v="3"/>
    <n v="40"/>
    <n v="65000"/>
    <x v="2"/>
    <x v="0"/>
    <s v="Director"/>
    <d v="2018-04-05T00:00:00"/>
    <x v="3"/>
    <s v="user@domain.com"/>
    <s v="555-555-5555"/>
    <n v="7"/>
    <s v="High"/>
    <x v="3"/>
  </r>
  <r>
    <x v="0"/>
    <n v="35"/>
    <n v="70000"/>
    <x v="0"/>
    <x v="0"/>
    <s v="Assistant"/>
    <d v="2020-01-15T00:00:00"/>
    <x v="0"/>
    <s v="Email not provided"/>
    <s v="Phone not provided"/>
    <n v="6"/>
    <s v="High"/>
    <x v="0"/>
  </r>
  <r>
    <x v="2"/>
    <n v="35"/>
    <n v="60000"/>
    <x v="0"/>
    <x v="2"/>
    <s v="Assistant"/>
    <d v="2019-12-01T00:00:00"/>
    <x v="0"/>
    <s v="email@example.com"/>
    <s v="098-765-4321"/>
    <n v="6"/>
    <s v="Medium"/>
    <x v="0"/>
  </r>
  <r>
    <x v="8"/>
    <n v="30"/>
    <n v="60000"/>
    <x v="0"/>
    <x v="0"/>
    <s v="Director"/>
    <d v="2019-03-25T00:00:00"/>
    <x v="4"/>
    <s v="Email not provided"/>
    <s v="098-765-4321"/>
    <n v="6"/>
    <s v="Medium"/>
    <x v="4"/>
  </r>
  <r>
    <x v="6"/>
    <n v="50"/>
    <n v="70000"/>
    <x v="0"/>
    <x v="0"/>
    <s v="Director"/>
    <d v="2018-04-05T00:00:00"/>
    <x v="1"/>
    <s v="user@domain.com"/>
    <s v="123-456-7890"/>
    <n v="7"/>
    <s v="High"/>
    <x v="1"/>
  </r>
  <r>
    <x v="8"/>
    <n v="35"/>
    <n v="70000"/>
    <x v="2"/>
    <x v="1"/>
    <s v="Analyst"/>
    <d v="2019-12-01T00:00:00"/>
    <x v="0"/>
    <s v="name@company.org"/>
    <s v="123-456-7890"/>
    <n v="6"/>
    <s v="High"/>
    <x v="0"/>
  </r>
  <r>
    <x v="7"/>
    <n v="50"/>
    <n v="50000"/>
    <x v="0"/>
    <x v="4"/>
    <s v="Director"/>
    <d v="2019-03-25T00:00:00"/>
    <x v="0"/>
    <s v="Email not provided"/>
    <s v="Phone not provided"/>
    <n v="6"/>
    <s v="Low"/>
    <x v="0"/>
  </r>
  <r>
    <x v="8"/>
    <n v="35"/>
    <n v="60000"/>
    <x v="2"/>
    <x v="1"/>
    <s v="Analyst"/>
    <d v="2020-02-20T00:00:00"/>
    <x v="1"/>
    <s v="Email not provided"/>
    <s v="Phone not provided"/>
    <n v="5"/>
    <s v="Medium"/>
    <x v="1"/>
  </r>
  <r>
    <x v="3"/>
    <n v="35"/>
    <n v="60000"/>
    <x v="1"/>
    <x v="0"/>
    <s v="Analyst"/>
    <d v="2018-04-05T00:00:00"/>
    <x v="3"/>
    <s v="user@domain.com"/>
    <s v="Phone not provided"/>
    <n v="7"/>
    <s v="Medium"/>
    <x v="3"/>
  </r>
  <r>
    <x v="4"/>
    <n v="35"/>
    <n v="60000"/>
    <x v="2"/>
    <x v="2"/>
    <s v="Analyst"/>
    <d v="2020-02-20T00:00:00"/>
    <x v="0"/>
    <s v="email@example.com"/>
    <s v="123-456-7890"/>
    <n v="5"/>
    <s v="Medium"/>
    <x v="0"/>
  </r>
  <r>
    <x v="9"/>
    <n v="25"/>
    <n v="70000"/>
    <x v="2"/>
    <x v="1"/>
    <s v="Assistant"/>
    <d v="2020-01-15T00:00:00"/>
    <x v="2"/>
    <s v="name@company.org"/>
    <s v="123-456-7890"/>
    <n v="6"/>
    <s v="High"/>
    <x v="2"/>
  </r>
  <r>
    <x v="6"/>
    <n v="50"/>
    <n v="60000"/>
    <x v="0"/>
    <x v="1"/>
    <s v="Assistant"/>
    <d v="2020-02-20T00:00:00"/>
    <x v="0"/>
    <s v="user@domain.com"/>
    <s v="Phone not provided"/>
    <n v="5"/>
    <s v="Medium"/>
    <x v="0"/>
  </r>
  <r>
    <x v="8"/>
    <n v="35"/>
    <n v="65000"/>
    <x v="1"/>
    <x v="3"/>
    <s v="Director"/>
    <d v="2020-02-20T00:00:00"/>
    <x v="3"/>
    <s v="Email not provided"/>
    <s v="Phone not provided"/>
    <n v="5"/>
    <s v="High"/>
    <x v="3"/>
  </r>
  <r>
    <x v="8"/>
    <n v="35"/>
    <n v="50000"/>
    <x v="1"/>
    <x v="0"/>
    <s v="Assistant"/>
    <d v="2018-04-05T00:00:00"/>
    <x v="3"/>
    <s v="name@company.org"/>
    <s v="Phone not provided"/>
    <n v="7"/>
    <s v="Low"/>
    <x v="3"/>
  </r>
  <r>
    <x v="7"/>
    <n v="40"/>
    <n v="70000"/>
    <x v="1"/>
    <x v="2"/>
    <s v="Director"/>
    <d v="2020-01-15T00:00:00"/>
    <x v="4"/>
    <s v="Email not provided"/>
    <s v="098-765-4321"/>
    <n v="6"/>
    <s v="High"/>
    <x v="4"/>
  </r>
  <r>
    <x v="9"/>
    <n v="40"/>
    <n v="55000"/>
    <x v="1"/>
    <x v="1"/>
    <s v="Assistant"/>
    <d v="2020-02-20T00:00:00"/>
    <x v="2"/>
    <s v="user@domain.com"/>
    <s v="555-555-5555"/>
    <n v="5"/>
    <s v="Low"/>
    <x v="2"/>
  </r>
  <r>
    <x v="5"/>
    <n v="40"/>
    <n v="55000"/>
    <x v="2"/>
    <x v="1"/>
    <s v="Manager"/>
    <d v="2019-12-01T00:00:00"/>
    <x v="3"/>
    <s v="Email not provided"/>
    <s v="555-555-5555"/>
    <n v="6"/>
    <s v="Low"/>
    <x v="3"/>
  </r>
  <r>
    <x v="8"/>
    <n v="35"/>
    <n v="50000"/>
    <x v="1"/>
    <x v="2"/>
    <s v="Manager"/>
    <d v="2019-03-25T00:00:00"/>
    <x v="1"/>
    <s v="Email not provided"/>
    <s v="123-456-7890"/>
    <n v="6"/>
    <s v="Low"/>
    <x v="1"/>
  </r>
  <r>
    <x v="3"/>
    <n v="35"/>
    <n v="65000"/>
    <x v="2"/>
    <x v="0"/>
    <s v="Director"/>
    <d v="2020-02-20T00:00:00"/>
    <x v="2"/>
    <s v="Email not provided"/>
    <s v="098-765-4321"/>
    <n v="5"/>
    <s v="High"/>
    <x v="2"/>
  </r>
  <r>
    <x v="0"/>
    <n v="50"/>
    <n v="70000"/>
    <x v="2"/>
    <x v="3"/>
    <s v="Assistant"/>
    <d v="2020-01-15T00:00:00"/>
    <x v="2"/>
    <s v="email@example.com"/>
    <s v="Phone not provided"/>
    <n v="6"/>
    <s v="High"/>
    <x v="2"/>
  </r>
  <r>
    <x v="6"/>
    <n v="35"/>
    <n v="60000"/>
    <x v="2"/>
    <x v="1"/>
    <s v="Assistant"/>
    <d v="2020-02-20T00:00:00"/>
    <x v="1"/>
    <s v="Email not provided"/>
    <s v="123-456-7890"/>
    <n v="5"/>
    <s v="Medium"/>
    <x v="1"/>
  </r>
  <r>
    <x v="8"/>
    <n v="25"/>
    <n v="50000"/>
    <x v="1"/>
    <x v="3"/>
    <s v="Analyst"/>
    <d v="2019-03-25T00:00:00"/>
    <x v="0"/>
    <s v="Email not provided"/>
    <s v="098-765-4321"/>
    <n v="6"/>
    <s v="Low"/>
    <x v="0"/>
  </r>
  <r>
    <x v="3"/>
    <n v="40"/>
    <n v="65000"/>
    <x v="0"/>
    <x v="4"/>
    <s v="Clerk"/>
    <d v="2020-01-15T00:00:00"/>
    <x v="1"/>
    <s v="Email not provided"/>
    <s v="Phone not provided"/>
    <n v="6"/>
    <s v="High"/>
    <x v="1"/>
  </r>
  <r>
    <x v="3"/>
    <n v="35"/>
    <n v="60000"/>
    <x v="0"/>
    <x v="0"/>
    <s v="Director"/>
    <d v="2018-04-05T00:00:00"/>
    <x v="1"/>
    <s v="name@company.org"/>
    <s v="098-765-4321"/>
    <n v="7"/>
    <s v="Medium"/>
    <x v="1"/>
  </r>
  <r>
    <x v="6"/>
    <n v="35"/>
    <n v="55000"/>
    <x v="1"/>
    <x v="4"/>
    <s v="Clerk"/>
    <d v="2020-01-15T00:00:00"/>
    <x v="0"/>
    <s v="Email not provided"/>
    <s v="123-456-7890"/>
    <n v="6"/>
    <s v="Low"/>
    <x v="0"/>
  </r>
  <r>
    <x v="5"/>
    <n v="25"/>
    <n v="55000"/>
    <x v="0"/>
    <x v="4"/>
    <s v="Clerk"/>
    <d v="2018-04-05T00:00:00"/>
    <x v="0"/>
    <s v="Email not provided"/>
    <s v="555-555-5555"/>
    <n v="7"/>
    <s v="Low"/>
    <x v="0"/>
  </r>
  <r>
    <x v="3"/>
    <n v="30"/>
    <n v="60000"/>
    <x v="0"/>
    <x v="4"/>
    <s v="Director"/>
    <d v="2020-01-15T00:00:00"/>
    <x v="0"/>
    <s v="user@domain.com"/>
    <s v="Phone not provided"/>
    <n v="6"/>
    <s v="Medium"/>
    <x v="0"/>
  </r>
  <r>
    <x v="0"/>
    <n v="35"/>
    <n v="50000"/>
    <x v="2"/>
    <x v="0"/>
    <s v="Assistant"/>
    <d v="2019-03-25T00:00:00"/>
    <x v="0"/>
    <s v="email@example.com"/>
    <s v="Phone not provided"/>
    <n v="6"/>
    <s v="Low"/>
    <x v="0"/>
  </r>
  <r>
    <x v="3"/>
    <n v="50"/>
    <n v="55000"/>
    <x v="2"/>
    <x v="0"/>
    <s v="Director"/>
    <d v="2019-03-25T00:00:00"/>
    <x v="0"/>
    <s v="name@company.org"/>
    <s v="098-765-4321"/>
    <n v="6"/>
    <s v="Low"/>
    <x v="0"/>
  </r>
  <r>
    <x v="3"/>
    <n v="30"/>
    <n v="70000"/>
    <x v="1"/>
    <x v="2"/>
    <s v="Clerk"/>
    <d v="2020-01-15T00:00:00"/>
    <x v="1"/>
    <s v="Email not provided"/>
    <s v="123-456-7890"/>
    <n v="6"/>
    <s v="High"/>
    <x v="1"/>
  </r>
  <r>
    <x v="3"/>
    <n v="40"/>
    <n v="60000"/>
    <x v="1"/>
    <x v="3"/>
    <s v="Assistant"/>
    <d v="2020-02-20T00:00:00"/>
    <x v="4"/>
    <s v="user@domain.com"/>
    <s v="123-456-7890"/>
    <n v="5"/>
    <s v="Medium"/>
    <x v="4"/>
  </r>
  <r>
    <x v="4"/>
    <n v="35"/>
    <n v="60000"/>
    <x v="0"/>
    <x v="3"/>
    <s v="Manager"/>
    <d v="2019-03-25T00:00:00"/>
    <x v="4"/>
    <s v="email@example.com"/>
    <s v="Phone not provided"/>
    <n v="6"/>
    <s v="Medium"/>
    <x v="4"/>
  </r>
  <r>
    <x v="4"/>
    <n v="25"/>
    <n v="60000"/>
    <x v="2"/>
    <x v="2"/>
    <s v="Director"/>
    <d v="2018-04-05T00:00:00"/>
    <x v="3"/>
    <s v="name@company.org"/>
    <s v="123-456-7890"/>
    <n v="7"/>
    <s v="Medium"/>
    <x v="3"/>
  </r>
  <r>
    <x v="5"/>
    <n v="25"/>
    <n v="55000"/>
    <x v="1"/>
    <x v="2"/>
    <s v="Director"/>
    <d v="2018-04-05T00:00:00"/>
    <x v="4"/>
    <s v="name@company.org"/>
    <s v="123-456-7890"/>
    <n v="7"/>
    <s v="Low"/>
    <x v="4"/>
  </r>
  <r>
    <x v="8"/>
    <n v="35"/>
    <n v="50000"/>
    <x v="1"/>
    <x v="4"/>
    <s v="Assistant"/>
    <d v="2019-12-01T00:00:00"/>
    <x v="4"/>
    <s v="Email not provided"/>
    <s v="Phone not provided"/>
    <n v="6"/>
    <s v="Low"/>
    <x v="4"/>
  </r>
  <r>
    <x v="3"/>
    <n v="30"/>
    <n v="70000"/>
    <x v="1"/>
    <x v="2"/>
    <s v="Manager"/>
    <d v="2018-04-05T00:00:00"/>
    <x v="1"/>
    <s v="name@company.org"/>
    <s v="Phone not provided"/>
    <n v="7"/>
    <s v="High"/>
    <x v="1"/>
  </r>
  <r>
    <x v="9"/>
    <n v="35"/>
    <n v="50000"/>
    <x v="1"/>
    <x v="1"/>
    <s v="Manager"/>
    <d v="2019-12-01T00:00:00"/>
    <x v="0"/>
    <s v="user@domain.com"/>
    <s v="555-555-5555"/>
    <n v="6"/>
    <s v="Low"/>
    <x v="0"/>
  </r>
  <r>
    <x v="8"/>
    <n v="35"/>
    <n v="65000"/>
    <x v="1"/>
    <x v="3"/>
    <s v="Assistant"/>
    <d v="2020-01-15T00:00:00"/>
    <x v="0"/>
    <s v="name@company.org"/>
    <s v="555-555-5555"/>
    <n v="6"/>
    <s v="High"/>
    <x v="0"/>
  </r>
  <r>
    <x v="5"/>
    <n v="35"/>
    <n v="65000"/>
    <x v="1"/>
    <x v="2"/>
    <s v="Analyst"/>
    <d v="2020-01-15T00:00:00"/>
    <x v="1"/>
    <s v="Email not provided"/>
    <s v="098-765-4321"/>
    <n v="6"/>
    <s v="High"/>
    <x v="1"/>
  </r>
  <r>
    <x v="1"/>
    <n v="50"/>
    <n v="60000"/>
    <x v="0"/>
    <x v="1"/>
    <s v="Director"/>
    <d v="2020-01-15T00:00:00"/>
    <x v="4"/>
    <s v="user@domain.com"/>
    <s v="Phone not provided"/>
    <n v="6"/>
    <s v="Medium"/>
    <x v="4"/>
  </r>
  <r>
    <x v="8"/>
    <n v="25"/>
    <n v="55000"/>
    <x v="2"/>
    <x v="1"/>
    <s v="Director"/>
    <d v="2020-02-20T00:00:00"/>
    <x v="1"/>
    <s v="email@example.com"/>
    <s v="098-765-4321"/>
    <n v="5"/>
    <s v="Low"/>
    <x v="1"/>
  </r>
  <r>
    <x v="8"/>
    <n v="25"/>
    <n v="55000"/>
    <x v="2"/>
    <x v="1"/>
    <s v="Clerk"/>
    <d v="2020-02-20T00:00:00"/>
    <x v="3"/>
    <s v="email@example.com"/>
    <s v="555-555-5555"/>
    <n v="5"/>
    <s v="Low"/>
    <x v="3"/>
  </r>
  <r>
    <x v="2"/>
    <n v="40"/>
    <n v="55000"/>
    <x v="1"/>
    <x v="1"/>
    <s v="Assistant"/>
    <d v="2019-12-01T00:00:00"/>
    <x v="0"/>
    <s v="Email not provided"/>
    <s v="Phone not provided"/>
    <n v="6"/>
    <s v="Low"/>
    <x v="0"/>
  </r>
  <r>
    <x v="7"/>
    <n v="40"/>
    <n v="60000"/>
    <x v="2"/>
    <x v="4"/>
    <s v="Clerk"/>
    <d v="2018-04-05T00:00:00"/>
    <x v="2"/>
    <s v="Email not provided"/>
    <s v="123-456-7890"/>
    <n v="7"/>
    <s v="Medium"/>
    <x v="2"/>
  </r>
  <r>
    <x v="2"/>
    <n v="35"/>
    <n v="65000"/>
    <x v="2"/>
    <x v="1"/>
    <s v="Clerk"/>
    <d v="2018-04-05T00:00:00"/>
    <x v="3"/>
    <s v="Email not provided"/>
    <s v="555-555-5555"/>
    <n v="7"/>
    <s v="High"/>
    <x v="3"/>
  </r>
  <r>
    <x v="0"/>
    <n v="50"/>
    <n v="50000"/>
    <x v="2"/>
    <x v="4"/>
    <s v="Manager"/>
    <d v="2020-01-15T00:00:00"/>
    <x v="3"/>
    <s v="email@example.com"/>
    <s v="Phone not provided"/>
    <n v="6"/>
    <s v="Low"/>
    <x v="3"/>
  </r>
  <r>
    <x v="4"/>
    <n v="30"/>
    <n v="60000"/>
    <x v="1"/>
    <x v="4"/>
    <s v="Director"/>
    <d v="2019-03-25T00:00:00"/>
    <x v="1"/>
    <s v="email@example.com"/>
    <s v="555-555-5555"/>
    <n v="6"/>
    <s v="Medium"/>
    <x v="1"/>
  </r>
  <r>
    <x v="4"/>
    <n v="35"/>
    <n v="60000"/>
    <x v="1"/>
    <x v="1"/>
    <s v="Clerk"/>
    <d v="2020-02-20T00:00:00"/>
    <x v="4"/>
    <s v="email@example.com"/>
    <s v="Phone not provided"/>
    <n v="5"/>
    <s v="Medium"/>
    <x v="4"/>
  </r>
  <r>
    <x v="7"/>
    <n v="35"/>
    <n v="50000"/>
    <x v="2"/>
    <x v="3"/>
    <s v="Manager"/>
    <d v="2020-02-20T00:00:00"/>
    <x v="0"/>
    <s v="email@example.com"/>
    <s v="Phone not provided"/>
    <n v="5"/>
    <s v="Low"/>
    <x v="0"/>
  </r>
  <r>
    <x v="6"/>
    <n v="40"/>
    <n v="55000"/>
    <x v="2"/>
    <x v="1"/>
    <s v="Assistant"/>
    <d v="2020-01-15T00:00:00"/>
    <x v="2"/>
    <s v="name@company.org"/>
    <s v="Phone not provided"/>
    <n v="6"/>
    <s v="Low"/>
    <x v="2"/>
  </r>
  <r>
    <x v="6"/>
    <n v="35"/>
    <n v="70000"/>
    <x v="1"/>
    <x v="1"/>
    <s v="Clerk"/>
    <d v="2020-02-20T00:00:00"/>
    <x v="3"/>
    <s v="user@domain.com"/>
    <s v="098-765-4321"/>
    <n v="5"/>
    <s v="High"/>
    <x v="3"/>
  </r>
  <r>
    <x v="5"/>
    <n v="40"/>
    <n v="50000"/>
    <x v="0"/>
    <x v="1"/>
    <s v="Director"/>
    <d v="2020-01-15T00:00:00"/>
    <x v="2"/>
    <s v="user@domain.com"/>
    <s v="Phone not provided"/>
    <n v="6"/>
    <s v="Low"/>
    <x v="2"/>
  </r>
  <r>
    <x v="7"/>
    <n v="35"/>
    <n v="65000"/>
    <x v="2"/>
    <x v="3"/>
    <s v="Clerk"/>
    <d v="2019-12-01T00:00:00"/>
    <x v="4"/>
    <s v="Email not provided"/>
    <s v="555-555-5555"/>
    <n v="6"/>
    <s v="High"/>
    <x v="4"/>
  </r>
  <r>
    <x v="8"/>
    <n v="30"/>
    <n v="60000"/>
    <x v="0"/>
    <x v="0"/>
    <s v="Assistant"/>
    <d v="2018-04-05T00:00:00"/>
    <x v="4"/>
    <s v="name@company.org"/>
    <s v="Phone not provided"/>
    <n v="7"/>
    <s v="Medium"/>
    <x v="4"/>
  </r>
  <r>
    <x v="6"/>
    <n v="35"/>
    <n v="60000"/>
    <x v="2"/>
    <x v="0"/>
    <s v="Clerk"/>
    <d v="2019-03-25T00:00:00"/>
    <x v="2"/>
    <s v="email@example.com"/>
    <s v="123-456-7890"/>
    <n v="6"/>
    <s v="Medium"/>
    <x v="2"/>
  </r>
  <r>
    <x v="3"/>
    <n v="35"/>
    <n v="60000"/>
    <x v="0"/>
    <x v="4"/>
    <s v="Director"/>
    <d v="2018-04-05T00:00:00"/>
    <x v="0"/>
    <s v="email@example.com"/>
    <s v="555-555-5555"/>
    <n v="7"/>
    <s v="Medium"/>
    <x v="0"/>
  </r>
  <r>
    <x v="9"/>
    <n v="50"/>
    <n v="60000"/>
    <x v="0"/>
    <x v="4"/>
    <s v="Manager"/>
    <d v="2018-04-05T00:00:00"/>
    <x v="4"/>
    <s v="Email not provided"/>
    <s v="Phone not provided"/>
    <n v="7"/>
    <s v="Medium"/>
    <x v="4"/>
  </r>
  <r>
    <x v="8"/>
    <n v="25"/>
    <n v="70000"/>
    <x v="0"/>
    <x v="3"/>
    <s v="Director"/>
    <d v="2019-12-01T00:00:00"/>
    <x v="2"/>
    <s v="Email not provided"/>
    <s v="Phone not provided"/>
    <n v="6"/>
    <s v="High"/>
    <x v="2"/>
  </r>
  <r>
    <x v="0"/>
    <n v="50"/>
    <n v="55000"/>
    <x v="1"/>
    <x v="2"/>
    <s v="Manager"/>
    <d v="2020-02-20T00:00:00"/>
    <x v="3"/>
    <s v="Email not provided"/>
    <s v="123-456-7890"/>
    <n v="5"/>
    <s v="Low"/>
    <x v="3"/>
  </r>
  <r>
    <x v="3"/>
    <n v="50"/>
    <n v="65000"/>
    <x v="0"/>
    <x v="0"/>
    <s v="Analyst"/>
    <d v="2019-03-25T00:00:00"/>
    <x v="2"/>
    <s v="email@example.com"/>
    <s v="Phone not provided"/>
    <n v="6"/>
    <s v="High"/>
    <x v="2"/>
  </r>
  <r>
    <x v="3"/>
    <n v="25"/>
    <n v="70000"/>
    <x v="0"/>
    <x v="4"/>
    <s v="Director"/>
    <d v="2020-02-20T00:00:00"/>
    <x v="2"/>
    <s v="Email not provided"/>
    <s v="555-555-5555"/>
    <n v="5"/>
    <s v="High"/>
    <x v="2"/>
  </r>
  <r>
    <x v="7"/>
    <n v="50"/>
    <n v="65000"/>
    <x v="0"/>
    <x v="0"/>
    <s v="Director"/>
    <d v="2018-04-05T00:00:00"/>
    <x v="1"/>
    <s v="name@company.org"/>
    <s v="555-555-5555"/>
    <n v="7"/>
    <s v="High"/>
    <x v="1"/>
  </r>
  <r>
    <x v="5"/>
    <n v="35"/>
    <n v="65000"/>
    <x v="2"/>
    <x v="3"/>
    <s v="Assistant"/>
    <d v="2020-01-15T00:00:00"/>
    <x v="4"/>
    <s v="user@domain.com"/>
    <s v="123-456-7890"/>
    <n v="6"/>
    <s v="High"/>
    <x v="4"/>
  </r>
  <r>
    <x v="0"/>
    <n v="35"/>
    <n v="55000"/>
    <x v="0"/>
    <x v="3"/>
    <s v="Clerk"/>
    <d v="2018-04-05T00:00:00"/>
    <x v="0"/>
    <s v="email@example.com"/>
    <s v="Phone not provided"/>
    <n v="7"/>
    <s v="Low"/>
    <x v="0"/>
  </r>
  <r>
    <x v="6"/>
    <n v="35"/>
    <n v="60000"/>
    <x v="2"/>
    <x v="2"/>
    <s v="Manager"/>
    <d v="2020-02-20T00:00:00"/>
    <x v="0"/>
    <s v="name@company.org"/>
    <s v="555-555-5555"/>
    <n v="5"/>
    <s v="Medium"/>
    <x v="0"/>
  </r>
  <r>
    <x v="7"/>
    <n v="25"/>
    <n v="60000"/>
    <x v="0"/>
    <x v="2"/>
    <s v="Manager"/>
    <d v="2018-04-05T00:00:00"/>
    <x v="1"/>
    <s v="email@example.com"/>
    <s v="555-555-5555"/>
    <n v="7"/>
    <s v="Medium"/>
    <x v="1"/>
  </r>
  <r>
    <x v="6"/>
    <n v="50"/>
    <n v="55000"/>
    <x v="0"/>
    <x v="3"/>
    <s v="Assistant"/>
    <d v="2020-01-15T00:00:00"/>
    <x v="0"/>
    <s v="Email not provided"/>
    <s v="555-555-5555"/>
    <n v="6"/>
    <s v="Low"/>
    <x v="0"/>
  </r>
  <r>
    <x v="7"/>
    <n v="25"/>
    <n v="70000"/>
    <x v="1"/>
    <x v="4"/>
    <s v="Assistant"/>
    <d v="2019-12-01T00:00:00"/>
    <x v="2"/>
    <s v="Email not provided"/>
    <s v="Phone not provided"/>
    <n v="6"/>
    <s v="High"/>
    <x v="2"/>
  </r>
  <r>
    <x v="7"/>
    <n v="35"/>
    <n v="60000"/>
    <x v="2"/>
    <x v="0"/>
    <s v="Clerk"/>
    <d v="2020-02-20T00:00:00"/>
    <x v="1"/>
    <s v="Email not provided"/>
    <s v="123-456-7890"/>
    <n v="5"/>
    <s v="Medium"/>
    <x v="1"/>
  </r>
  <r>
    <x v="7"/>
    <n v="50"/>
    <n v="70000"/>
    <x v="0"/>
    <x v="1"/>
    <s v="Clerk"/>
    <d v="2018-04-05T00:00:00"/>
    <x v="3"/>
    <s v="user@domain.com"/>
    <s v="555-555-5555"/>
    <n v="7"/>
    <s v="High"/>
    <x v="3"/>
  </r>
  <r>
    <x v="5"/>
    <n v="50"/>
    <n v="60000"/>
    <x v="2"/>
    <x v="2"/>
    <s v="Director"/>
    <d v="2020-02-20T00:00:00"/>
    <x v="4"/>
    <s v="Email not provided"/>
    <s v="Phone not provided"/>
    <n v="5"/>
    <s v="Medium"/>
    <x v="4"/>
  </r>
  <r>
    <x v="7"/>
    <n v="40"/>
    <n v="70000"/>
    <x v="2"/>
    <x v="1"/>
    <s v="Analyst"/>
    <d v="2019-12-01T00:00:00"/>
    <x v="4"/>
    <s v="email@example.com"/>
    <s v="Phone not provided"/>
    <n v="6"/>
    <s v="High"/>
    <x v="4"/>
  </r>
  <r>
    <x v="1"/>
    <n v="40"/>
    <n v="55000"/>
    <x v="1"/>
    <x v="4"/>
    <s v="Clerk"/>
    <d v="2018-04-05T00:00:00"/>
    <x v="4"/>
    <s v="Email not provided"/>
    <s v="098-765-4321"/>
    <n v="7"/>
    <s v="Low"/>
    <x v="4"/>
  </r>
  <r>
    <x v="9"/>
    <n v="30"/>
    <n v="60000"/>
    <x v="1"/>
    <x v="2"/>
    <s v="Assistant"/>
    <d v="2018-04-05T00:00:00"/>
    <x v="2"/>
    <s v="email@example.com"/>
    <s v="123-456-7890"/>
    <n v="7"/>
    <s v="Medium"/>
    <x v="2"/>
  </r>
  <r>
    <x v="6"/>
    <n v="35"/>
    <n v="60000"/>
    <x v="1"/>
    <x v="1"/>
    <s v="Clerk"/>
    <d v="2020-02-20T00:00:00"/>
    <x v="3"/>
    <s v="user@domain.com"/>
    <s v="Phone not provided"/>
    <n v="5"/>
    <s v="Medium"/>
    <x v="3"/>
  </r>
  <r>
    <x v="8"/>
    <n v="40"/>
    <n v="65000"/>
    <x v="1"/>
    <x v="4"/>
    <s v="Manager"/>
    <d v="2020-02-20T00:00:00"/>
    <x v="1"/>
    <s v="Email not provided"/>
    <s v="555-555-5555"/>
    <n v="5"/>
    <s v="High"/>
    <x v="1"/>
  </r>
  <r>
    <x v="2"/>
    <n v="25"/>
    <n v="65000"/>
    <x v="1"/>
    <x v="0"/>
    <s v="Analyst"/>
    <d v="2020-01-15T00:00:00"/>
    <x v="1"/>
    <s v="Email not provided"/>
    <s v="098-765-4321"/>
    <n v="6"/>
    <s v="High"/>
    <x v="1"/>
  </r>
  <r>
    <x v="0"/>
    <n v="40"/>
    <n v="50000"/>
    <x v="1"/>
    <x v="4"/>
    <s v="Director"/>
    <d v="2019-12-01T00:00:00"/>
    <x v="4"/>
    <s v="Email not provided"/>
    <s v="123-456-7890"/>
    <n v="6"/>
    <s v="Low"/>
    <x v="4"/>
  </r>
  <r>
    <x v="4"/>
    <n v="30"/>
    <n v="70000"/>
    <x v="1"/>
    <x v="2"/>
    <s v="Manager"/>
    <d v="2020-01-15T00:00:00"/>
    <x v="3"/>
    <s v="Email not provided"/>
    <s v="Phone not provided"/>
    <n v="6"/>
    <s v="High"/>
    <x v="3"/>
  </r>
  <r>
    <x v="5"/>
    <n v="50"/>
    <n v="65000"/>
    <x v="1"/>
    <x v="3"/>
    <s v="Manager"/>
    <d v="2018-04-05T00:00:00"/>
    <x v="3"/>
    <s v="Email not provided"/>
    <s v="098-765-4321"/>
    <n v="7"/>
    <s v="High"/>
    <x v="3"/>
  </r>
  <r>
    <x v="8"/>
    <n v="30"/>
    <n v="50000"/>
    <x v="0"/>
    <x v="0"/>
    <s v="Analyst"/>
    <d v="2020-02-20T00:00:00"/>
    <x v="3"/>
    <s v="Email not provided"/>
    <s v="098-765-4321"/>
    <n v="5"/>
    <s v="Low"/>
    <x v="3"/>
  </r>
  <r>
    <x v="3"/>
    <n v="50"/>
    <n v="65000"/>
    <x v="2"/>
    <x v="1"/>
    <s v="Director"/>
    <d v="2018-04-05T00:00:00"/>
    <x v="0"/>
    <s v="Email not provided"/>
    <s v="Phone not provided"/>
    <n v="7"/>
    <s v="High"/>
    <x v="0"/>
  </r>
  <r>
    <x v="1"/>
    <n v="50"/>
    <n v="70000"/>
    <x v="1"/>
    <x v="2"/>
    <s v="Assistant"/>
    <d v="2018-04-05T00:00:00"/>
    <x v="0"/>
    <s v="email@example.com"/>
    <s v="123-456-7890"/>
    <n v="7"/>
    <s v="High"/>
    <x v="0"/>
  </r>
  <r>
    <x v="4"/>
    <n v="35"/>
    <n v="60000"/>
    <x v="1"/>
    <x v="3"/>
    <s v="Director"/>
    <d v="2019-03-25T00:00:00"/>
    <x v="4"/>
    <s v="user@domain.com"/>
    <s v="Phone not provided"/>
    <n v="6"/>
    <s v="Medium"/>
    <x v="4"/>
  </r>
  <r>
    <x v="2"/>
    <n v="40"/>
    <n v="60000"/>
    <x v="2"/>
    <x v="4"/>
    <s v="Clerk"/>
    <d v="2019-03-25T00:00:00"/>
    <x v="3"/>
    <s v="Email not provided"/>
    <s v="Phone not provided"/>
    <n v="6"/>
    <s v="Medium"/>
    <x v="3"/>
  </r>
  <r>
    <x v="8"/>
    <n v="25"/>
    <n v="70000"/>
    <x v="0"/>
    <x v="3"/>
    <s v="Manager"/>
    <d v="2018-04-05T00:00:00"/>
    <x v="3"/>
    <s v="email@example.com"/>
    <s v="555-555-5555"/>
    <n v="7"/>
    <s v="High"/>
    <x v="3"/>
  </r>
  <r>
    <x v="4"/>
    <n v="25"/>
    <n v="55000"/>
    <x v="2"/>
    <x v="2"/>
    <s v="Clerk"/>
    <d v="2020-02-20T00:00:00"/>
    <x v="1"/>
    <s v="Email not provided"/>
    <s v="Phone not provided"/>
    <n v="5"/>
    <s v="Low"/>
    <x v="1"/>
  </r>
  <r>
    <x v="8"/>
    <n v="35"/>
    <n v="65000"/>
    <x v="2"/>
    <x v="2"/>
    <s v="Assistant"/>
    <d v="2018-04-05T00:00:00"/>
    <x v="1"/>
    <s v="email@example.com"/>
    <s v="098-765-4321"/>
    <n v="7"/>
    <s v="High"/>
    <x v="1"/>
  </r>
  <r>
    <x v="1"/>
    <n v="50"/>
    <n v="65000"/>
    <x v="1"/>
    <x v="3"/>
    <s v="Clerk"/>
    <d v="2019-03-25T00:00:00"/>
    <x v="4"/>
    <s v="Email not provided"/>
    <s v="123-456-7890"/>
    <n v="6"/>
    <s v="High"/>
    <x v="4"/>
  </r>
  <r>
    <x v="2"/>
    <n v="25"/>
    <n v="60000"/>
    <x v="2"/>
    <x v="4"/>
    <s v="Director"/>
    <d v="2020-02-20T00:00:00"/>
    <x v="3"/>
    <s v="Email not provided"/>
    <s v="Phone not provided"/>
    <n v="5"/>
    <s v="Medium"/>
    <x v="3"/>
  </r>
  <r>
    <x v="3"/>
    <n v="35"/>
    <n v="55000"/>
    <x v="2"/>
    <x v="3"/>
    <s v="Clerk"/>
    <d v="2018-04-05T00:00:00"/>
    <x v="4"/>
    <s v="Email not provided"/>
    <s v="Phone not provided"/>
    <n v="7"/>
    <s v="Low"/>
    <x v="4"/>
  </r>
  <r>
    <x v="7"/>
    <n v="50"/>
    <n v="60000"/>
    <x v="1"/>
    <x v="2"/>
    <s v="Assistant"/>
    <d v="2019-12-01T00:00:00"/>
    <x v="1"/>
    <s v="Email not provided"/>
    <s v="123-456-7890"/>
    <n v="6"/>
    <s v="Medium"/>
    <x v="1"/>
  </r>
  <r>
    <x v="6"/>
    <n v="35"/>
    <n v="55000"/>
    <x v="1"/>
    <x v="2"/>
    <s v="Assistant"/>
    <d v="2019-12-01T00:00:00"/>
    <x v="1"/>
    <s v="name@company.org"/>
    <s v="Phone not provided"/>
    <n v="6"/>
    <s v="Low"/>
    <x v="1"/>
  </r>
  <r>
    <x v="3"/>
    <n v="25"/>
    <n v="60000"/>
    <x v="1"/>
    <x v="1"/>
    <s v="Assistant"/>
    <d v="2018-04-05T00:00:00"/>
    <x v="0"/>
    <s v="email@example.com"/>
    <s v="555-555-5555"/>
    <n v="7"/>
    <s v="Medium"/>
    <x v="0"/>
  </r>
  <r>
    <x v="7"/>
    <n v="25"/>
    <n v="65000"/>
    <x v="1"/>
    <x v="1"/>
    <s v="Director"/>
    <d v="2020-02-20T00:00:00"/>
    <x v="4"/>
    <s v="name@company.org"/>
    <s v="Phone not provided"/>
    <n v="5"/>
    <s v="High"/>
    <x v="4"/>
  </r>
  <r>
    <x v="5"/>
    <n v="35"/>
    <n v="65000"/>
    <x v="2"/>
    <x v="0"/>
    <s v="Assistant"/>
    <d v="2018-04-05T00:00:00"/>
    <x v="4"/>
    <s v="email@example.com"/>
    <s v="555-555-5555"/>
    <n v="7"/>
    <s v="High"/>
    <x v="4"/>
  </r>
  <r>
    <x v="9"/>
    <n v="25"/>
    <n v="60000"/>
    <x v="2"/>
    <x v="2"/>
    <s v="Manager"/>
    <d v="2018-04-05T00:00:00"/>
    <x v="3"/>
    <s v="user@domain.com"/>
    <s v="098-765-4321"/>
    <n v="7"/>
    <s v="Medium"/>
    <x v="3"/>
  </r>
  <r>
    <x v="0"/>
    <n v="50"/>
    <n v="50000"/>
    <x v="0"/>
    <x v="1"/>
    <s v="Assistant"/>
    <d v="2019-03-25T00:00:00"/>
    <x v="3"/>
    <s v="Email not provided"/>
    <s v="098-765-4321"/>
    <n v="6"/>
    <s v="Low"/>
    <x v="3"/>
  </r>
  <r>
    <x v="0"/>
    <n v="50"/>
    <n v="60000"/>
    <x v="0"/>
    <x v="3"/>
    <s v="Clerk"/>
    <d v="2019-12-01T00:00:00"/>
    <x v="0"/>
    <s v="user@domain.com"/>
    <s v="Phone not provided"/>
    <n v="6"/>
    <s v="Medium"/>
    <x v="0"/>
  </r>
  <r>
    <x v="6"/>
    <n v="50"/>
    <n v="60000"/>
    <x v="2"/>
    <x v="4"/>
    <s v="Clerk"/>
    <d v="2019-03-25T00:00:00"/>
    <x v="2"/>
    <s v="user@domain.com"/>
    <s v="555-555-5555"/>
    <n v="6"/>
    <s v="Medium"/>
    <x v="2"/>
  </r>
  <r>
    <x v="2"/>
    <n v="35"/>
    <n v="60000"/>
    <x v="0"/>
    <x v="3"/>
    <s v="Clerk"/>
    <d v="2019-03-25T00:00:00"/>
    <x v="2"/>
    <s v="email@example.com"/>
    <s v="098-765-4321"/>
    <n v="6"/>
    <s v="Medium"/>
    <x v="2"/>
  </r>
  <r>
    <x v="1"/>
    <n v="35"/>
    <n v="70000"/>
    <x v="2"/>
    <x v="4"/>
    <s v="Director"/>
    <d v="2018-04-05T00:00:00"/>
    <x v="2"/>
    <s v="name@company.org"/>
    <s v="Phone not provided"/>
    <n v="7"/>
    <s v="High"/>
    <x v="2"/>
  </r>
  <r>
    <x v="2"/>
    <n v="25"/>
    <n v="65000"/>
    <x v="0"/>
    <x v="1"/>
    <s v="Clerk"/>
    <d v="2019-03-25T00:00:00"/>
    <x v="4"/>
    <s v="Email not provided"/>
    <s v="123-456-7890"/>
    <n v="6"/>
    <s v="High"/>
    <x v="4"/>
  </r>
  <r>
    <x v="1"/>
    <n v="30"/>
    <n v="60000"/>
    <x v="1"/>
    <x v="0"/>
    <s v="Director"/>
    <d v="2019-12-01T00:00:00"/>
    <x v="4"/>
    <s v="email@example.com"/>
    <s v="123-456-7890"/>
    <n v="6"/>
    <s v="Medium"/>
    <x v="4"/>
  </r>
  <r>
    <x v="2"/>
    <n v="30"/>
    <n v="55000"/>
    <x v="0"/>
    <x v="3"/>
    <s v="Director"/>
    <d v="2019-03-25T00:00:00"/>
    <x v="1"/>
    <s v="Email not provided"/>
    <s v="555-555-5555"/>
    <n v="6"/>
    <s v="Low"/>
    <x v="1"/>
  </r>
  <r>
    <x v="9"/>
    <n v="35"/>
    <n v="60000"/>
    <x v="1"/>
    <x v="3"/>
    <s v="Assistant"/>
    <d v="2019-12-01T00:00:00"/>
    <x v="4"/>
    <s v="user@domain.com"/>
    <s v="Phone not provided"/>
    <n v="6"/>
    <s v="Medium"/>
    <x v="4"/>
  </r>
  <r>
    <x v="5"/>
    <n v="25"/>
    <n v="70000"/>
    <x v="1"/>
    <x v="3"/>
    <s v="Manager"/>
    <d v="2019-03-25T00:00:00"/>
    <x v="4"/>
    <s v="Email not provided"/>
    <s v="Phone not provided"/>
    <n v="6"/>
    <s v="High"/>
    <x v="4"/>
  </r>
  <r>
    <x v="5"/>
    <n v="30"/>
    <n v="65000"/>
    <x v="1"/>
    <x v="4"/>
    <s v="Assistant"/>
    <d v="2019-12-01T00:00:00"/>
    <x v="4"/>
    <s v="name@company.org"/>
    <s v="555-555-5555"/>
    <n v="6"/>
    <s v="High"/>
    <x v="4"/>
  </r>
  <r>
    <x v="7"/>
    <n v="25"/>
    <n v="60000"/>
    <x v="1"/>
    <x v="1"/>
    <s v="Assistant"/>
    <d v="2019-03-25T00:00:00"/>
    <x v="0"/>
    <s v="email@example.com"/>
    <s v="123-456-7890"/>
    <n v="6"/>
    <s v="Medium"/>
    <x v="0"/>
  </r>
  <r>
    <x v="4"/>
    <n v="25"/>
    <n v="70000"/>
    <x v="0"/>
    <x v="3"/>
    <s v="Director"/>
    <d v="2019-03-25T00:00:00"/>
    <x v="4"/>
    <s v="name@company.org"/>
    <s v="555-555-5555"/>
    <n v="6"/>
    <s v="High"/>
    <x v="4"/>
  </r>
  <r>
    <x v="5"/>
    <n v="25"/>
    <n v="65000"/>
    <x v="2"/>
    <x v="3"/>
    <s v="Director"/>
    <d v="2020-02-20T00:00:00"/>
    <x v="3"/>
    <s v="name@company.org"/>
    <s v="Phone not provided"/>
    <n v="5"/>
    <s v="High"/>
    <x v="3"/>
  </r>
  <r>
    <x v="5"/>
    <n v="40"/>
    <n v="60000"/>
    <x v="1"/>
    <x v="0"/>
    <s v="Clerk"/>
    <d v="2019-12-01T00:00:00"/>
    <x v="3"/>
    <s v="email@example.com"/>
    <s v="098-765-4321"/>
    <n v="6"/>
    <s v="Medium"/>
    <x v="3"/>
  </r>
  <r>
    <x v="3"/>
    <n v="50"/>
    <n v="50000"/>
    <x v="0"/>
    <x v="0"/>
    <s v="Clerk"/>
    <d v="2019-12-01T00:00:00"/>
    <x v="1"/>
    <s v="name@company.org"/>
    <s v="Phone not provided"/>
    <n v="6"/>
    <s v="Low"/>
    <x v="1"/>
  </r>
  <r>
    <x v="3"/>
    <n v="25"/>
    <n v="50000"/>
    <x v="1"/>
    <x v="1"/>
    <s v="Assistant"/>
    <d v="2019-12-01T00:00:00"/>
    <x v="0"/>
    <s v="Email not provided"/>
    <s v="098-765-4321"/>
    <n v="6"/>
    <s v="Low"/>
    <x v="0"/>
  </r>
  <r>
    <x v="7"/>
    <n v="40"/>
    <n v="55000"/>
    <x v="0"/>
    <x v="1"/>
    <s v="Analyst"/>
    <d v="2020-01-15T00:00:00"/>
    <x v="3"/>
    <s v="Email not provided"/>
    <s v="098-765-4321"/>
    <n v="6"/>
    <s v="Low"/>
    <x v="3"/>
  </r>
  <r>
    <x v="4"/>
    <n v="35"/>
    <n v="65000"/>
    <x v="0"/>
    <x v="2"/>
    <s v="Analyst"/>
    <d v="2019-03-25T00:00:00"/>
    <x v="0"/>
    <s v="Email not provided"/>
    <s v="098-765-4321"/>
    <n v="6"/>
    <s v="High"/>
    <x v="0"/>
  </r>
  <r>
    <x v="6"/>
    <n v="30"/>
    <n v="50000"/>
    <x v="0"/>
    <x v="0"/>
    <s v="Clerk"/>
    <d v="2019-12-01T00:00:00"/>
    <x v="0"/>
    <s v="Email not provided"/>
    <s v="555-555-5555"/>
    <n v="6"/>
    <s v="Low"/>
    <x v="0"/>
  </r>
  <r>
    <x v="3"/>
    <n v="50"/>
    <n v="60000"/>
    <x v="2"/>
    <x v="2"/>
    <s v="Analyst"/>
    <d v="2020-01-15T00:00:00"/>
    <x v="1"/>
    <s v="name@company.org"/>
    <s v="123-456-7890"/>
    <n v="6"/>
    <s v="Medium"/>
    <x v="1"/>
  </r>
  <r>
    <x v="6"/>
    <n v="30"/>
    <n v="65000"/>
    <x v="0"/>
    <x v="4"/>
    <s v="Clerk"/>
    <d v="2020-02-20T00:00:00"/>
    <x v="0"/>
    <s v="email@example.com"/>
    <s v="555-555-5555"/>
    <n v="5"/>
    <s v="High"/>
    <x v="0"/>
  </r>
  <r>
    <x v="8"/>
    <n v="50"/>
    <n v="60000"/>
    <x v="0"/>
    <x v="2"/>
    <s v="Director"/>
    <d v="2019-12-01T00:00:00"/>
    <x v="4"/>
    <s v="email@example.com"/>
    <s v="123-456-7890"/>
    <n v="6"/>
    <s v="Medium"/>
    <x v="4"/>
  </r>
  <r>
    <x v="3"/>
    <n v="30"/>
    <n v="60000"/>
    <x v="2"/>
    <x v="3"/>
    <s v="Assistant"/>
    <d v="2019-12-01T00:00:00"/>
    <x v="0"/>
    <s v="Email not provided"/>
    <s v="Phone not provided"/>
    <n v="6"/>
    <s v="Medium"/>
    <x v="0"/>
  </r>
  <r>
    <x v="9"/>
    <n v="50"/>
    <n v="50000"/>
    <x v="2"/>
    <x v="2"/>
    <s v="Manager"/>
    <d v="2020-01-15T00:00:00"/>
    <x v="1"/>
    <s v="email@example.com"/>
    <s v="Phone not provided"/>
    <n v="6"/>
    <s v="Low"/>
    <x v="1"/>
  </r>
  <r>
    <x v="4"/>
    <n v="30"/>
    <n v="65000"/>
    <x v="0"/>
    <x v="1"/>
    <s v="Assistant"/>
    <d v="2019-03-25T00:00:00"/>
    <x v="1"/>
    <s v="Email not provided"/>
    <s v="Phone not provided"/>
    <n v="6"/>
    <s v="High"/>
    <x v="1"/>
  </r>
  <r>
    <x v="7"/>
    <n v="30"/>
    <n v="60000"/>
    <x v="2"/>
    <x v="4"/>
    <s v="Clerk"/>
    <d v="2020-02-20T00:00:00"/>
    <x v="1"/>
    <s v="name@company.org"/>
    <s v="555-555-5555"/>
    <n v="5"/>
    <s v="Medium"/>
    <x v="1"/>
  </r>
  <r>
    <x v="8"/>
    <n v="30"/>
    <n v="70000"/>
    <x v="1"/>
    <x v="3"/>
    <s v="Clerk"/>
    <d v="2019-12-01T00:00:00"/>
    <x v="3"/>
    <s v="email@example.com"/>
    <s v="555-555-5555"/>
    <n v="6"/>
    <s v="High"/>
    <x v="3"/>
  </r>
  <r>
    <x v="4"/>
    <n v="30"/>
    <n v="50000"/>
    <x v="1"/>
    <x v="2"/>
    <s v="Assistant"/>
    <d v="2019-03-25T00:00:00"/>
    <x v="4"/>
    <s v="email@example.com"/>
    <s v="123-456-7890"/>
    <n v="6"/>
    <s v="Low"/>
    <x v="4"/>
  </r>
  <r>
    <x v="9"/>
    <n v="35"/>
    <n v="50000"/>
    <x v="2"/>
    <x v="4"/>
    <s v="Clerk"/>
    <d v="2020-02-20T00:00:00"/>
    <x v="3"/>
    <s v="user@domain.com"/>
    <s v="555-555-5555"/>
    <n v="5"/>
    <s v="Low"/>
    <x v="3"/>
  </r>
  <r>
    <x v="4"/>
    <n v="25"/>
    <n v="60000"/>
    <x v="2"/>
    <x v="4"/>
    <s v="Analyst"/>
    <d v="2018-04-05T00:00:00"/>
    <x v="2"/>
    <s v="user@domain.com"/>
    <s v="098-765-4321"/>
    <n v="7"/>
    <s v="Medium"/>
    <x v="2"/>
  </r>
  <r>
    <x v="9"/>
    <n v="35"/>
    <n v="65000"/>
    <x v="0"/>
    <x v="3"/>
    <s v="Analyst"/>
    <d v="2018-04-05T00:00:00"/>
    <x v="4"/>
    <s v="user@domain.com"/>
    <s v="555-555-5555"/>
    <n v="7"/>
    <s v="High"/>
    <x v="4"/>
  </r>
  <r>
    <x v="9"/>
    <n v="40"/>
    <n v="65000"/>
    <x v="2"/>
    <x v="2"/>
    <s v="Clerk"/>
    <d v="2020-02-20T00:00:00"/>
    <x v="0"/>
    <s v="name@company.org"/>
    <s v="123-456-7890"/>
    <n v="5"/>
    <s v="High"/>
    <x v="0"/>
  </r>
  <r>
    <x v="6"/>
    <n v="35"/>
    <n v="60000"/>
    <x v="0"/>
    <x v="4"/>
    <s v="Clerk"/>
    <d v="2020-01-15T00:00:00"/>
    <x v="1"/>
    <s v="Email not provided"/>
    <s v="123-456-7890"/>
    <n v="6"/>
    <s v="Medium"/>
    <x v="1"/>
  </r>
  <r>
    <x v="2"/>
    <n v="35"/>
    <n v="60000"/>
    <x v="1"/>
    <x v="4"/>
    <s v="Analyst"/>
    <d v="2020-02-20T00:00:00"/>
    <x v="2"/>
    <s v="Email not provided"/>
    <s v="098-765-4321"/>
    <n v="5"/>
    <s v="Medium"/>
    <x v="2"/>
  </r>
  <r>
    <x v="8"/>
    <n v="50"/>
    <n v="60000"/>
    <x v="2"/>
    <x v="0"/>
    <s v="Clerk"/>
    <d v="2020-02-20T00:00:00"/>
    <x v="4"/>
    <s v="Email not provided"/>
    <s v="123-456-7890"/>
    <n v="5"/>
    <s v="Medium"/>
    <x v="4"/>
  </r>
  <r>
    <x v="4"/>
    <n v="25"/>
    <n v="65000"/>
    <x v="0"/>
    <x v="4"/>
    <s v="Clerk"/>
    <d v="2020-01-15T00:00:00"/>
    <x v="3"/>
    <s v="name@company.org"/>
    <s v="Phone not provided"/>
    <n v="6"/>
    <s v="High"/>
    <x v="3"/>
  </r>
  <r>
    <x v="1"/>
    <n v="50"/>
    <n v="60000"/>
    <x v="0"/>
    <x v="0"/>
    <s v="Assistant"/>
    <d v="2020-01-15T00:00:00"/>
    <x v="1"/>
    <s v="name@company.org"/>
    <s v="Phone not provided"/>
    <n v="6"/>
    <s v="Medium"/>
    <x v="1"/>
  </r>
  <r>
    <x v="8"/>
    <n v="25"/>
    <n v="50000"/>
    <x v="1"/>
    <x v="2"/>
    <s v="Manager"/>
    <d v="2019-03-25T00:00:00"/>
    <x v="3"/>
    <s v="user@domain.com"/>
    <s v="555-555-5555"/>
    <n v="6"/>
    <s v="Low"/>
    <x v="3"/>
  </r>
  <r>
    <x v="2"/>
    <n v="25"/>
    <n v="55000"/>
    <x v="2"/>
    <x v="2"/>
    <s v="Analyst"/>
    <d v="2019-03-25T00:00:00"/>
    <x v="4"/>
    <s v="email@example.com"/>
    <s v="Phone not provided"/>
    <n v="6"/>
    <s v="Low"/>
    <x v="4"/>
  </r>
  <r>
    <x v="8"/>
    <n v="30"/>
    <n v="70000"/>
    <x v="1"/>
    <x v="2"/>
    <s v="Assistant"/>
    <d v="2020-01-15T00:00:00"/>
    <x v="4"/>
    <s v="Email not provided"/>
    <s v="555-555-5555"/>
    <n v="6"/>
    <s v="High"/>
    <x v="4"/>
  </r>
  <r>
    <x v="5"/>
    <n v="35"/>
    <n v="50000"/>
    <x v="0"/>
    <x v="1"/>
    <s v="Manager"/>
    <d v="2018-04-05T00:00:00"/>
    <x v="2"/>
    <s v="Email not provided"/>
    <s v="Phone not provided"/>
    <n v="7"/>
    <s v="Low"/>
    <x v="2"/>
  </r>
  <r>
    <x v="1"/>
    <n v="30"/>
    <n v="65000"/>
    <x v="0"/>
    <x v="2"/>
    <s v="Clerk"/>
    <d v="2018-04-05T00:00:00"/>
    <x v="0"/>
    <s v="email@example.com"/>
    <s v="555-555-5555"/>
    <n v="7"/>
    <s v="High"/>
    <x v="0"/>
  </r>
  <r>
    <x v="2"/>
    <n v="35"/>
    <n v="70000"/>
    <x v="2"/>
    <x v="4"/>
    <s v="Clerk"/>
    <d v="2020-02-20T00:00:00"/>
    <x v="3"/>
    <s v="user@domain.com"/>
    <s v="098-765-4321"/>
    <n v="5"/>
    <s v="High"/>
    <x v="3"/>
  </r>
  <r>
    <x v="6"/>
    <n v="50"/>
    <n v="55000"/>
    <x v="0"/>
    <x v="3"/>
    <s v="Assistant"/>
    <d v="2019-12-01T00:00:00"/>
    <x v="2"/>
    <s v="email@example.com"/>
    <s v="123-456-7890"/>
    <n v="6"/>
    <s v="Low"/>
    <x v="2"/>
  </r>
  <r>
    <x v="4"/>
    <n v="35"/>
    <n v="55000"/>
    <x v="2"/>
    <x v="0"/>
    <s v="Clerk"/>
    <d v="2020-02-20T00:00:00"/>
    <x v="1"/>
    <s v="email@example.com"/>
    <s v="123-456-7890"/>
    <n v="5"/>
    <s v="Low"/>
    <x v="1"/>
  </r>
  <r>
    <x v="0"/>
    <n v="50"/>
    <n v="60000"/>
    <x v="1"/>
    <x v="1"/>
    <s v="Director"/>
    <d v="2020-02-20T00:00:00"/>
    <x v="0"/>
    <s v="Email not provided"/>
    <s v="098-765-4321"/>
    <n v="5"/>
    <s v="Medium"/>
    <x v="0"/>
  </r>
  <r>
    <x v="2"/>
    <n v="35"/>
    <n v="70000"/>
    <x v="2"/>
    <x v="2"/>
    <s v="Assistant"/>
    <d v="2019-12-01T00:00:00"/>
    <x v="2"/>
    <s v="user@domain.com"/>
    <s v="Phone not provided"/>
    <n v="6"/>
    <s v="High"/>
    <x v="2"/>
  </r>
  <r>
    <x v="7"/>
    <n v="35"/>
    <n v="60000"/>
    <x v="2"/>
    <x v="2"/>
    <s v="Manager"/>
    <d v="2020-01-15T00:00:00"/>
    <x v="3"/>
    <s v="name@company.org"/>
    <s v="Phone not provided"/>
    <n v="6"/>
    <s v="Medium"/>
    <x v="3"/>
  </r>
  <r>
    <x v="4"/>
    <n v="35"/>
    <n v="50000"/>
    <x v="0"/>
    <x v="3"/>
    <s v="Assistant"/>
    <d v="2018-04-05T00:00:00"/>
    <x v="4"/>
    <s v="Email not provided"/>
    <s v="Phone not provided"/>
    <n v="7"/>
    <s v="Low"/>
    <x v="4"/>
  </r>
  <r>
    <x v="2"/>
    <n v="35"/>
    <n v="60000"/>
    <x v="0"/>
    <x v="3"/>
    <s v="Analyst"/>
    <d v="2020-02-20T00:00:00"/>
    <x v="1"/>
    <s v="name@company.org"/>
    <s v="123-456-7890"/>
    <n v="5"/>
    <s v="Medium"/>
    <x v="1"/>
  </r>
  <r>
    <x v="5"/>
    <n v="50"/>
    <n v="60000"/>
    <x v="2"/>
    <x v="1"/>
    <s v="Assistant"/>
    <d v="2019-12-01T00:00:00"/>
    <x v="3"/>
    <s v="user@domain.com"/>
    <s v="Phone not provided"/>
    <n v="6"/>
    <s v="Medium"/>
    <x v="3"/>
  </r>
  <r>
    <x v="0"/>
    <n v="30"/>
    <n v="60000"/>
    <x v="0"/>
    <x v="0"/>
    <s v="Clerk"/>
    <d v="2019-03-25T00:00:00"/>
    <x v="0"/>
    <s v="email@example.com"/>
    <s v="555-555-5555"/>
    <n v="6"/>
    <s v="Medium"/>
    <x v="0"/>
  </r>
  <r>
    <x v="5"/>
    <n v="50"/>
    <n v="70000"/>
    <x v="0"/>
    <x v="2"/>
    <s v="Clerk"/>
    <d v="2020-02-20T00:00:00"/>
    <x v="0"/>
    <s v="Email not provided"/>
    <s v="Phone not provided"/>
    <n v="5"/>
    <s v="High"/>
    <x v="0"/>
  </r>
  <r>
    <x v="0"/>
    <n v="30"/>
    <n v="60000"/>
    <x v="0"/>
    <x v="1"/>
    <s v="Director"/>
    <d v="2018-04-05T00:00:00"/>
    <x v="4"/>
    <s v="Email not provided"/>
    <s v="Phone not provided"/>
    <n v="7"/>
    <s v="Medium"/>
    <x v="4"/>
  </r>
  <r>
    <x v="7"/>
    <n v="35"/>
    <n v="50000"/>
    <x v="2"/>
    <x v="4"/>
    <s v="Director"/>
    <d v="2020-01-15T00:00:00"/>
    <x v="4"/>
    <s v="user@domain.com"/>
    <s v="098-765-4321"/>
    <n v="6"/>
    <s v="Low"/>
    <x v="4"/>
  </r>
  <r>
    <x v="4"/>
    <n v="25"/>
    <n v="60000"/>
    <x v="0"/>
    <x v="4"/>
    <s v="Director"/>
    <d v="2020-02-20T00:00:00"/>
    <x v="1"/>
    <s v="Email not provided"/>
    <s v="555-555-5555"/>
    <n v="5"/>
    <s v="Medium"/>
    <x v="1"/>
  </r>
  <r>
    <x v="6"/>
    <n v="35"/>
    <n v="70000"/>
    <x v="2"/>
    <x v="1"/>
    <s v="Manager"/>
    <d v="2020-02-20T00:00:00"/>
    <x v="1"/>
    <s v="name@company.org"/>
    <s v="Phone not provided"/>
    <n v="5"/>
    <s v="High"/>
    <x v="1"/>
  </r>
  <r>
    <x v="5"/>
    <n v="30"/>
    <n v="60000"/>
    <x v="0"/>
    <x v="2"/>
    <s v="Director"/>
    <d v="2019-12-01T00:00:00"/>
    <x v="4"/>
    <s v="Email not provided"/>
    <s v="555-555-5555"/>
    <n v="6"/>
    <s v="Medium"/>
    <x v="4"/>
  </r>
  <r>
    <x v="5"/>
    <n v="50"/>
    <n v="70000"/>
    <x v="1"/>
    <x v="1"/>
    <s v="Manager"/>
    <d v="2019-03-25T00:00:00"/>
    <x v="4"/>
    <s v="user@domain.com"/>
    <s v="Phone not provided"/>
    <n v="6"/>
    <s v="High"/>
    <x v="4"/>
  </r>
  <r>
    <x v="9"/>
    <n v="35"/>
    <n v="60000"/>
    <x v="0"/>
    <x v="2"/>
    <s v="Director"/>
    <d v="2019-03-25T00:00:00"/>
    <x v="0"/>
    <s v="user@domain.com"/>
    <s v="123-456-7890"/>
    <n v="6"/>
    <s v="Medium"/>
    <x v="0"/>
  </r>
  <r>
    <x v="0"/>
    <n v="30"/>
    <n v="55000"/>
    <x v="0"/>
    <x v="3"/>
    <s v="Manager"/>
    <d v="2020-01-15T00:00:00"/>
    <x v="4"/>
    <s v="name@company.org"/>
    <s v="Phone not provided"/>
    <n v="6"/>
    <s v="Low"/>
    <x v="4"/>
  </r>
  <r>
    <x v="3"/>
    <n v="50"/>
    <n v="60000"/>
    <x v="2"/>
    <x v="1"/>
    <s v="Assistant"/>
    <d v="2018-04-05T00:00:00"/>
    <x v="2"/>
    <s v="Email not provided"/>
    <s v="098-765-4321"/>
    <n v="7"/>
    <s v="Medium"/>
    <x v="2"/>
  </r>
  <r>
    <x v="4"/>
    <n v="35"/>
    <n v="60000"/>
    <x v="2"/>
    <x v="2"/>
    <s v="Assistant"/>
    <d v="2020-01-15T00:00:00"/>
    <x v="3"/>
    <s v="Email not provided"/>
    <s v="Phone not provided"/>
    <n v="6"/>
    <s v="Medium"/>
    <x v="3"/>
  </r>
  <r>
    <x v="0"/>
    <n v="35"/>
    <n v="55000"/>
    <x v="0"/>
    <x v="1"/>
    <s v="Clerk"/>
    <d v="2020-02-20T00:00:00"/>
    <x v="4"/>
    <s v="email@example.com"/>
    <s v="Phone not provided"/>
    <n v="5"/>
    <s v="Low"/>
    <x v="4"/>
  </r>
  <r>
    <x v="9"/>
    <n v="40"/>
    <n v="60000"/>
    <x v="1"/>
    <x v="1"/>
    <s v="Manager"/>
    <d v="2020-02-20T00:00:00"/>
    <x v="1"/>
    <s v="Email not provided"/>
    <s v="098-765-4321"/>
    <n v="5"/>
    <s v="Medium"/>
    <x v="1"/>
  </r>
  <r>
    <x v="8"/>
    <n v="25"/>
    <n v="70000"/>
    <x v="0"/>
    <x v="2"/>
    <s v="Analyst"/>
    <d v="2019-03-25T00:00:00"/>
    <x v="2"/>
    <s v="user@domain.com"/>
    <s v="Phone not provided"/>
    <n v="6"/>
    <s v="High"/>
    <x v="2"/>
  </r>
  <r>
    <x v="0"/>
    <n v="40"/>
    <n v="70000"/>
    <x v="0"/>
    <x v="2"/>
    <s v="Clerk"/>
    <d v="2018-04-05T00:00:00"/>
    <x v="1"/>
    <s v="email@example.com"/>
    <s v="Phone not provided"/>
    <n v="7"/>
    <s v="High"/>
    <x v="1"/>
  </r>
  <r>
    <x v="6"/>
    <n v="35"/>
    <n v="70000"/>
    <x v="1"/>
    <x v="0"/>
    <s v="Assistant"/>
    <d v="2019-12-01T00:00:00"/>
    <x v="2"/>
    <s v="user@domain.com"/>
    <s v="Phone not provided"/>
    <n v="6"/>
    <s v="High"/>
    <x v="2"/>
  </r>
  <r>
    <x v="4"/>
    <n v="30"/>
    <n v="65000"/>
    <x v="2"/>
    <x v="1"/>
    <s v="Manager"/>
    <d v="2018-04-05T00:00:00"/>
    <x v="4"/>
    <s v="email@example.com"/>
    <s v="555-555-5555"/>
    <n v="7"/>
    <s v="High"/>
    <x v="4"/>
  </r>
  <r>
    <x v="9"/>
    <n v="35"/>
    <n v="50000"/>
    <x v="0"/>
    <x v="4"/>
    <s v="Director"/>
    <d v="2020-02-20T00:00:00"/>
    <x v="3"/>
    <s v="Email not provided"/>
    <s v="Phone not provided"/>
    <n v="5"/>
    <s v="Low"/>
    <x v="3"/>
  </r>
  <r>
    <x v="8"/>
    <n v="50"/>
    <n v="70000"/>
    <x v="2"/>
    <x v="1"/>
    <s v="Analyst"/>
    <d v="2019-12-01T00:00:00"/>
    <x v="1"/>
    <s v="email@example.com"/>
    <s v="Phone not provided"/>
    <n v="6"/>
    <s v="High"/>
    <x v="1"/>
  </r>
  <r>
    <x v="1"/>
    <n v="35"/>
    <n v="55000"/>
    <x v="2"/>
    <x v="1"/>
    <s v="Assistant"/>
    <d v="2018-04-05T00:00:00"/>
    <x v="2"/>
    <s v="user@domain.com"/>
    <s v="123-456-7890"/>
    <n v="7"/>
    <s v="Low"/>
    <x v="2"/>
  </r>
  <r>
    <x v="9"/>
    <n v="40"/>
    <n v="70000"/>
    <x v="1"/>
    <x v="2"/>
    <s v="Clerk"/>
    <d v="2018-04-05T00:00:00"/>
    <x v="0"/>
    <s v="Email not provided"/>
    <s v="Phone not provided"/>
    <n v="7"/>
    <s v="High"/>
    <x v="0"/>
  </r>
  <r>
    <x v="1"/>
    <n v="40"/>
    <n v="65000"/>
    <x v="1"/>
    <x v="1"/>
    <s v="Manager"/>
    <d v="2019-12-01T00:00:00"/>
    <x v="4"/>
    <s v="user@domain.com"/>
    <s v="555-555-5555"/>
    <n v="6"/>
    <s v="High"/>
    <x v="4"/>
  </r>
  <r>
    <x v="4"/>
    <n v="40"/>
    <n v="60000"/>
    <x v="2"/>
    <x v="1"/>
    <s v="Analyst"/>
    <d v="2020-02-20T00:00:00"/>
    <x v="3"/>
    <s v="name@company.org"/>
    <s v="098-765-4321"/>
    <n v="5"/>
    <s v="Medium"/>
    <x v="3"/>
  </r>
  <r>
    <x v="5"/>
    <n v="35"/>
    <n v="55000"/>
    <x v="0"/>
    <x v="4"/>
    <s v="Manager"/>
    <d v="2018-04-05T00:00:00"/>
    <x v="4"/>
    <s v="name@company.org"/>
    <s v="098-765-4321"/>
    <n v="7"/>
    <s v="Low"/>
    <x v="4"/>
  </r>
  <r>
    <x v="9"/>
    <n v="35"/>
    <n v="65000"/>
    <x v="2"/>
    <x v="2"/>
    <s v="Director"/>
    <d v="2019-12-01T00:00:00"/>
    <x v="0"/>
    <s v="name@company.org"/>
    <s v="098-765-4321"/>
    <n v="6"/>
    <s v="High"/>
    <x v="0"/>
  </r>
  <r>
    <x v="7"/>
    <n v="30"/>
    <n v="60000"/>
    <x v="0"/>
    <x v="1"/>
    <s v="Clerk"/>
    <d v="2020-02-20T00:00:00"/>
    <x v="3"/>
    <s v="name@company.org"/>
    <s v="123-456-7890"/>
    <n v="5"/>
    <s v="Medium"/>
    <x v="3"/>
  </r>
  <r>
    <x v="1"/>
    <n v="50"/>
    <n v="55000"/>
    <x v="0"/>
    <x v="3"/>
    <s v="Manager"/>
    <d v="2019-12-01T00:00:00"/>
    <x v="0"/>
    <s v="Email not provided"/>
    <s v="555-555-5555"/>
    <n v="6"/>
    <s v="Low"/>
    <x v="0"/>
  </r>
  <r>
    <x v="6"/>
    <n v="30"/>
    <n v="60000"/>
    <x v="1"/>
    <x v="0"/>
    <s v="Assistant"/>
    <d v="2019-12-01T00:00:00"/>
    <x v="4"/>
    <s v="Email not provided"/>
    <s v="Phone not provided"/>
    <n v="6"/>
    <s v="Medium"/>
    <x v="4"/>
  </r>
  <r>
    <x v="7"/>
    <n v="35"/>
    <n v="50000"/>
    <x v="0"/>
    <x v="4"/>
    <s v="Clerk"/>
    <d v="2018-04-05T00:00:00"/>
    <x v="2"/>
    <s v="Email not provided"/>
    <s v="098-765-4321"/>
    <n v="7"/>
    <s v="Low"/>
    <x v="2"/>
  </r>
  <r>
    <x v="2"/>
    <n v="50"/>
    <n v="50000"/>
    <x v="0"/>
    <x v="1"/>
    <s v="Assistant"/>
    <d v="2020-02-20T00:00:00"/>
    <x v="4"/>
    <s v="user@domain.com"/>
    <s v="555-555-5555"/>
    <n v="5"/>
    <s v="Low"/>
    <x v="4"/>
  </r>
  <r>
    <x v="2"/>
    <n v="40"/>
    <n v="65000"/>
    <x v="2"/>
    <x v="3"/>
    <s v="Manager"/>
    <d v="2018-04-05T00:00:00"/>
    <x v="4"/>
    <s v="email@example.com"/>
    <s v="Phone not provided"/>
    <n v="7"/>
    <s v="High"/>
    <x v="4"/>
  </r>
  <r>
    <x v="8"/>
    <n v="25"/>
    <n v="60000"/>
    <x v="1"/>
    <x v="1"/>
    <s v="Clerk"/>
    <d v="2020-01-15T00:00:00"/>
    <x v="4"/>
    <s v="user@domain.com"/>
    <s v="123-456-7890"/>
    <n v="6"/>
    <s v="Medium"/>
    <x v="4"/>
  </r>
  <r>
    <x v="5"/>
    <n v="35"/>
    <n v="50000"/>
    <x v="0"/>
    <x v="1"/>
    <s v="Assistant"/>
    <d v="2020-01-15T00:00:00"/>
    <x v="1"/>
    <s v="user@domain.com"/>
    <s v="555-555-5555"/>
    <n v="6"/>
    <s v="Low"/>
    <x v="1"/>
  </r>
  <r>
    <x v="4"/>
    <n v="35"/>
    <n v="60000"/>
    <x v="0"/>
    <x v="2"/>
    <s v="Director"/>
    <d v="2020-02-20T00:00:00"/>
    <x v="0"/>
    <s v="user@domain.com"/>
    <s v="555-555-5555"/>
    <n v="5"/>
    <s v="Medium"/>
    <x v="0"/>
  </r>
  <r>
    <x v="9"/>
    <n v="35"/>
    <n v="60000"/>
    <x v="1"/>
    <x v="2"/>
    <s v="Director"/>
    <d v="2019-12-01T00:00:00"/>
    <x v="0"/>
    <s v="user@domain.com"/>
    <s v="Phone not provided"/>
    <n v="6"/>
    <s v="Medium"/>
    <x v="0"/>
  </r>
  <r>
    <x v="3"/>
    <n v="30"/>
    <n v="65000"/>
    <x v="2"/>
    <x v="2"/>
    <s v="Manager"/>
    <d v="2018-04-05T00:00:00"/>
    <x v="0"/>
    <s v="Email not provided"/>
    <s v="555-555-5555"/>
    <n v="7"/>
    <s v="High"/>
    <x v="0"/>
  </r>
  <r>
    <x v="6"/>
    <n v="35"/>
    <n v="65000"/>
    <x v="1"/>
    <x v="3"/>
    <s v="Clerk"/>
    <d v="2018-04-05T00:00:00"/>
    <x v="1"/>
    <s v="email@example.com"/>
    <s v="Phone not provided"/>
    <n v="7"/>
    <s v="High"/>
    <x v="1"/>
  </r>
  <r>
    <x v="1"/>
    <n v="35"/>
    <n v="65000"/>
    <x v="1"/>
    <x v="1"/>
    <s v="Analyst"/>
    <d v="2020-02-20T00:00:00"/>
    <x v="2"/>
    <s v="user@domain.com"/>
    <s v="123-456-7890"/>
    <n v="5"/>
    <s v="High"/>
    <x v="2"/>
  </r>
  <r>
    <x v="4"/>
    <n v="40"/>
    <n v="50000"/>
    <x v="0"/>
    <x v="0"/>
    <s v="Clerk"/>
    <d v="2020-02-20T00:00:00"/>
    <x v="4"/>
    <s v="Email not provided"/>
    <s v="123-456-7890"/>
    <n v="5"/>
    <s v="Low"/>
    <x v="4"/>
  </r>
  <r>
    <x v="7"/>
    <n v="40"/>
    <n v="65000"/>
    <x v="0"/>
    <x v="4"/>
    <s v="Director"/>
    <d v="2020-01-15T00:00:00"/>
    <x v="2"/>
    <s v="user@domain.com"/>
    <s v="Phone not provided"/>
    <n v="6"/>
    <s v="High"/>
    <x v="2"/>
  </r>
  <r>
    <x v="2"/>
    <n v="50"/>
    <n v="50000"/>
    <x v="2"/>
    <x v="2"/>
    <s v="Assistant"/>
    <d v="2019-03-25T00:00:00"/>
    <x v="1"/>
    <s v="name@company.org"/>
    <s v="Phone not provided"/>
    <n v="6"/>
    <s v="Low"/>
    <x v="1"/>
  </r>
  <r>
    <x v="6"/>
    <n v="25"/>
    <n v="65000"/>
    <x v="0"/>
    <x v="2"/>
    <s v="Analyst"/>
    <d v="2020-02-20T00:00:00"/>
    <x v="0"/>
    <s v="user@domain.com"/>
    <s v="Phone not provided"/>
    <n v="5"/>
    <s v="High"/>
    <x v="0"/>
  </r>
  <r>
    <x v="3"/>
    <n v="35"/>
    <n v="70000"/>
    <x v="0"/>
    <x v="1"/>
    <s v="Manager"/>
    <d v="2019-03-25T00:00:00"/>
    <x v="4"/>
    <s v="user@domain.com"/>
    <s v="098-765-4321"/>
    <n v="6"/>
    <s v="High"/>
    <x v="4"/>
  </r>
  <r>
    <x v="9"/>
    <n v="25"/>
    <n v="60000"/>
    <x v="1"/>
    <x v="1"/>
    <s v="Analyst"/>
    <d v="2020-02-20T00:00:00"/>
    <x v="3"/>
    <s v="Email not provided"/>
    <s v="098-765-4321"/>
    <n v="5"/>
    <s v="Medium"/>
    <x v="3"/>
  </r>
  <r>
    <x v="8"/>
    <n v="50"/>
    <n v="65000"/>
    <x v="0"/>
    <x v="3"/>
    <s v="Manager"/>
    <d v="2019-12-01T00:00:00"/>
    <x v="3"/>
    <s v="name@company.org"/>
    <s v="Phone not provided"/>
    <n v="6"/>
    <s v="High"/>
    <x v="3"/>
  </r>
  <r>
    <x v="3"/>
    <n v="40"/>
    <n v="55000"/>
    <x v="2"/>
    <x v="3"/>
    <s v="Analyst"/>
    <d v="2019-12-01T00:00:00"/>
    <x v="2"/>
    <s v="email@example.com"/>
    <s v="123-456-7890"/>
    <n v="6"/>
    <s v="Low"/>
    <x v="2"/>
  </r>
  <r>
    <x v="6"/>
    <n v="30"/>
    <n v="60000"/>
    <x v="1"/>
    <x v="2"/>
    <s v="Manager"/>
    <d v="2020-01-15T00:00:00"/>
    <x v="0"/>
    <s v="user@domain.com"/>
    <s v="098-765-4321"/>
    <n v="6"/>
    <s v="Medium"/>
    <x v="0"/>
  </r>
  <r>
    <x v="3"/>
    <n v="40"/>
    <n v="60000"/>
    <x v="2"/>
    <x v="1"/>
    <s v="Manager"/>
    <d v="2020-01-15T00:00:00"/>
    <x v="3"/>
    <s v="email@example.com"/>
    <s v="555-555-5555"/>
    <n v="6"/>
    <s v="Medium"/>
    <x v="3"/>
  </r>
  <r>
    <x v="6"/>
    <n v="35"/>
    <n v="65000"/>
    <x v="1"/>
    <x v="0"/>
    <s v="Analyst"/>
    <d v="2019-03-25T00:00:00"/>
    <x v="2"/>
    <s v="name@company.org"/>
    <s v="123-456-7890"/>
    <n v="6"/>
    <s v="High"/>
    <x v="2"/>
  </r>
  <r>
    <x v="6"/>
    <n v="40"/>
    <n v="60000"/>
    <x v="0"/>
    <x v="4"/>
    <s v="Analyst"/>
    <d v="2020-02-20T00:00:00"/>
    <x v="1"/>
    <s v="user@domain.com"/>
    <s v="555-555-5555"/>
    <n v="5"/>
    <s v="Medium"/>
    <x v="1"/>
  </r>
  <r>
    <x v="0"/>
    <n v="35"/>
    <n v="65000"/>
    <x v="1"/>
    <x v="1"/>
    <s v="Manager"/>
    <d v="2018-04-05T00:00:00"/>
    <x v="2"/>
    <s v="Email not provided"/>
    <s v="Phone not provided"/>
    <n v="7"/>
    <s v="High"/>
    <x v="2"/>
  </r>
  <r>
    <x v="1"/>
    <n v="35"/>
    <n v="60000"/>
    <x v="1"/>
    <x v="1"/>
    <s v="Director"/>
    <d v="2020-01-15T00:00:00"/>
    <x v="2"/>
    <s v="Email not provided"/>
    <s v="123-456-7890"/>
    <n v="6"/>
    <s v="Medium"/>
    <x v="2"/>
  </r>
  <r>
    <x v="2"/>
    <n v="35"/>
    <n v="55000"/>
    <x v="0"/>
    <x v="3"/>
    <s v="Analyst"/>
    <d v="2018-04-05T00:00:00"/>
    <x v="2"/>
    <s v="Email not provided"/>
    <s v="Phone not provided"/>
    <n v="7"/>
    <s v="Low"/>
    <x v="2"/>
  </r>
  <r>
    <x v="0"/>
    <n v="50"/>
    <n v="60000"/>
    <x v="0"/>
    <x v="4"/>
    <s v="Clerk"/>
    <d v="2018-04-05T00:00:00"/>
    <x v="4"/>
    <s v="Email not provided"/>
    <s v="Phone not provided"/>
    <n v="7"/>
    <s v="Medium"/>
    <x v="4"/>
  </r>
  <r>
    <x v="9"/>
    <n v="35"/>
    <n v="55000"/>
    <x v="2"/>
    <x v="2"/>
    <s v="Assistant"/>
    <d v="2020-02-20T00:00:00"/>
    <x v="2"/>
    <s v="Email not provided"/>
    <s v="Phone not provided"/>
    <n v="5"/>
    <s v="Low"/>
    <x v="2"/>
  </r>
  <r>
    <x v="0"/>
    <n v="35"/>
    <n v="50000"/>
    <x v="2"/>
    <x v="1"/>
    <s v="Manager"/>
    <d v="2019-03-25T00:00:00"/>
    <x v="2"/>
    <s v="Email not provided"/>
    <s v="555-555-5555"/>
    <n v="6"/>
    <s v="Low"/>
    <x v="2"/>
  </r>
  <r>
    <x v="5"/>
    <n v="30"/>
    <n v="70000"/>
    <x v="0"/>
    <x v="2"/>
    <s v="Manager"/>
    <d v="2020-02-20T00:00:00"/>
    <x v="4"/>
    <s v="Email not provided"/>
    <s v="Phone not provided"/>
    <n v="5"/>
    <s v="High"/>
    <x v="4"/>
  </r>
  <r>
    <x v="5"/>
    <n v="25"/>
    <n v="60000"/>
    <x v="0"/>
    <x v="1"/>
    <s v="Assistant"/>
    <d v="2020-01-15T00:00:00"/>
    <x v="4"/>
    <s v="user@domain.com"/>
    <s v="098-765-4321"/>
    <n v="6"/>
    <s v="Medium"/>
    <x v="4"/>
  </r>
  <r>
    <x v="2"/>
    <n v="35"/>
    <n v="65000"/>
    <x v="0"/>
    <x v="2"/>
    <s v="Director"/>
    <d v="2018-04-05T00:00:00"/>
    <x v="1"/>
    <s v="email@example.com"/>
    <s v="123-456-7890"/>
    <n v="7"/>
    <s v="High"/>
    <x v="1"/>
  </r>
  <r>
    <x v="3"/>
    <n v="25"/>
    <n v="50000"/>
    <x v="1"/>
    <x v="4"/>
    <s v="Assistant"/>
    <d v="2020-02-20T00:00:00"/>
    <x v="0"/>
    <s v="email@example.com"/>
    <s v="098-765-4321"/>
    <n v="5"/>
    <s v="Low"/>
    <x v="0"/>
  </r>
  <r>
    <x v="1"/>
    <n v="35"/>
    <n v="70000"/>
    <x v="1"/>
    <x v="3"/>
    <s v="Analyst"/>
    <d v="2020-02-20T00:00:00"/>
    <x v="3"/>
    <s v="Email not provided"/>
    <s v="555-555-5555"/>
    <n v="5"/>
    <s v="High"/>
    <x v="3"/>
  </r>
  <r>
    <x v="2"/>
    <n v="30"/>
    <n v="65000"/>
    <x v="1"/>
    <x v="4"/>
    <s v="Assistant"/>
    <d v="2020-02-20T00:00:00"/>
    <x v="3"/>
    <s v="Email not provided"/>
    <s v="555-555-5555"/>
    <n v="5"/>
    <s v="High"/>
    <x v="3"/>
  </r>
  <r>
    <x v="6"/>
    <n v="40"/>
    <n v="60000"/>
    <x v="0"/>
    <x v="0"/>
    <s v="Manager"/>
    <d v="2020-01-15T00:00:00"/>
    <x v="2"/>
    <s v="name@company.org"/>
    <s v="123-456-7890"/>
    <n v="6"/>
    <s v="Medium"/>
    <x v="2"/>
  </r>
  <r>
    <x v="7"/>
    <n v="30"/>
    <n v="65000"/>
    <x v="2"/>
    <x v="3"/>
    <s v="Assistant"/>
    <d v="2019-03-25T00:00:00"/>
    <x v="1"/>
    <s v="Email not provided"/>
    <s v="Phone not provided"/>
    <n v="6"/>
    <s v="High"/>
    <x v="1"/>
  </r>
  <r>
    <x v="1"/>
    <n v="35"/>
    <n v="55000"/>
    <x v="0"/>
    <x v="4"/>
    <s v="Clerk"/>
    <d v="2020-02-20T00:00:00"/>
    <x v="2"/>
    <s v="Email not provided"/>
    <s v="Phone not provided"/>
    <n v="5"/>
    <s v="Low"/>
    <x v="2"/>
  </r>
  <r>
    <x v="1"/>
    <n v="30"/>
    <n v="55000"/>
    <x v="1"/>
    <x v="0"/>
    <s v="Analyst"/>
    <d v="2020-01-15T00:00:00"/>
    <x v="3"/>
    <s v="Email not provided"/>
    <s v="555-555-5555"/>
    <n v="6"/>
    <s v="Low"/>
    <x v="3"/>
  </r>
  <r>
    <x v="6"/>
    <n v="30"/>
    <n v="60000"/>
    <x v="1"/>
    <x v="1"/>
    <s v="Assistant"/>
    <d v="2018-04-05T00:00:00"/>
    <x v="4"/>
    <s v="user@domain.com"/>
    <s v="123-456-7890"/>
    <n v="7"/>
    <s v="Medium"/>
    <x v="4"/>
  </r>
  <r>
    <x v="6"/>
    <n v="35"/>
    <n v="50000"/>
    <x v="0"/>
    <x v="1"/>
    <s v="Manager"/>
    <d v="2019-12-01T00:00:00"/>
    <x v="0"/>
    <s v="user@domain.com"/>
    <s v="Phone not provided"/>
    <n v="6"/>
    <s v="Low"/>
    <x v="0"/>
  </r>
  <r>
    <x v="8"/>
    <n v="50"/>
    <n v="70000"/>
    <x v="0"/>
    <x v="2"/>
    <s v="Analyst"/>
    <d v="2020-01-15T00:00:00"/>
    <x v="1"/>
    <s v="email@example.com"/>
    <s v="Phone not provided"/>
    <n v="6"/>
    <s v="High"/>
    <x v="1"/>
  </r>
  <r>
    <x v="2"/>
    <n v="30"/>
    <n v="65000"/>
    <x v="1"/>
    <x v="3"/>
    <s v="Manager"/>
    <d v="2019-12-01T00:00:00"/>
    <x v="4"/>
    <s v="email@example.com"/>
    <s v="555-555-5555"/>
    <n v="6"/>
    <s v="High"/>
    <x v="4"/>
  </r>
  <r>
    <x v="6"/>
    <n v="35"/>
    <n v="55000"/>
    <x v="1"/>
    <x v="1"/>
    <s v="Director"/>
    <d v="2020-02-20T00:00:00"/>
    <x v="0"/>
    <s v="name@company.org"/>
    <s v="123-456-7890"/>
    <n v="5"/>
    <s v="Low"/>
    <x v="0"/>
  </r>
  <r>
    <x v="5"/>
    <n v="35"/>
    <n v="50000"/>
    <x v="1"/>
    <x v="3"/>
    <s v="Clerk"/>
    <d v="2020-02-20T00:00:00"/>
    <x v="1"/>
    <s v="name@company.org"/>
    <s v="123-456-7890"/>
    <n v="5"/>
    <s v="Low"/>
    <x v="1"/>
  </r>
  <r>
    <x v="9"/>
    <n v="30"/>
    <n v="60000"/>
    <x v="0"/>
    <x v="1"/>
    <s v="Director"/>
    <d v="2020-01-15T00:00:00"/>
    <x v="1"/>
    <s v="name@company.org"/>
    <s v="123-456-7890"/>
    <n v="6"/>
    <s v="Medium"/>
    <x v="1"/>
  </r>
  <r>
    <x v="7"/>
    <n v="50"/>
    <n v="60000"/>
    <x v="1"/>
    <x v="2"/>
    <s v="Clerk"/>
    <d v="2019-12-01T00:00:00"/>
    <x v="3"/>
    <s v="name@company.org"/>
    <s v="555-555-5555"/>
    <n v="6"/>
    <s v="Medium"/>
    <x v="3"/>
  </r>
  <r>
    <x v="2"/>
    <n v="40"/>
    <n v="55000"/>
    <x v="1"/>
    <x v="4"/>
    <s v="Assistant"/>
    <d v="2020-02-20T00:00:00"/>
    <x v="4"/>
    <s v="Email not provided"/>
    <s v="Phone not provided"/>
    <n v="5"/>
    <s v="Low"/>
    <x v="4"/>
  </r>
  <r>
    <x v="4"/>
    <n v="35"/>
    <n v="60000"/>
    <x v="2"/>
    <x v="2"/>
    <s v="Analyst"/>
    <d v="2018-04-05T00:00:00"/>
    <x v="1"/>
    <s v="Email not provided"/>
    <s v="123-456-7890"/>
    <n v="7"/>
    <s v="Medium"/>
    <x v="1"/>
  </r>
  <r>
    <x v="5"/>
    <n v="35"/>
    <n v="65000"/>
    <x v="0"/>
    <x v="0"/>
    <s v="Assistant"/>
    <d v="2019-03-25T00:00:00"/>
    <x v="1"/>
    <s v="email@example.com"/>
    <s v="Phone not provided"/>
    <n v="6"/>
    <s v="High"/>
    <x v="1"/>
  </r>
  <r>
    <x v="3"/>
    <n v="40"/>
    <n v="70000"/>
    <x v="2"/>
    <x v="1"/>
    <s v="Clerk"/>
    <d v="2019-03-25T00:00:00"/>
    <x v="0"/>
    <s v="user@domain.com"/>
    <s v="123-456-7890"/>
    <n v="6"/>
    <s v="High"/>
    <x v="0"/>
  </r>
  <r>
    <x v="6"/>
    <n v="30"/>
    <n v="55000"/>
    <x v="2"/>
    <x v="0"/>
    <s v="Clerk"/>
    <d v="2020-02-20T00:00:00"/>
    <x v="3"/>
    <s v="user@domain.com"/>
    <s v="Phone not provided"/>
    <n v="5"/>
    <s v="Low"/>
    <x v="3"/>
  </r>
  <r>
    <x v="4"/>
    <n v="40"/>
    <n v="55000"/>
    <x v="1"/>
    <x v="0"/>
    <s v="Clerk"/>
    <d v="2019-12-01T00:00:00"/>
    <x v="2"/>
    <s v="Email not provided"/>
    <s v="555-555-5555"/>
    <n v="6"/>
    <s v="Low"/>
    <x v="2"/>
  </r>
  <r>
    <x v="6"/>
    <n v="25"/>
    <n v="65000"/>
    <x v="0"/>
    <x v="3"/>
    <s v="Manager"/>
    <d v="2020-02-20T00:00:00"/>
    <x v="3"/>
    <s v="Email not provided"/>
    <s v="123-456-7890"/>
    <n v="5"/>
    <s v="High"/>
    <x v="3"/>
  </r>
  <r>
    <x v="1"/>
    <n v="35"/>
    <n v="60000"/>
    <x v="1"/>
    <x v="1"/>
    <s v="Analyst"/>
    <d v="2019-12-01T00:00:00"/>
    <x v="2"/>
    <s v="name@company.org"/>
    <s v="123-456-7890"/>
    <n v="6"/>
    <s v="Medium"/>
    <x v="2"/>
  </r>
  <r>
    <x v="5"/>
    <n v="30"/>
    <n v="50000"/>
    <x v="0"/>
    <x v="0"/>
    <s v="Assistant"/>
    <d v="2018-04-05T00:00:00"/>
    <x v="4"/>
    <s v="name@company.org"/>
    <s v="Phone not provided"/>
    <n v="7"/>
    <s v="Low"/>
    <x v="4"/>
  </r>
  <r>
    <x v="1"/>
    <n v="35"/>
    <n v="70000"/>
    <x v="2"/>
    <x v="4"/>
    <s v="Assistant"/>
    <d v="2019-12-01T00:00:00"/>
    <x v="4"/>
    <s v="Email not provided"/>
    <s v="Phone not provided"/>
    <n v="6"/>
    <s v="High"/>
    <x v="4"/>
  </r>
  <r>
    <x v="8"/>
    <n v="50"/>
    <n v="55000"/>
    <x v="0"/>
    <x v="0"/>
    <s v="Director"/>
    <d v="2020-02-20T00:00:00"/>
    <x v="1"/>
    <s v="user@domain.com"/>
    <s v="123-456-7890"/>
    <n v="5"/>
    <s v="Low"/>
    <x v="1"/>
  </r>
  <r>
    <x v="1"/>
    <n v="30"/>
    <n v="70000"/>
    <x v="1"/>
    <x v="4"/>
    <s v="Clerk"/>
    <d v="2018-04-05T00:00:00"/>
    <x v="4"/>
    <s v="name@company.org"/>
    <s v="123-456-7890"/>
    <n v="7"/>
    <s v="High"/>
    <x v="4"/>
  </r>
  <r>
    <x v="8"/>
    <n v="35"/>
    <n v="55000"/>
    <x v="1"/>
    <x v="3"/>
    <s v="Clerk"/>
    <d v="2020-01-15T00:00:00"/>
    <x v="1"/>
    <s v="user@domain.com"/>
    <s v="Phone not provided"/>
    <n v="6"/>
    <s v="Low"/>
    <x v="1"/>
  </r>
  <r>
    <x v="8"/>
    <n v="50"/>
    <n v="70000"/>
    <x v="1"/>
    <x v="0"/>
    <s v="Clerk"/>
    <d v="2019-03-25T00:00:00"/>
    <x v="3"/>
    <s v="Email not provided"/>
    <s v="Phone not provided"/>
    <n v="6"/>
    <s v="High"/>
    <x v="3"/>
  </r>
  <r>
    <x v="4"/>
    <n v="50"/>
    <n v="60000"/>
    <x v="0"/>
    <x v="2"/>
    <s v="Assistant"/>
    <d v="2020-02-20T00:00:00"/>
    <x v="4"/>
    <s v="user@domain.com"/>
    <s v="098-765-4321"/>
    <n v="5"/>
    <s v="Medium"/>
    <x v="4"/>
  </r>
  <r>
    <x v="6"/>
    <n v="30"/>
    <n v="55000"/>
    <x v="2"/>
    <x v="3"/>
    <s v="Director"/>
    <d v="2020-02-20T00:00:00"/>
    <x v="3"/>
    <s v="user@domain.com"/>
    <s v="098-765-4321"/>
    <n v="5"/>
    <s v="Low"/>
    <x v="3"/>
  </r>
  <r>
    <x v="3"/>
    <n v="40"/>
    <n v="70000"/>
    <x v="2"/>
    <x v="4"/>
    <s v="Manager"/>
    <d v="2020-02-20T00:00:00"/>
    <x v="3"/>
    <s v="user@domain.com"/>
    <s v="123-456-7890"/>
    <n v="5"/>
    <s v="High"/>
    <x v="3"/>
  </r>
  <r>
    <x v="1"/>
    <n v="40"/>
    <n v="50000"/>
    <x v="0"/>
    <x v="3"/>
    <s v="Analyst"/>
    <d v="2018-04-05T00:00:00"/>
    <x v="4"/>
    <s v="name@company.org"/>
    <s v="Phone not provided"/>
    <n v="7"/>
    <s v="Low"/>
    <x v="4"/>
  </r>
  <r>
    <x v="5"/>
    <n v="50"/>
    <n v="60000"/>
    <x v="1"/>
    <x v="0"/>
    <s v="Manager"/>
    <d v="2020-01-15T00:00:00"/>
    <x v="3"/>
    <s v="email@example.com"/>
    <s v="555-555-5555"/>
    <n v="6"/>
    <s v="Medium"/>
    <x v="3"/>
  </r>
  <r>
    <x v="8"/>
    <n v="40"/>
    <n v="60000"/>
    <x v="2"/>
    <x v="1"/>
    <s v="Assistant"/>
    <d v="2019-12-01T00:00:00"/>
    <x v="4"/>
    <s v="Email not provided"/>
    <s v="555-555-5555"/>
    <n v="6"/>
    <s v="Medium"/>
    <x v="4"/>
  </r>
  <r>
    <x v="6"/>
    <n v="25"/>
    <n v="50000"/>
    <x v="1"/>
    <x v="1"/>
    <s v="Clerk"/>
    <d v="2020-01-15T00:00:00"/>
    <x v="4"/>
    <s v="user@domain.com"/>
    <s v="098-765-4321"/>
    <n v="6"/>
    <s v="Low"/>
    <x v="4"/>
  </r>
  <r>
    <x v="7"/>
    <n v="50"/>
    <n v="70000"/>
    <x v="0"/>
    <x v="4"/>
    <s v="Analyst"/>
    <d v="2018-04-05T00:00:00"/>
    <x v="4"/>
    <s v="user@domain.com"/>
    <s v="Phone not provided"/>
    <n v="7"/>
    <s v="High"/>
    <x v="4"/>
  </r>
  <r>
    <x v="2"/>
    <n v="50"/>
    <n v="65000"/>
    <x v="1"/>
    <x v="4"/>
    <s v="Assistant"/>
    <d v="2020-02-20T00:00:00"/>
    <x v="2"/>
    <s v="user@domain.com"/>
    <s v="098-765-4321"/>
    <n v="5"/>
    <s v="High"/>
    <x v="2"/>
  </r>
  <r>
    <x v="4"/>
    <n v="35"/>
    <n v="50000"/>
    <x v="2"/>
    <x v="1"/>
    <s v="Assistant"/>
    <d v="2019-03-25T00:00:00"/>
    <x v="3"/>
    <s v="email@example.com"/>
    <s v="123-456-7890"/>
    <n v="6"/>
    <s v="Low"/>
    <x v="3"/>
  </r>
  <r>
    <x v="3"/>
    <n v="40"/>
    <n v="70000"/>
    <x v="2"/>
    <x v="4"/>
    <s v="Assistant"/>
    <d v="2020-02-20T00:00:00"/>
    <x v="0"/>
    <s v="Email not provided"/>
    <s v="Phone not provided"/>
    <n v="5"/>
    <s v="High"/>
    <x v="0"/>
  </r>
  <r>
    <x v="0"/>
    <n v="50"/>
    <n v="50000"/>
    <x v="1"/>
    <x v="3"/>
    <s v="Analyst"/>
    <d v="2019-12-01T00:00:00"/>
    <x v="4"/>
    <s v="name@company.org"/>
    <s v="555-555-5555"/>
    <n v="6"/>
    <s v="Low"/>
    <x v="4"/>
  </r>
  <r>
    <x v="4"/>
    <n v="25"/>
    <n v="50000"/>
    <x v="0"/>
    <x v="2"/>
    <s v="Analyst"/>
    <d v="2019-03-25T00:00:00"/>
    <x v="3"/>
    <s v="email@example.com"/>
    <s v="Phone not provided"/>
    <n v="6"/>
    <s v="Low"/>
    <x v="3"/>
  </r>
  <r>
    <x v="7"/>
    <n v="35"/>
    <n v="55000"/>
    <x v="1"/>
    <x v="2"/>
    <s v="Director"/>
    <d v="2020-02-20T00:00:00"/>
    <x v="1"/>
    <s v="user@domain.com"/>
    <s v="Phone not provided"/>
    <n v="5"/>
    <s v="Low"/>
    <x v="1"/>
  </r>
  <r>
    <x v="2"/>
    <n v="30"/>
    <n v="70000"/>
    <x v="0"/>
    <x v="3"/>
    <s v="Director"/>
    <d v="2019-03-25T00:00:00"/>
    <x v="4"/>
    <s v="email@example.com"/>
    <s v="123-456-7890"/>
    <n v="6"/>
    <s v="High"/>
    <x v="4"/>
  </r>
  <r>
    <x v="7"/>
    <n v="50"/>
    <n v="65000"/>
    <x v="1"/>
    <x v="2"/>
    <s v="Manager"/>
    <d v="2020-01-15T00:00:00"/>
    <x v="4"/>
    <s v="email@example.com"/>
    <s v="098-765-4321"/>
    <n v="6"/>
    <s v="High"/>
    <x v="4"/>
  </r>
  <r>
    <x v="1"/>
    <n v="25"/>
    <n v="55000"/>
    <x v="2"/>
    <x v="0"/>
    <s v="Analyst"/>
    <d v="2018-04-05T00:00:00"/>
    <x v="0"/>
    <s v="email@example.com"/>
    <s v="123-456-7890"/>
    <n v="7"/>
    <s v="Low"/>
    <x v="0"/>
  </r>
  <r>
    <x v="8"/>
    <n v="35"/>
    <n v="50000"/>
    <x v="0"/>
    <x v="3"/>
    <s v="Analyst"/>
    <d v="2020-02-20T00:00:00"/>
    <x v="2"/>
    <s v="Email not provided"/>
    <s v="Phone not provided"/>
    <n v="5"/>
    <s v="Low"/>
    <x v="2"/>
  </r>
  <r>
    <x v="3"/>
    <n v="25"/>
    <n v="60000"/>
    <x v="0"/>
    <x v="4"/>
    <s v="Analyst"/>
    <d v="2019-12-01T00:00:00"/>
    <x v="2"/>
    <s v="Email not provided"/>
    <s v="555-555-5555"/>
    <n v="6"/>
    <s v="Medium"/>
    <x v="2"/>
  </r>
  <r>
    <x v="9"/>
    <n v="25"/>
    <n v="50000"/>
    <x v="0"/>
    <x v="3"/>
    <s v="Director"/>
    <d v="2020-01-15T00:00:00"/>
    <x v="4"/>
    <s v="name@company.org"/>
    <s v="Phone not provided"/>
    <n v="6"/>
    <s v="Low"/>
    <x v="4"/>
  </r>
  <r>
    <x v="8"/>
    <n v="35"/>
    <n v="50000"/>
    <x v="2"/>
    <x v="1"/>
    <s v="Assistant"/>
    <d v="2020-02-20T00:00:00"/>
    <x v="3"/>
    <s v="Email not provided"/>
    <s v="Phone not provided"/>
    <n v="5"/>
    <s v="Low"/>
    <x v="3"/>
  </r>
  <r>
    <x v="9"/>
    <n v="30"/>
    <n v="70000"/>
    <x v="1"/>
    <x v="4"/>
    <s v="Clerk"/>
    <d v="2020-01-15T00:00:00"/>
    <x v="1"/>
    <s v="Email not provided"/>
    <s v="Phone not provided"/>
    <n v="6"/>
    <s v="High"/>
    <x v="1"/>
  </r>
  <r>
    <x v="2"/>
    <n v="35"/>
    <n v="70000"/>
    <x v="2"/>
    <x v="1"/>
    <s v="Director"/>
    <d v="2019-12-01T00:00:00"/>
    <x v="1"/>
    <s v="Email not provided"/>
    <s v="Phone not provided"/>
    <n v="6"/>
    <s v="High"/>
    <x v="1"/>
  </r>
  <r>
    <x v="6"/>
    <n v="40"/>
    <n v="55000"/>
    <x v="0"/>
    <x v="4"/>
    <s v="Analyst"/>
    <d v="2020-02-20T00:00:00"/>
    <x v="3"/>
    <s v="Email not provided"/>
    <s v="Phone not provided"/>
    <n v="5"/>
    <s v="Low"/>
    <x v="3"/>
  </r>
  <r>
    <x v="0"/>
    <n v="40"/>
    <n v="65000"/>
    <x v="1"/>
    <x v="2"/>
    <s v="Director"/>
    <d v="2019-12-01T00:00:00"/>
    <x v="4"/>
    <s v="email@example.com"/>
    <s v="098-765-4321"/>
    <n v="6"/>
    <s v="High"/>
    <x v="4"/>
  </r>
  <r>
    <x v="5"/>
    <n v="25"/>
    <n v="55000"/>
    <x v="2"/>
    <x v="3"/>
    <s v="Manager"/>
    <d v="2019-03-25T00:00:00"/>
    <x v="1"/>
    <s v="email@example.com"/>
    <s v="Phone not provided"/>
    <n v="6"/>
    <s v="Low"/>
    <x v="1"/>
  </r>
  <r>
    <x v="8"/>
    <n v="35"/>
    <n v="60000"/>
    <x v="0"/>
    <x v="0"/>
    <s v="Analyst"/>
    <d v="2019-12-01T00:00:00"/>
    <x v="2"/>
    <s v="user@domain.com"/>
    <s v="123-456-7890"/>
    <n v="6"/>
    <s v="Medium"/>
    <x v="2"/>
  </r>
  <r>
    <x v="3"/>
    <n v="35"/>
    <n v="50000"/>
    <x v="0"/>
    <x v="4"/>
    <s v="Manager"/>
    <d v="2019-03-25T00:00:00"/>
    <x v="3"/>
    <s v="Email not provided"/>
    <s v="Phone not provided"/>
    <n v="6"/>
    <s v="Low"/>
    <x v="3"/>
  </r>
  <r>
    <x v="7"/>
    <n v="40"/>
    <n v="60000"/>
    <x v="2"/>
    <x v="4"/>
    <s v="Analyst"/>
    <d v="2020-02-20T00:00:00"/>
    <x v="0"/>
    <s v="user@domain.com"/>
    <s v="123-456-7890"/>
    <n v="5"/>
    <s v="Medium"/>
    <x v="0"/>
  </r>
  <r>
    <x v="3"/>
    <n v="35"/>
    <n v="50000"/>
    <x v="2"/>
    <x v="1"/>
    <s v="Director"/>
    <d v="2019-03-25T00:00:00"/>
    <x v="4"/>
    <s v="name@company.org"/>
    <s v="Phone not provided"/>
    <n v="6"/>
    <s v="Low"/>
    <x v="4"/>
  </r>
  <r>
    <x v="2"/>
    <n v="30"/>
    <n v="50000"/>
    <x v="2"/>
    <x v="2"/>
    <s v="Assistant"/>
    <d v="2020-02-20T00:00:00"/>
    <x v="3"/>
    <s v="email@example.com"/>
    <s v="Phone not provided"/>
    <n v="5"/>
    <s v="Low"/>
    <x v="3"/>
  </r>
  <r>
    <x v="9"/>
    <n v="35"/>
    <n v="55000"/>
    <x v="0"/>
    <x v="1"/>
    <s v="Clerk"/>
    <d v="2020-02-20T00:00:00"/>
    <x v="1"/>
    <s v="name@company.org"/>
    <s v="Phone not provided"/>
    <n v="5"/>
    <s v="Low"/>
    <x v="1"/>
  </r>
  <r>
    <x v="7"/>
    <n v="50"/>
    <n v="60000"/>
    <x v="2"/>
    <x v="1"/>
    <s v="Manager"/>
    <d v="2018-04-05T00:00:00"/>
    <x v="4"/>
    <s v="Email not provided"/>
    <s v="Phone not provided"/>
    <n v="7"/>
    <s v="Medium"/>
    <x v="4"/>
  </r>
  <r>
    <x v="5"/>
    <n v="50"/>
    <n v="60000"/>
    <x v="0"/>
    <x v="2"/>
    <s v="Director"/>
    <d v="2020-02-20T00:00:00"/>
    <x v="2"/>
    <s v="email@example.com"/>
    <s v="098-765-4321"/>
    <n v="5"/>
    <s v="Medium"/>
    <x v="2"/>
  </r>
  <r>
    <x v="5"/>
    <n v="30"/>
    <n v="60000"/>
    <x v="2"/>
    <x v="0"/>
    <s v="Assistant"/>
    <d v="2019-03-25T00:00:00"/>
    <x v="4"/>
    <s v="name@company.org"/>
    <s v="Phone not provided"/>
    <n v="6"/>
    <s v="Medium"/>
    <x v="4"/>
  </r>
  <r>
    <x v="8"/>
    <n v="40"/>
    <n v="55000"/>
    <x v="0"/>
    <x v="1"/>
    <s v="Director"/>
    <d v="2018-04-05T00:00:00"/>
    <x v="4"/>
    <s v="Email not provided"/>
    <s v="123-456-7890"/>
    <n v="7"/>
    <s v="Low"/>
    <x v="4"/>
  </r>
  <r>
    <x v="2"/>
    <n v="30"/>
    <n v="50000"/>
    <x v="0"/>
    <x v="1"/>
    <s v="Manager"/>
    <d v="2018-04-05T00:00:00"/>
    <x v="2"/>
    <s v="name@company.org"/>
    <s v="123-456-7890"/>
    <n v="7"/>
    <s v="Low"/>
    <x v="2"/>
  </r>
  <r>
    <x v="6"/>
    <n v="35"/>
    <n v="55000"/>
    <x v="1"/>
    <x v="4"/>
    <s v="Clerk"/>
    <d v="2020-02-20T00:00:00"/>
    <x v="2"/>
    <s v="Email not provided"/>
    <s v="Phone not provided"/>
    <n v="5"/>
    <s v="Low"/>
    <x v="2"/>
  </r>
  <r>
    <x v="2"/>
    <n v="50"/>
    <n v="70000"/>
    <x v="2"/>
    <x v="2"/>
    <s v="Director"/>
    <d v="2019-12-01T00:00:00"/>
    <x v="4"/>
    <s v="Email not provided"/>
    <s v="098-765-4321"/>
    <n v="6"/>
    <s v="High"/>
    <x v="4"/>
  </r>
  <r>
    <x v="9"/>
    <n v="25"/>
    <n v="70000"/>
    <x v="2"/>
    <x v="3"/>
    <s v="Analyst"/>
    <d v="2019-12-01T00:00:00"/>
    <x v="2"/>
    <s v="email@example.com"/>
    <s v="098-765-4321"/>
    <n v="6"/>
    <s v="High"/>
    <x v="2"/>
  </r>
  <r>
    <x v="3"/>
    <n v="25"/>
    <n v="55000"/>
    <x v="0"/>
    <x v="0"/>
    <s v="Assistant"/>
    <d v="2018-04-05T00:00:00"/>
    <x v="3"/>
    <s v="user@domain.com"/>
    <s v="098-765-4321"/>
    <n v="7"/>
    <s v="Low"/>
    <x v="3"/>
  </r>
  <r>
    <x v="5"/>
    <n v="40"/>
    <n v="60000"/>
    <x v="0"/>
    <x v="0"/>
    <s v="Director"/>
    <d v="2020-02-20T00:00:00"/>
    <x v="2"/>
    <s v="Email not provided"/>
    <s v="123-456-7890"/>
    <n v="5"/>
    <s v="Medium"/>
    <x v="2"/>
  </r>
  <r>
    <x v="3"/>
    <n v="35"/>
    <n v="50000"/>
    <x v="0"/>
    <x v="2"/>
    <s v="Assistant"/>
    <d v="2019-12-01T00:00:00"/>
    <x v="2"/>
    <s v="Email not provided"/>
    <s v="Phone not provided"/>
    <n v="6"/>
    <s v="Low"/>
    <x v="2"/>
  </r>
  <r>
    <x v="3"/>
    <n v="35"/>
    <n v="55000"/>
    <x v="1"/>
    <x v="4"/>
    <s v="Analyst"/>
    <d v="2020-02-20T00:00:00"/>
    <x v="4"/>
    <s v="email@example.com"/>
    <s v="098-765-4321"/>
    <n v="5"/>
    <s v="Low"/>
    <x v="4"/>
  </r>
  <r>
    <x v="3"/>
    <n v="35"/>
    <n v="55000"/>
    <x v="1"/>
    <x v="4"/>
    <s v="Clerk"/>
    <d v="2020-02-20T00:00:00"/>
    <x v="3"/>
    <s v="user@domain.com"/>
    <s v="123-456-7890"/>
    <n v="5"/>
    <s v="Low"/>
    <x v="3"/>
  </r>
  <r>
    <x v="5"/>
    <n v="25"/>
    <n v="55000"/>
    <x v="0"/>
    <x v="2"/>
    <s v="Clerk"/>
    <d v="2018-04-05T00:00:00"/>
    <x v="0"/>
    <s v="Email not provided"/>
    <s v="123-456-7890"/>
    <n v="7"/>
    <s v="Low"/>
    <x v="0"/>
  </r>
  <r>
    <x v="4"/>
    <n v="25"/>
    <n v="60000"/>
    <x v="2"/>
    <x v="4"/>
    <s v="Analyst"/>
    <d v="2018-04-05T00:00:00"/>
    <x v="0"/>
    <s v="Email not provided"/>
    <s v="Phone not provided"/>
    <n v="7"/>
    <s v="Medium"/>
    <x v="0"/>
  </r>
  <r>
    <x v="1"/>
    <n v="50"/>
    <n v="70000"/>
    <x v="2"/>
    <x v="0"/>
    <s v="Assistant"/>
    <d v="2020-01-15T00:00:00"/>
    <x v="1"/>
    <s v="user@domain.com"/>
    <s v="Phone not provided"/>
    <n v="6"/>
    <s v="High"/>
    <x v="1"/>
  </r>
  <r>
    <x v="9"/>
    <n v="35"/>
    <n v="60000"/>
    <x v="1"/>
    <x v="0"/>
    <s v="Director"/>
    <d v="2019-12-01T00:00:00"/>
    <x v="2"/>
    <s v="name@company.org"/>
    <s v="Phone not provided"/>
    <n v="6"/>
    <s v="Medium"/>
    <x v="2"/>
  </r>
  <r>
    <x v="4"/>
    <n v="35"/>
    <n v="65000"/>
    <x v="1"/>
    <x v="3"/>
    <s v="Analyst"/>
    <d v="2019-12-01T00:00:00"/>
    <x v="2"/>
    <s v="email@example.com"/>
    <s v="098-765-4321"/>
    <n v="6"/>
    <s v="High"/>
    <x v="2"/>
  </r>
  <r>
    <x v="9"/>
    <n v="25"/>
    <n v="60000"/>
    <x v="0"/>
    <x v="2"/>
    <s v="Manager"/>
    <d v="2019-12-01T00:00:00"/>
    <x v="3"/>
    <s v="user@domain.com"/>
    <s v="098-765-4321"/>
    <n v="6"/>
    <s v="Medium"/>
    <x v="3"/>
  </r>
  <r>
    <x v="7"/>
    <n v="35"/>
    <n v="65000"/>
    <x v="2"/>
    <x v="1"/>
    <s v="Assistant"/>
    <d v="2019-03-25T00:00:00"/>
    <x v="0"/>
    <s v="Email not provided"/>
    <s v="Phone not provided"/>
    <n v="6"/>
    <s v="High"/>
    <x v="0"/>
  </r>
  <r>
    <x v="2"/>
    <n v="40"/>
    <n v="60000"/>
    <x v="0"/>
    <x v="1"/>
    <s v="Clerk"/>
    <d v="2020-02-20T00:00:00"/>
    <x v="1"/>
    <s v="Email not provided"/>
    <s v="098-765-4321"/>
    <n v="5"/>
    <s v="Medium"/>
    <x v="1"/>
  </r>
  <r>
    <x v="2"/>
    <n v="40"/>
    <n v="55000"/>
    <x v="1"/>
    <x v="3"/>
    <s v="Analyst"/>
    <d v="2018-04-05T00:00:00"/>
    <x v="3"/>
    <s v="Email not provided"/>
    <s v="Phone not provided"/>
    <n v="7"/>
    <s v="Low"/>
    <x v="3"/>
  </r>
  <r>
    <x v="0"/>
    <n v="35"/>
    <n v="60000"/>
    <x v="2"/>
    <x v="3"/>
    <s v="Clerk"/>
    <d v="2019-12-01T00:00:00"/>
    <x v="2"/>
    <s v="Email not provided"/>
    <s v="123-456-7890"/>
    <n v="6"/>
    <s v="Medium"/>
    <x v="2"/>
  </r>
  <r>
    <x v="2"/>
    <n v="40"/>
    <n v="60000"/>
    <x v="2"/>
    <x v="4"/>
    <s v="Assistant"/>
    <d v="2020-01-15T00:00:00"/>
    <x v="0"/>
    <s v="email@example.com"/>
    <s v="098-765-4321"/>
    <n v="6"/>
    <s v="Medium"/>
    <x v="0"/>
  </r>
  <r>
    <x v="5"/>
    <n v="25"/>
    <n v="50000"/>
    <x v="1"/>
    <x v="3"/>
    <s v="Clerk"/>
    <d v="2019-12-01T00:00:00"/>
    <x v="1"/>
    <s v="Email not provided"/>
    <s v="123-456-7890"/>
    <n v="6"/>
    <s v="Low"/>
    <x v="1"/>
  </r>
  <r>
    <x v="6"/>
    <n v="25"/>
    <n v="70000"/>
    <x v="0"/>
    <x v="3"/>
    <s v="Analyst"/>
    <d v="2020-02-20T00:00:00"/>
    <x v="4"/>
    <s v="user@domain.com"/>
    <s v="555-555-5555"/>
    <n v="5"/>
    <s v="High"/>
    <x v="4"/>
  </r>
  <r>
    <x v="8"/>
    <n v="35"/>
    <n v="65000"/>
    <x v="0"/>
    <x v="1"/>
    <s v="Assistant"/>
    <d v="2020-02-20T00:00:00"/>
    <x v="0"/>
    <s v="Email not provided"/>
    <s v="Phone not provided"/>
    <n v="5"/>
    <s v="High"/>
    <x v="0"/>
  </r>
  <r>
    <x v="0"/>
    <n v="35"/>
    <n v="55000"/>
    <x v="2"/>
    <x v="4"/>
    <s v="Manager"/>
    <d v="2018-04-05T00:00:00"/>
    <x v="1"/>
    <s v="name@company.org"/>
    <s v="555-555-5555"/>
    <n v="7"/>
    <s v="Low"/>
    <x v="1"/>
  </r>
  <r>
    <x v="8"/>
    <n v="50"/>
    <n v="65000"/>
    <x v="1"/>
    <x v="3"/>
    <s v="Analyst"/>
    <d v="2019-03-25T00:00:00"/>
    <x v="3"/>
    <s v="user@domain.com"/>
    <s v="098-765-4321"/>
    <n v="6"/>
    <s v="High"/>
    <x v="3"/>
  </r>
  <r>
    <x v="9"/>
    <n v="35"/>
    <n v="60000"/>
    <x v="2"/>
    <x v="3"/>
    <s v="Director"/>
    <d v="2018-04-05T00:00:00"/>
    <x v="4"/>
    <s v="email@example.com"/>
    <s v="123-456-7890"/>
    <n v="7"/>
    <s v="Medium"/>
    <x v="4"/>
  </r>
  <r>
    <x v="8"/>
    <n v="35"/>
    <n v="65000"/>
    <x v="1"/>
    <x v="4"/>
    <s v="Analyst"/>
    <d v="2019-12-01T00:00:00"/>
    <x v="1"/>
    <s v="user@domain.com"/>
    <s v="098-765-4321"/>
    <n v="6"/>
    <s v="High"/>
    <x v="1"/>
  </r>
  <r>
    <x v="8"/>
    <n v="40"/>
    <n v="60000"/>
    <x v="0"/>
    <x v="2"/>
    <s v="Assistant"/>
    <d v="2020-01-15T00:00:00"/>
    <x v="1"/>
    <s v="name@company.org"/>
    <s v="555-555-5555"/>
    <n v="6"/>
    <s v="Medium"/>
    <x v="1"/>
  </r>
  <r>
    <x v="0"/>
    <n v="35"/>
    <n v="70000"/>
    <x v="1"/>
    <x v="4"/>
    <s v="Analyst"/>
    <d v="2018-04-05T00:00:00"/>
    <x v="2"/>
    <s v="email@example.com"/>
    <s v="098-765-4321"/>
    <n v="7"/>
    <s v="High"/>
    <x v="2"/>
  </r>
  <r>
    <x v="7"/>
    <n v="30"/>
    <n v="60000"/>
    <x v="0"/>
    <x v="1"/>
    <s v="Manager"/>
    <d v="2019-03-25T00:00:00"/>
    <x v="0"/>
    <s v="Email not provided"/>
    <s v="Phone not provided"/>
    <n v="6"/>
    <s v="Medium"/>
    <x v="0"/>
  </r>
  <r>
    <x v="3"/>
    <n v="50"/>
    <n v="65000"/>
    <x v="1"/>
    <x v="2"/>
    <s v="Manager"/>
    <d v="2018-04-05T00:00:00"/>
    <x v="2"/>
    <s v="name@company.org"/>
    <s v="555-555-5555"/>
    <n v="7"/>
    <s v="High"/>
    <x v="2"/>
  </r>
  <r>
    <x v="2"/>
    <n v="30"/>
    <n v="65000"/>
    <x v="2"/>
    <x v="0"/>
    <s v="Director"/>
    <d v="2020-02-20T00:00:00"/>
    <x v="4"/>
    <s v="email@example.com"/>
    <s v="098-765-4321"/>
    <n v="5"/>
    <s v="High"/>
    <x v="4"/>
  </r>
  <r>
    <x v="2"/>
    <n v="25"/>
    <n v="60000"/>
    <x v="0"/>
    <x v="4"/>
    <s v="Clerk"/>
    <d v="2019-12-01T00:00:00"/>
    <x v="1"/>
    <s v="Email not provided"/>
    <s v="123-456-7890"/>
    <n v="6"/>
    <s v="Medium"/>
    <x v="1"/>
  </r>
  <r>
    <x v="5"/>
    <n v="40"/>
    <n v="60000"/>
    <x v="2"/>
    <x v="1"/>
    <s v="Assistant"/>
    <d v="2019-12-01T00:00:00"/>
    <x v="2"/>
    <s v="user@domain.com"/>
    <s v="098-765-4321"/>
    <n v="6"/>
    <s v="Medium"/>
    <x v="2"/>
  </r>
  <r>
    <x v="0"/>
    <n v="35"/>
    <n v="70000"/>
    <x v="2"/>
    <x v="2"/>
    <s v="Assistant"/>
    <d v="2019-12-01T00:00:00"/>
    <x v="0"/>
    <s v="email@example.com"/>
    <s v="123-456-7890"/>
    <n v="6"/>
    <s v="High"/>
    <x v="0"/>
  </r>
  <r>
    <x v="5"/>
    <n v="30"/>
    <n v="50000"/>
    <x v="0"/>
    <x v="4"/>
    <s v="Clerk"/>
    <d v="2019-12-01T00:00:00"/>
    <x v="4"/>
    <s v="user@domain.com"/>
    <s v="Phone not provided"/>
    <n v="6"/>
    <s v="Low"/>
    <x v="4"/>
  </r>
  <r>
    <x v="6"/>
    <n v="40"/>
    <n v="55000"/>
    <x v="0"/>
    <x v="3"/>
    <s v="Manager"/>
    <d v="2019-12-01T00:00:00"/>
    <x v="3"/>
    <s v="Email not provided"/>
    <s v="098-765-4321"/>
    <n v="6"/>
    <s v="Low"/>
    <x v="3"/>
  </r>
  <r>
    <x v="6"/>
    <n v="25"/>
    <n v="65000"/>
    <x v="2"/>
    <x v="4"/>
    <s v="Manager"/>
    <d v="2019-12-01T00:00:00"/>
    <x v="2"/>
    <s v="email@example.com"/>
    <s v="Phone not provided"/>
    <n v="6"/>
    <s v="High"/>
    <x v="2"/>
  </r>
  <r>
    <x v="5"/>
    <n v="35"/>
    <n v="55000"/>
    <x v="2"/>
    <x v="0"/>
    <s v="Analyst"/>
    <d v="2020-01-15T00:00:00"/>
    <x v="4"/>
    <s v="Email not provided"/>
    <s v="555-555-5555"/>
    <n v="6"/>
    <s v="Low"/>
    <x v="4"/>
  </r>
  <r>
    <x v="0"/>
    <n v="50"/>
    <n v="50000"/>
    <x v="2"/>
    <x v="4"/>
    <s v="Director"/>
    <d v="2019-03-25T00:00:00"/>
    <x v="3"/>
    <s v="name@company.org"/>
    <s v="123-456-7890"/>
    <n v="6"/>
    <s v="Low"/>
    <x v="3"/>
  </r>
  <r>
    <x v="5"/>
    <n v="40"/>
    <n v="55000"/>
    <x v="2"/>
    <x v="2"/>
    <s v="Director"/>
    <d v="2019-12-01T00:00:00"/>
    <x v="2"/>
    <s v="email@example.com"/>
    <s v="555-555-5555"/>
    <n v="6"/>
    <s v="Low"/>
    <x v="2"/>
  </r>
  <r>
    <x v="2"/>
    <n v="40"/>
    <n v="50000"/>
    <x v="0"/>
    <x v="2"/>
    <s v="Director"/>
    <d v="2019-03-25T00:00:00"/>
    <x v="4"/>
    <s v="Email not provided"/>
    <s v="123-456-7890"/>
    <n v="6"/>
    <s v="Low"/>
    <x v="4"/>
  </r>
  <r>
    <x v="4"/>
    <n v="35"/>
    <n v="60000"/>
    <x v="0"/>
    <x v="4"/>
    <s v="Analyst"/>
    <d v="2019-12-01T00:00:00"/>
    <x v="4"/>
    <s v="email@example.com"/>
    <s v="Phone not provided"/>
    <n v="6"/>
    <s v="Medium"/>
    <x v="4"/>
  </r>
  <r>
    <x v="1"/>
    <n v="40"/>
    <n v="60000"/>
    <x v="2"/>
    <x v="2"/>
    <s v="Director"/>
    <d v="2018-04-05T00:00:00"/>
    <x v="2"/>
    <s v="user@domain.com"/>
    <s v="Phone not provided"/>
    <n v="7"/>
    <s v="Medium"/>
    <x v="2"/>
  </r>
  <r>
    <x v="8"/>
    <n v="25"/>
    <n v="65000"/>
    <x v="1"/>
    <x v="3"/>
    <s v="Clerk"/>
    <d v="2019-12-01T00:00:00"/>
    <x v="4"/>
    <s v="email@example.com"/>
    <s v="098-765-4321"/>
    <n v="6"/>
    <s v="High"/>
    <x v="4"/>
  </r>
  <r>
    <x v="1"/>
    <n v="25"/>
    <n v="50000"/>
    <x v="1"/>
    <x v="4"/>
    <s v="Analyst"/>
    <d v="2020-02-20T00:00:00"/>
    <x v="1"/>
    <s v="Email not provided"/>
    <s v="Phone not provided"/>
    <n v="5"/>
    <s v="Low"/>
    <x v="1"/>
  </r>
  <r>
    <x v="0"/>
    <n v="35"/>
    <n v="55000"/>
    <x v="0"/>
    <x v="3"/>
    <s v="Clerk"/>
    <d v="2020-01-15T00:00:00"/>
    <x v="2"/>
    <s v="email@example.com"/>
    <s v="123-456-7890"/>
    <n v="6"/>
    <s v="Low"/>
    <x v="2"/>
  </r>
  <r>
    <x v="1"/>
    <n v="50"/>
    <n v="65000"/>
    <x v="2"/>
    <x v="3"/>
    <s v="Analyst"/>
    <d v="2018-04-05T00:00:00"/>
    <x v="4"/>
    <s v="name@company.org"/>
    <s v="123-456-7890"/>
    <n v="7"/>
    <s v="High"/>
    <x v="4"/>
  </r>
  <r>
    <x v="6"/>
    <n v="35"/>
    <n v="60000"/>
    <x v="2"/>
    <x v="1"/>
    <s v="Director"/>
    <d v="2018-04-05T00:00:00"/>
    <x v="3"/>
    <s v="email@example.com"/>
    <s v="123-456-7890"/>
    <n v="7"/>
    <s v="Medium"/>
    <x v="3"/>
  </r>
  <r>
    <x v="9"/>
    <n v="30"/>
    <n v="60000"/>
    <x v="0"/>
    <x v="4"/>
    <s v="Clerk"/>
    <d v="2020-02-20T00:00:00"/>
    <x v="3"/>
    <s v="user@domain.com"/>
    <s v="123-456-7890"/>
    <n v="5"/>
    <s v="Medium"/>
    <x v="3"/>
  </r>
  <r>
    <x v="8"/>
    <n v="35"/>
    <n v="65000"/>
    <x v="1"/>
    <x v="2"/>
    <s v="Clerk"/>
    <d v="2019-12-01T00:00:00"/>
    <x v="1"/>
    <s v="email@example.com"/>
    <s v="098-765-4321"/>
    <n v="6"/>
    <s v="High"/>
    <x v="1"/>
  </r>
  <r>
    <x v="3"/>
    <n v="40"/>
    <n v="50000"/>
    <x v="1"/>
    <x v="3"/>
    <s v="Clerk"/>
    <d v="2020-01-15T00:00:00"/>
    <x v="2"/>
    <s v="Email not provided"/>
    <s v="555-555-5555"/>
    <n v="6"/>
    <s v="Low"/>
    <x v="2"/>
  </r>
  <r>
    <x v="0"/>
    <n v="30"/>
    <n v="60000"/>
    <x v="1"/>
    <x v="1"/>
    <s v="Analyst"/>
    <d v="2018-04-05T00:00:00"/>
    <x v="4"/>
    <s v="Email not provided"/>
    <s v="Phone not provided"/>
    <n v="7"/>
    <s v="Medium"/>
    <x v="4"/>
  </r>
  <r>
    <x v="8"/>
    <n v="35"/>
    <n v="55000"/>
    <x v="0"/>
    <x v="4"/>
    <s v="Assistant"/>
    <d v="2020-01-15T00:00:00"/>
    <x v="4"/>
    <s v="email@example.com"/>
    <s v="098-765-4321"/>
    <n v="6"/>
    <s v="Low"/>
    <x v="4"/>
  </r>
  <r>
    <x v="1"/>
    <n v="35"/>
    <n v="60000"/>
    <x v="1"/>
    <x v="4"/>
    <s v="Director"/>
    <d v="2018-04-05T00:00:00"/>
    <x v="3"/>
    <s v="email@example.com"/>
    <s v="123-456-7890"/>
    <n v="7"/>
    <s v="Medium"/>
    <x v="3"/>
  </r>
  <r>
    <x v="6"/>
    <n v="50"/>
    <n v="60000"/>
    <x v="0"/>
    <x v="0"/>
    <s v="Clerk"/>
    <d v="2019-12-01T00:00:00"/>
    <x v="1"/>
    <s v="name@company.org"/>
    <s v="098-765-4321"/>
    <n v="6"/>
    <s v="Medium"/>
    <x v="1"/>
  </r>
  <r>
    <x v="7"/>
    <n v="30"/>
    <n v="70000"/>
    <x v="0"/>
    <x v="0"/>
    <s v="Assistant"/>
    <d v="2018-04-05T00:00:00"/>
    <x v="3"/>
    <s v="Email not provided"/>
    <s v="Phone not provided"/>
    <n v="7"/>
    <s v="High"/>
    <x v="3"/>
  </r>
  <r>
    <x v="4"/>
    <n v="25"/>
    <n v="60000"/>
    <x v="2"/>
    <x v="3"/>
    <s v="Director"/>
    <d v="2018-04-05T00:00:00"/>
    <x v="3"/>
    <s v="Email not provided"/>
    <s v="123-456-7890"/>
    <n v="7"/>
    <s v="Medium"/>
    <x v="3"/>
  </r>
  <r>
    <x v="3"/>
    <n v="30"/>
    <n v="60000"/>
    <x v="1"/>
    <x v="0"/>
    <s v="Director"/>
    <d v="2019-03-25T00:00:00"/>
    <x v="1"/>
    <s v="user@domain.com"/>
    <s v="Phone not provided"/>
    <n v="6"/>
    <s v="Medium"/>
    <x v="1"/>
  </r>
  <r>
    <x v="4"/>
    <n v="40"/>
    <n v="65000"/>
    <x v="0"/>
    <x v="3"/>
    <s v="Clerk"/>
    <d v="2019-12-01T00:00:00"/>
    <x v="2"/>
    <s v="email@example.com"/>
    <s v="123-456-7890"/>
    <n v="6"/>
    <s v="High"/>
    <x v="2"/>
  </r>
  <r>
    <x v="8"/>
    <n v="25"/>
    <n v="55000"/>
    <x v="1"/>
    <x v="2"/>
    <s v="Clerk"/>
    <d v="2020-02-20T00:00:00"/>
    <x v="4"/>
    <s v="Email not provided"/>
    <s v="Phone not provided"/>
    <n v="5"/>
    <s v="Low"/>
    <x v="4"/>
  </r>
  <r>
    <x v="6"/>
    <n v="35"/>
    <n v="65000"/>
    <x v="1"/>
    <x v="3"/>
    <s v="Analyst"/>
    <d v="2020-02-20T00:00:00"/>
    <x v="2"/>
    <s v="user@domain.com"/>
    <s v="Phone not provided"/>
    <n v="5"/>
    <s v="High"/>
    <x v="2"/>
  </r>
  <r>
    <x v="6"/>
    <n v="30"/>
    <n v="65000"/>
    <x v="2"/>
    <x v="0"/>
    <s v="Assistant"/>
    <d v="2019-12-01T00:00:00"/>
    <x v="0"/>
    <s v="Email not provided"/>
    <s v="555-555-5555"/>
    <n v="6"/>
    <s v="High"/>
    <x v="0"/>
  </r>
  <r>
    <x v="1"/>
    <n v="35"/>
    <n v="50000"/>
    <x v="1"/>
    <x v="2"/>
    <s v="Assistant"/>
    <d v="2020-02-20T00:00:00"/>
    <x v="0"/>
    <s v="Email not provided"/>
    <s v="555-555-5555"/>
    <n v="5"/>
    <s v="Low"/>
    <x v="0"/>
  </r>
  <r>
    <x v="2"/>
    <n v="50"/>
    <n v="65000"/>
    <x v="2"/>
    <x v="0"/>
    <s v="Clerk"/>
    <d v="2019-12-01T00:00:00"/>
    <x v="0"/>
    <s v="Email not provided"/>
    <s v="098-765-4321"/>
    <n v="6"/>
    <s v="High"/>
    <x v="0"/>
  </r>
  <r>
    <x v="1"/>
    <n v="35"/>
    <n v="70000"/>
    <x v="0"/>
    <x v="3"/>
    <s v="Director"/>
    <d v="2020-02-20T00:00:00"/>
    <x v="1"/>
    <s v="user@domain.com"/>
    <s v="098-765-4321"/>
    <n v="5"/>
    <s v="High"/>
    <x v="1"/>
  </r>
  <r>
    <x v="2"/>
    <n v="50"/>
    <n v="70000"/>
    <x v="1"/>
    <x v="1"/>
    <s v="Clerk"/>
    <d v="2019-03-25T00:00:00"/>
    <x v="3"/>
    <s v="Email not provided"/>
    <s v="Phone not provided"/>
    <n v="6"/>
    <s v="High"/>
    <x v="3"/>
  </r>
  <r>
    <x v="2"/>
    <n v="40"/>
    <n v="50000"/>
    <x v="0"/>
    <x v="4"/>
    <s v="Director"/>
    <d v="2020-02-20T00:00:00"/>
    <x v="2"/>
    <s v="Email not provided"/>
    <s v="123-456-7890"/>
    <n v="5"/>
    <s v="Low"/>
    <x v="2"/>
  </r>
  <r>
    <x v="3"/>
    <n v="35"/>
    <n v="60000"/>
    <x v="1"/>
    <x v="0"/>
    <s v="Director"/>
    <d v="2018-04-05T00:00:00"/>
    <x v="4"/>
    <s v="Email not provided"/>
    <s v="Phone not provided"/>
    <n v="7"/>
    <s v="Medium"/>
    <x v="4"/>
  </r>
  <r>
    <x v="1"/>
    <n v="30"/>
    <n v="55000"/>
    <x v="0"/>
    <x v="3"/>
    <s v="Clerk"/>
    <d v="2019-12-01T00:00:00"/>
    <x v="0"/>
    <s v="Email not provided"/>
    <s v="Phone not provided"/>
    <n v="6"/>
    <s v="Low"/>
    <x v="0"/>
  </r>
  <r>
    <x v="7"/>
    <n v="30"/>
    <n v="55000"/>
    <x v="1"/>
    <x v="2"/>
    <s v="Manager"/>
    <d v="2020-01-15T00:00:00"/>
    <x v="2"/>
    <s v="Email not provided"/>
    <s v="123-456-7890"/>
    <n v="6"/>
    <s v="Low"/>
    <x v="2"/>
  </r>
  <r>
    <x v="5"/>
    <n v="35"/>
    <n v="65000"/>
    <x v="1"/>
    <x v="0"/>
    <s v="Assistant"/>
    <d v="2020-01-15T00:00:00"/>
    <x v="0"/>
    <s v="name@company.org"/>
    <s v="123-456-7890"/>
    <n v="6"/>
    <s v="High"/>
    <x v="0"/>
  </r>
  <r>
    <x v="5"/>
    <n v="30"/>
    <n v="65000"/>
    <x v="1"/>
    <x v="0"/>
    <s v="Director"/>
    <d v="2019-12-01T00:00:00"/>
    <x v="0"/>
    <s v="user@domain.com"/>
    <s v="555-555-5555"/>
    <n v="6"/>
    <s v="High"/>
    <x v="0"/>
  </r>
  <r>
    <x v="1"/>
    <n v="40"/>
    <n v="60000"/>
    <x v="1"/>
    <x v="4"/>
    <s v="Director"/>
    <d v="2019-03-25T00:00:00"/>
    <x v="4"/>
    <s v="Email not provided"/>
    <s v="Phone not provided"/>
    <n v="6"/>
    <s v="Medium"/>
    <x v="4"/>
  </r>
  <r>
    <x v="1"/>
    <n v="25"/>
    <n v="65000"/>
    <x v="1"/>
    <x v="3"/>
    <s v="Manager"/>
    <d v="2020-02-20T00:00:00"/>
    <x v="1"/>
    <s v="Email not provided"/>
    <s v="Phone not provided"/>
    <n v="5"/>
    <s v="High"/>
    <x v="1"/>
  </r>
  <r>
    <x v="4"/>
    <n v="40"/>
    <n v="55000"/>
    <x v="1"/>
    <x v="1"/>
    <s v="Analyst"/>
    <d v="2019-03-25T00:00:00"/>
    <x v="3"/>
    <s v="user@domain.com"/>
    <s v="098-765-4321"/>
    <n v="6"/>
    <s v="Low"/>
    <x v="3"/>
  </r>
  <r>
    <x v="3"/>
    <n v="50"/>
    <n v="60000"/>
    <x v="1"/>
    <x v="2"/>
    <s v="Manager"/>
    <d v="2020-01-15T00:00:00"/>
    <x v="1"/>
    <s v="user@domain.com"/>
    <s v="555-555-5555"/>
    <n v="6"/>
    <s v="Medium"/>
    <x v="1"/>
  </r>
  <r>
    <x v="1"/>
    <n v="40"/>
    <n v="70000"/>
    <x v="1"/>
    <x v="3"/>
    <s v="Manager"/>
    <d v="2019-12-01T00:00:00"/>
    <x v="2"/>
    <s v="user@domain.com"/>
    <s v="Phone not provided"/>
    <n v="6"/>
    <s v="High"/>
    <x v="2"/>
  </r>
  <r>
    <x v="4"/>
    <n v="50"/>
    <n v="60000"/>
    <x v="1"/>
    <x v="2"/>
    <s v="Director"/>
    <d v="2019-12-01T00:00:00"/>
    <x v="1"/>
    <s v="user@domain.com"/>
    <s v="123-456-7890"/>
    <n v="6"/>
    <s v="Medium"/>
    <x v="1"/>
  </r>
  <r>
    <x v="2"/>
    <n v="30"/>
    <n v="60000"/>
    <x v="0"/>
    <x v="0"/>
    <s v="Assistant"/>
    <d v="2019-03-25T00:00:00"/>
    <x v="2"/>
    <s v="email@example.com"/>
    <s v="Phone not provided"/>
    <n v="6"/>
    <s v="Medium"/>
    <x v="2"/>
  </r>
  <r>
    <x v="6"/>
    <n v="25"/>
    <n v="55000"/>
    <x v="2"/>
    <x v="4"/>
    <s v="Manager"/>
    <d v="2019-03-25T00:00:00"/>
    <x v="2"/>
    <s v="Email not provided"/>
    <s v="Phone not provided"/>
    <n v="6"/>
    <s v="Low"/>
    <x v="2"/>
  </r>
  <r>
    <x v="6"/>
    <n v="30"/>
    <n v="60000"/>
    <x v="1"/>
    <x v="4"/>
    <s v="Analyst"/>
    <d v="2020-02-20T00:00:00"/>
    <x v="3"/>
    <s v="email@example.com"/>
    <s v="555-555-5555"/>
    <n v="5"/>
    <s v="Medium"/>
    <x v="3"/>
  </r>
  <r>
    <x v="2"/>
    <n v="35"/>
    <n v="60000"/>
    <x v="2"/>
    <x v="1"/>
    <s v="Clerk"/>
    <d v="2018-04-05T00:00:00"/>
    <x v="4"/>
    <s v="Email not provided"/>
    <s v="123-456-7890"/>
    <n v="7"/>
    <s v="Medium"/>
    <x v="4"/>
  </r>
  <r>
    <x v="0"/>
    <n v="30"/>
    <n v="50000"/>
    <x v="1"/>
    <x v="4"/>
    <s v="Manager"/>
    <d v="2018-04-05T00:00:00"/>
    <x v="3"/>
    <s v="Email not provided"/>
    <s v="Phone not provided"/>
    <n v="7"/>
    <s v="Low"/>
    <x v="3"/>
  </r>
  <r>
    <x v="4"/>
    <n v="50"/>
    <n v="65000"/>
    <x v="1"/>
    <x v="0"/>
    <s v="Manager"/>
    <d v="2020-02-20T00:00:00"/>
    <x v="1"/>
    <s v="Email not provided"/>
    <s v="098-765-4321"/>
    <n v="5"/>
    <s v="High"/>
    <x v="1"/>
  </r>
  <r>
    <x v="4"/>
    <n v="30"/>
    <n v="50000"/>
    <x v="0"/>
    <x v="1"/>
    <s v="Analyst"/>
    <d v="2018-04-05T00:00:00"/>
    <x v="2"/>
    <s v="Email not provided"/>
    <s v="555-555-5555"/>
    <n v="7"/>
    <s v="Low"/>
    <x v="2"/>
  </r>
  <r>
    <x v="2"/>
    <n v="30"/>
    <n v="70000"/>
    <x v="0"/>
    <x v="3"/>
    <s v="Assistant"/>
    <d v="2020-01-15T00:00:00"/>
    <x v="0"/>
    <s v="user@domain.com"/>
    <s v="Phone not provided"/>
    <n v="6"/>
    <s v="High"/>
    <x v="0"/>
  </r>
  <r>
    <x v="7"/>
    <n v="25"/>
    <n v="65000"/>
    <x v="2"/>
    <x v="4"/>
    <s v="Manager"/>
    <d v="2018-04-05T00:00:00"/>
    <x v="0"/>
    <s v="email@example.com"/>
    <s v="Phone not provided"/>
    <n v="7"/>
    <s v="High"/>
    <x v="0"/>
  </r>
  <r>
    <x v="9"/>
    <n v="30"/>
    <n v="60000"/>
    <x v="0"/>
    <x v="1"/>
    <s v="Manager"/>
    <d v="2020-02-20T00:00:00"/>
    <x v="2"/>
    <s v="user@domain.com"/>
    <s v="123-456-7890"/>
    <n v="5"/>
    <s v="Mediu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erofrmance category by Department"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J3:P10" firstHeaderRow="1" firstDataRow="2" firstDataCol="1"/>
  <pivotFields count="13">
    <pivotField dataField="1" showAll="0">
      <items count="11">
        <item x="8"/>
        <item x="7"/>
        <item x="5"/>
        <item x="1"/>
        <item x="3"/>
        <item x="6"/>
        <item x="0"/>
        <item x="2"/>
        <item x="9"/>
        <item x="4"/>
        <item t="default"/>
      </items>
    </pivotField>
    <pivotField showAll="0"/>
    <pivotField showAll="0"/>
    <pivotField showAll="0">
      <items count="4">
        <item h="1" x="1"/>
        <item h="1" x="0"/>
        <item x="2"/>
        <item t="default"/>
      </items>
    </pivotField>
    <pivotField axis="axisRow" showAll="0">
      <items count="6">
        <item x="1"/>
        <item x="0"/>
        <item x="3"/>
        <item x="4"/>
        <item x="2"/>
        <item t="default"/>
      </items>
    </pivotField>
    <pivotField showAll="0"/>
    <pivotField numFmtId="14" showAll="0"/>
    <pivotField showAll="0">
      <items count="6">
        <item x="3"/>
        <item x="4"/>
        <item x="2"/>
        <item x="0"/>
        <item x="1"/>
        <item t="default"/>
      </items>
    </pivotField>
    <pivotField showAll="0"/>
    <pivotField showAll="0"/>
    <pivotField showAll="0"/>
    <pivotField showAll="0"/>
    <pivotField axis="axisCol" showAll="0">
      <items count="6">
        <item x="2"/>
        <item x="0"/>
        <item x="3"/>
        <item x="4"/>
        <item x="1"/>
        <item t="default"/>
      </items>
    </pivotField>
  </pivotFields>
  <rowFields count="1">
    <field x="4"/>
  </rowFields>
  <rowItems count="6">
    <i>
      <x/>
    </i>
    <i>
      <x v="1"/>
    </i>
    <i>
      <x v="2"/>
    </i>
    <i>
      <x v="3"/>
    </i>
    <i>
      <x v="4"/>
    </i>
    <i t="grand">
      <x/>
    </i>
  </rowItems>
  <colFields count="1">
    <field x="12"/>
  </colFields>
  <colItems count="6">
    <i>
      <x/>
    </i>
    <i>
      <x v="1"/>
    </i>
    <i>
      <x v="2"/>
    </i>
    <i>
      <x v="3"/>
    </i>
    <i>
      <x v="4"/>
    </i>
    <i t="grand">
      <x/>
    </i>
  </colItems>
  <dataFields count="1">
    <dataField name="Count of Name_cleaned" fld="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Average Salary by Department"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G3:H9" firstHeaderRow="1" firstDataRow="1" firstDataCol="1"/>
  <pivotFields count="12">
    <pivotField showAll="0"/>
    <pivotField showAll="0"/>
    <pivotField dataField="1" showAll="0"/>
    <pivotField showAll="0"/>
    <pivotField axis="axisRow" showAll="0">
      <items count="6">
        <item x="1"/>
        <item x="0"/>
        <item x="3"/>
        <item x="4"/>
        <item x="2"/>
        <item t="default"/>
      </items>
    </pivotField>
    <pivotField showAll="0"/>
    <pivotField numFmtId="14"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Average of Salary_cleaned" fld="2" subtotal="average" baseField="4"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Gender Distribution by Department"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E10" firstHeaderRow="1" firstDataRow="2" firstDataCol="1"/>
  <pivotFields count="12">
    <pivotField dataField="1" showAll="0">
      <items count="11">
        <item x="8"/>
        <item x="7"/>
        <item x="5"/>
        <item x="1"/>
        <item x="3"/>
        <item x="6"/>
        <item x="0"/>
        <item x="2"/>
        <item x="9"/>
        <item x="4"/>
        <item t="default"/>
      </items>
    </pivotField>
    <pivotField showAll="0"/>
    <pivotField showAll="0"/>
    <pivotField axis="axisCol" showAll="0">
      <items count="4">
        <item x="1"/>
        <item x="0"/>
        <item x="2"/>
        <item t="default"/>
      </items>
    </pivotField>
    <pivotField axis="axisRow" showAll="0">
      <items count="6">
        <item x="1"/>
        <item x="0"/>
        <item x="3"/>
        <item x="4"/>
        <item x="2"/>
        <item t="default"/>
      </items>
    </pivotField>
    <pivotField showAll="0"/>
    <pivotField numFmtId="14" showAll="0"/>
    <pivotField showAll="0"/>
    <pivotField showAll="0"/>
    <pivotField showAll="0"/>
    <pivotField showAll="0"/>
    <pivotField showAll="0">
      <items count="4">
        <item x="1"/>
        <item x="0"/>
        <item x="2"/>
        <item t="default"/>
      </items>
    </pivotField>
  </pivotFields>
  <rowFields count="1">
    <field x="4"/>
  </rowFields>
  <rowItems count="6">
    <i>
      <x/>
    </i>
    <i>
      <x v="1"/>
    </i>
    <i>
      <x v="2"/>
    </i>
    <i>
      <x v="3"/>
    </i>
    <i>
      <x v="4"/>
    </i>
    <i t="grand">
      <x/>
    </i>
  </rowItems>
  <colFields count="1">
    <field x="3"/>
  </colFields>
  <colItems count="4">
    <i>
      <x/>
    </i>
    <i>
      <x v="1"/>
    </i>
    <i>
      <x v="2"/>
    </i>
    <i t="grand">
      <x/>
    </i>
  </colItems>
  <dataFields count="1">
    <dataField name="Count of Name_cleaned" fld="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t_cleaned1" sourceName="Dept_cleaned">
  <pivotTables>
    <pivotTable tabId="4" name="Average Salary by Department"/>
    <pivotTable tabId="4" name="Gender Distribution by Department"/>
  </pivotTables>
  <data>
    <tabular pivotCacheId="1">
      <items count="5">
        <i x="1" s="1"/>
        <i x="0" s="1"/>
        <i x="3"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erformance_Category_calculated" sourceName="Performance_Category(calculated)">
  <pivotTables>
    <pivotTable tabId="4" name="Perofrmance category by Department"/>
  </pivotTables>
  <data>
    <tabular pivotCacheId="2">
      <items count="5">
        <i x="2" s="1"/>
        <i x="0" s="1"/>
        <i x="3"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t_cleaned 1" cache="Slicer_Dept_cleaned1" caption="Dept_cleaned" rowHeight="241300"/>
  <slicer name="Performance_Category(calculated)" cache="Slicer_Performance_Category_calculated" caption="Performance_Category(calculated)"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2"/>
  <sheetViews>
    <sheetView topLeftCell="R1" workbookViewId="0">
      <selection activeCell="V22" sqref="V22"/>
    </sheetView>
  </sheetViews>
  <sheetFormatPr defaultRowHeight="15" x14ac:dyDescent="0.25"/>
  <cols>
    <col min="3" max="3" width="20.140625" customWidth="1"/>
    <col min="5" max="5" width="12.85546875" customWidth="1"/>
    <col min="6" max="6" width="14.5703125" customWidth="1"/>
    <col min="7" max="7" width="17.85546875" customWidth="1"/>
    <col min="8" max="8" width="18.28515625" customWidth="1"/>
    <col min="9" max="9" width="21.5703125" customWidth="1"/>
    <col min="10" max="10" width="15.140625" customWidth="1"/>
    <col min="12" max="12" width="19.28515625" customWidth="1"/>
    <col min="13" max="13" width="15.140625" customWidth="1"/>
    <col min="14" max="14" width="22.85546875" customWidth="1"/>
    <col min="15" max="15" width="14.28515625" customWidth="1"/>
    <col min="16" max="16" width="7" customWidth="1"/>
    <col min="17" max="17" width="15.42578125" customWidth="1"/>
    <col min="18" max="18" width="16.42578125" customWidth="1"/>
    <col min="19" max="19" width="13.42578125" customWidth="1"/>
    <col min="20" max="20" width="16.7109375" customWidth="1"/>
    <col min="21" max="21" width="21.42578125" style="2" customWidth="1"/>
    <col min="22" max="22" width="27" customWidth="1"/>
    <col min="23" max="23" width="21.5703125" customWidth="1"/>
    <col min="24" max="24" width="22" customWidth="1"/>
    <col min="25" max="25" width="21.28515625" customWidth="1"/>
    <col min="26" max="26" width="19" customWidth="1"/>
  </cols>
  <sheetData>
    <row r="1" spans="1:26" s="3" customFormat="1" x14ac:dyDescent="0.25">
      <c r="A1" s="3" t="s">
        <v>0</v>
      </c>
      <c r="B1" s="3" t="s">
        <v>1</v>
      </c>
      <c r="C1" s="3" t="s">
        <v>2</v>
      </c>
      <c r="D1" s="3" t="s">
        <v>3</v>
      </c>
      <c r="E1" s="3" t="s">
        <v>4</v>
      </c>
      <c r="F1" s="3" t="s">
        <v>5</v>
      </c>
      <c r="G1" s="3" t="s">
        <v>6</v>
      </c>
      <c r="H1" s="3" t="s">
        <v>7</v>
      </c>
      <c r="I1" s="3" t="s">
        <v>8</v>
      </c>
      <c r="J1" s="3" t="s">
        <v>9</v>
      </c>
      <c r="M1" s="3" t="s">
        <v>44</v>
      </c>
      <c r="N1" s="3" t="s">
        <v>45</v>
      </c>
      <c r="O1" s="3" t="s">
        <v>46</v>
      </c>
      <c r="P1" s="3" t="s">
        <v>2</v>
      </c>
      <c r="Q1" s="3" t="s">
        <v>47</v>
      </c>
      <c r="R1" s="3" t="s">
        <v>48</v>
      </c>
      <c r="S1" s="3" t="s">
        <v>49</v>
      </c>
      <c r="T1" s="3" t="s">
        <v>50</v>
      </c>
      <c r="U1" s="4" t="s">
        <v>54</v>
      </c>
      <c r="V1" s="3" t="s">
        <v>55</v>
      </c>
      <c r="W1" s="3" t="s">
        <v>58</v>
      </c>
      <c r="X1" s="3" t="s">
        <v>59</v>
      </c>
      <c r="Y1" s="3" t="s">
        <v>56</v>
      </c>
      <c r="Z1" s="3" t="s">
        <v>57</v>
      </c>
    </row>
    <row r="2" spans="1:26" x14ac:dyDescent="0.25">
      <c r="A2" t="s">
        <v>10</v>
      </c>
      <c r="B2">
        <v>25</v>
      </c>
      <c r="C2">
        <v>50000</v>
      </c>
      <c r="D2" t="s">
        <v>11</v>
      </c>
      <c r="E2" t="s">
        <v>12</v>
      </c>
      <c r="F2" t="s">
        <v>13</v>
      </c>
      <c r="G2" s="1">
        <v>43195</v>
      </c>
      <c r="H2" t="s">
        <v>14</v>
      </c>
      <c r="I2" t="s">
        <v>51</v>
      </c>
      <c r="J2" t="s">
        <v>15</v>
      </c>
      <c r="M2" t="str">
        <f>PROPER(TRIM(CLEAN(A2:A1001)))</f>
        <v>Grace</v>
      </c>
      <c r="N2">
        <v>25</v>
      </c>
      <c r="O2">
        <f>IF(ISNUMBER(N2),N2,MEDIAN($N$2:$N$1001))</f>
        <v>25</v>
      </c>
      <c r="P2">
        <v>50000</v>
      </c>
      <c r="Q2">
        <f>IF(ISNUMBER(P2),P2,MEDIAN(P2:P1001))</f>
        <v>50000</v>
      </c>
      <c r="R2" t="str">
        <f>PROPER(TRIM(CLEAN(D2:D1001)))</f>
        <v>Male</v>
      </c>
      <c r="S2" t="str">
        <f>TRIM(CLEAN(E2:E1001))</f>
        <v>HR</v>
      </c>
      <c r="T2" t="str">
        <f>TRIM(CLEAN(F2:F1001))</f>
        <v>Manager</v>
      </c>
      <c r="U2" s="2">
        <v>43195</v>
      </c>
      <c r="V2" t="s">
        <v>14</v>
      </c>
      <c r="W2" t="s">
        <v>51</v>
      </c>
      <c r="X2" t="str">
        <f>IF(
   OR(TRIM(W2)="",LOWER(W2)="nan"),
   "Email not provided",
   W2
)</f>
        <v>email@example/com</v>
      </c>
      <c r="Y2" t="str">
        <f>SUBSTITUTE(X2,"/",".")</f>
        <v>email@example.com</v>
      </c>
      <c r="Z2" t="str">
        <f t="shared" ref="Z2:Z65" si="0">IF(OR(TRIM(J2)="", LOWER(J2)="nan"), "Phone not provided", TRIM(J2))</f>
        <v>Phone not provided</v>
      </c>
    </row>
    <row r="3" spans="1:26" x14ac:dyDescent="0.25">
      <c r="A3" t="s">
        <v>16</v>
      </c>
      <c r="B3" t="s">
        <v>15</v>
      </c>
      <c r="C3">
        <v>65000</v>
      </c>
      <c r="D3" t="s">
        <v>17</v>
      </c>
      <c r="E3" t="s">
        <v>18</v>
      </c>
      <c r="F3" t="s">
        <v>19</v>
      </c>
      <c r="G3" s="2">
        <v>43881</v>
      </c>
      <c r="H3" t="s">
        <v>20</v>
      </c>
      <c r="I3" t="s">
        <v>52</v>
      </c>
      <c r="J3" t="s">
        <v>21</v>
      </c>
      <c r="M3" t="str">
        <f t="shared" ref="M3:M66" si="1">PROPER(TRIM(CLEAN(A3:A1002)))</f>
        <v>David</v>
      </c>
      <c r="N3" t="s">
        <v>15</v>
      </c>
      <c r="O3">
        <f t="shared" ref="O3:O66" si="2">IF(ISNUMBER(N3),N3,MEDIAN($N$2:$N$1001))</f>
        <v>35</v>
      </c>
      <c r="P3">
        <v>65000</v>
      </c>
      <c r="Q3">
        <f t="shared" ref="Q3:Q66" si="3">IF(ISNUMBER(P3),P3,MEDIAN(P3:P1002))</f>
        <v>65000</v>
      </c>
      <c r="R3" t="str">
        <f t="shared" ref="R3:R66" si="4">PROPER(TRIM(CLEAN(D3:D1002)))</f>
        <v>Female</v>
      </c>
      <c r="S3" t="str">
        <f t="shared" ref="S3:S66" si="5">TRIM(CLEAN(E3:E1002))</f>
        <v>Finance</v>
      </c>
      <c r="T3" t="str">
        <f t="shared" ref="T3:T66" si="6">TRIM(CLEAN(F3:F1002))</f>
        <v>Director</v>
      </c>
      <c r="U3" s="2">
        <v>43881</v>
      </c>
      <c r="V3" t="s">
        <v>20</v>
      </c>
      <c r="W3" t="s">
        <v>52</v>
      </c>
      <c r="X3" t="str">
        <f t="shared" ref="X3:X66" si="7">IF(
   OR(TRIM(W3)="",LOWER(W3)="nan"),
   "Email not provided",
   W3
)</f>
        <v>user@domain/com</v>
      </c>
      <c r="Y3" t="str">
        <f t="shared" ref="Y3:Y66" si="8">SUBSTITUTE(X3,"/",".")</f>
        <v>user@domain.com</v>
      </c>
      <c r="Z3" t="str">
        <f t="shared" si="0"/>
        <v>123-456-7890</v>
      </c>
    </row>
    <row r="4" spans="1:26" x14ac:dyDescent="0.25">
      <c r="A4" t="s">
        <v>22</v>
      </c>
      <c r="B4">
        <v>35</v>
      </c>
      <c r="C4">
        <v>60000</v>
      </c>
      <c r="D4" t="s">
        <v>17</v>
      </c>
      <c r="E4" t="s">
        <v>23</v>
      </c>
      <c r="F4" t="s">
        <v>19</v>
      </c>
      <c r="G4" s="2">
        <v>43845</v>
      </c>
      <c r="H4" t="s">
        <v>24</v>
      </c>
      <c r="I4" t="s">
        <v>51</v>
      </c>
      <c r="J4" t="s">
        <v>25</v>
      </c>
      <c r="M4" t="str">
        <f t="shared" si="1"/>
        <v>Hannah</v>
      </c>
      <c r="N4">
        <v>35</v>
      </c>
      <c r="O4">
        <f t="shared" si="2"/>
        <v>35</v>
      </c>
      <c r="P4">
        <v>60000</v>
      </c>
      <c r="Q4">
        <f t="shared" si="3"/>
        <v>60000</v>
      </c>
      <c r="R4" t="str">
        <f t="shared" si="4"/>
        <v>Female</v>
      </c>
      <c r="S4" t="str">
        <f t="shared" si="5"/>
        <v>Sales</v>
      </c>
      <c r="T4" t="str">
        <f t="shared" si="6"/>
        <v>Director</v>
      </c>
      <c r="U4" s="2">
        <v>43845</v>
      </c>
      <c r="V4" t="s">
        <v>24</v>
      </c>
      <c r="W4" t="s">
        <v>51</v>
      </c>
      <c r="X4" t="str">
        <f t="shared" si="7"/>
        <v>email@example/com</v>
      </c>
      <c r="Y4" t="str">
        <f t="shared" si="8"/>
        <v>email@example.com</v>
      </c>
      <c r="Z4" t="str">
        <f t="shared" si="0"/>
        <v>098-765-4321</v>
      </c>
    </row>
    <row r="5" spans="1:26" x14ac:dyDescent="0.25">
      <c r="A5" t="s">
        <v>26</v>
      </c>
      <c r="B5" t="s">
        <v>15</v>
      </c>
      <c r="C5">
        <v>50000</v>
      </c>
      <c r="D5" t="s">
        <v>17</v>
      </c>
      <c r="E5" t="s">
        <v>27</v>
      </c>
      <c r="F5" t="s">
        <v>13</v>
      </c>
      <c r="G5" s="1">
        <v>43195</v>
      </c>
      <c r="H5" t="s">
        <v>28</v>
      </c>
      <c r="I5" t="s">
        <v>53</v>
      </c>
      <c r="J5" t="s">
        <v>29</v>
      </c>
      <c r="M5" t="str">
        <f t="shared" si="1"/>
        <v>Eve</v>
      </c>
      <c r="N5" t="s">
        <v>15</v>
      </c>
      <c r="O5">
        <f t="shared" si="2"/>
        <v>35</v>
      </c>
      <c r="P5">
        <v>50000</v>
      </c>
      <c r="Q5">
        <f t="shared" si="3"/>
        <v>50000</v>
      </c>
      <c r="R5" t="str">
        <f t="shared" si="4"/>
        <v>Female</v>
      </c>
      <c r="S5" t="str">
        <f t="shared" si="5"/>
        <v>IT</v>
      </c>
      <c r="T5" t="str">
        <f t="shared" si="6"/>
        <v>Manager</v>
      </c>
      <c r="U5" s="2">
        <v>43195</v>
      </c>
      <c r="V5" t="s">
        <v>28</v>
      </c>
      <c r="W5" t="s">
        <v>53</v>
      </c>
      <c r="X5" t="str">
        <f t="shared" si="7"/>
        <v>name@company/org</v>
      </c>
      <c r="Y5" t="str">
        <f t="shared" si="8"/>
        <v>name@company.org</v>
      </c>
      <c r="Z5" t="str">
        <f t="shared" si="0"/>
        <v>Phone not provided</v>
      </c>
    </row>
    <row r="6" spans="1:26" x14ac:dyDescent="0.25">
      <c r="A6" t="s">
        <v>10</v>
      </c>
      <c r="B6" t="s">
        <v>15</v>
      </c>
      <c r="C6" t="s">
        <v>30</v>
      </c>
      <c r="D6" t="s">
        <v>17</v>
      </c>
      <c r="E6" t="s">
        <v>18</v>
      </c>
      <c r="F6" t="s">
        <v>13</v>
      </c>
      <c r="G6" s="2">
        <v>43845</v>
      </c>
      <c r="H6" t="s">
        <v>20</v>
      </c>
      <c r="I6" t="s">
        <v>53</v>
      </c>
      <c r="J6" t="s">
        <v>25</v>
      </c>
      <c r="M6" t="str">
        <f t="shared" si="1"/>
        <v>Grace</v>
      </c>
      <c r="N6" t="s">
        <v>15</v>
      </c>
      <c r="O6">
        <f t="shared" si="2"/>
        <v>35</v>
      </c>
      <c r="P6" t="s">
        <v>30</v>
      </c>
      <c r="Q6">
        <f t="shared" si="3"/>
        <v>60000</v>
      </c>
      <c r="R6" t="str">
        <f t="shared" si="4"/>
        <v>Female</v>
      </c>
      <c r="S6" t="str">
        <f t="shared" si="5"/>
        <v>Finance</v>
      </c>
      <c r="T6" t="str">
        <f t="shared" si="6"/>
        <v>Manager</v>
      </c>
      <c r="U6" s="2">
        <v>43845</v>
      </c>
      <c r="V6" t="s">
        <v>20</v>
      </c>
      <c r="W6" t="s">
        <v>53</v>
      </c>
      <c r="X6" t="str">
        <f t="shared" si="7"/>
        <v>name@company/org</v>
      </c>
      <c r="Y6" t="str">
        <f t="shared" si="8"/>
        <v>name@company.org</v>
      </c>
      <c r="Z6" t="str">
        <f t="shared" si="0"/>
        <v>098-765-4321</v>
      </c>
    </row>
    <row r="7" spans="1:26" x14ac:dyDescent="0.25">
      <c r="A7" t="s">
        <v>31</v>
      </c>
      <c r="B7" t="s">
        <v>15</v>
      </c>
      <c r="C7">
        <v>65000</v>
      </c>
      <c r="D7" t="s">
        <v>32</v>
      </c>
      <c r="E7" t="s">
        <v>33</v>
      </c>
      <c r="F7" t="s">
        <v>19</v>
      </c>
      <c r="G7" s="2">
        <v>43549</v>
      </c>
      <c r="H7" t="s">
        <v>20</v>
      </c>
      <c r="I7" t="s">
        <v>52</v>
      </c>
      <c r="J7" t="s">
        <v>15</v>
      </c>
      <c r="M7" t="str">
        <f t="shared" si="1"/>
        <v>Jack</v>
      </c>
      <c r="N7" t="s">
        <v>15</v>
      </c>
      <c r="O7">
        <f t="shared" si="2"/>
        <v>35</v>
      </c>
      <c r="P7">
        <v>65000</v>
      </c>
      <c r="Q7">
        <f t="shared" si="3"/>
        <v>65000</v>
      </c>
      <c r="R7" t="str">
        <f t="shared" si="4"/>
        <v>Other</v>
      </c>
      <c r="S7" t="str">
        <f t="shared" si="5"/>
        <v>Marketing</v>
      </c>
      <c r="T7" t="str">
        <f t="shared" si="6"/>
        <v>Director</v>
      </c>
      <c r="U7" s="2">
        <v>43549</v>
      </c>
      <c r="V7" t="s">
        <v>20</v>
      </c>
      <c r="W7" t="s">
        <v>52</v>
      </c>
      <c r="X7" t="str">
        <f t="shared" si="7"/>
        <v>user@domain/com</v>
      </c>
      <c r="Y7" t="str">
        <f t="shared" si="8"/>
        <v>user@domain.com</v>
      </c>
      <c r="Z7" t="str">
        <f t="shared" si="0"/>
        <v>Phone not provided</v>
      </c>
    </row>
    <row r="8" spans="1:26" x14ac:dyDescent="0.25">
      <c r="A8" t="s">
        <v>34</v>
      </c>
      <c r="B8" t="s">
        <v>15</v>
      </c>
      <c r="C8">
        <v>50000</v>
      </c>
      <c r="D8" t="s">
        <v>11</v>
      </c>
      <c r="E8" t="s">
        <v>33</v>
      </c>
      <c r="F8" t="s">
        <v>35</v>
      </c>
      <c r="G8" s="2">
        <v>43800</v>
      </c>
      <c r="H8" t="s">
        <v>36</v>
      </c>
      <c r="J8" t="s">
        <v>21</v>
      </c>
      <c r="M8" t="str">
        <f t="shared" si="1"/>
        <v>Charlie</v>
      </c>
      <c r="N8" t="s">
        <v>15</v>
      </c>
      <c r="O8">
        <f t="shared" si="2"/>
        <v>35</v>
      </c>
      <c r="P8">
        <v>50000</v>
      </c>
      <c r="Q8">
        <f t="shared" si="3"/>
        <v>50000</v>
      </c>
      <c r="R8" t="str">
        <f t="shared" si="4"/>
        <v>Male</v>
      </c>
      <c r="S8" t="str">
        <f t="shared" si="5"/>
        <v>Marketing</v>
      </c>
      <c r="T8" t="str">
        <f t="shared" si="6"/>
        <v>Clerk</v>
      </c>
      <c r="U8" s="2">
        <v>43800</v>
      </c>
      <c r="V8" t="s">
        <v>36</v>
      </c>
      <c r="X8" t="str">
        <f t="shared" si="7"/>
        <v>Email not provided</v>
      </c>
      <c r="Y8" t="str">
        <f t="shared" si="8"/>
        <v>Email not provided</v>
      </c>
      <c r="Z8" t="str">
        <f t="shared" si="0"/>
        <v>123-456-7890</v>
      </c>
    </row>
    <row r="9" spans="1:26" x14ac:dyDescent="0.25">
      <c r="A9" t="s">
        <v>10</v>
      </c>
      <c r="B9">
        <v>40</v>
      </c>
      <c r="C9">
        <v>50000</v>
      </c>
      <c r="D9" t="s">
        <v>32</v>
      </c>
      <c r="E9" t="s">
        <v>12</v>
      </c>
      <c r="F9" t="s">
        <v>19</v>
      </c>
      <c r="G9" s="2">
        <v>43549</v>
      </c>
      <c r="H9" t="s">
        <v>24</v>
      </c>
      <c r="J9" t="s">
        <v>29</v>
      </c>
      <c r="M9" t="str">
        <f t="shared" si="1"/>
        <v>Grace</v>
      </c>
      <c r="N9">
        <v>40</v>
      </c>
      <c r="O9">
        <f t="shared" si="2"/>
        <v>40</v>
      </c>
      <c r="P9">
        <v>50000</v>
      </c>
      <c r="Q9">
        <f t="shared" si="3"/>
        <v>50000</v>
      </c>
      <c r="R9" t="str">
        <f t="shared" si="4"/>
        <v>Other</v>
      </c>
      <c r="S9" t="str">
        <f t="shared" si="5"/>
        <v>HR</v>
      </c>
      <c r="T9" t="str">
        <f t="shared" si="6"/>
        <v>Director</v>
      </c>
      <c r="U9" s="2">
        <v>43549</v>
      </c>
      <c r="V9" t="s">
        <v>24</v>
      </c>
      <c r="X9" t="str">
        <f t="shared" si="7"/>
        <v>Email not provided</v>
      </c>
      <c r="Y9" t="str">
        <f t="shared" si="8"/>
        <v>Email not provided</v>
      </c>
      <c r="Z9" t="str">
        <f t="shared" si="0"/>
        <v>Phone not provided</v>
      </c>
    </row>
    <row r="10" spans="1:26" x14ac:dyDescent="0.25">
      <c r="A10" t="s">
        <v>22</v>
      </c>
      <c r="B10">
        <v>40</v>
      </c>
      <c r="C10">
        <v>60000</v>
      </c>
      <c r="D10" t="s">
        <v>17</v>
      </c>
      <c r="E10" t="s">
        <v>33</v>
      </c>
      <c r="F10" t="s">
        <v>13</v>
      </c>
      <c r="G10" s="2">
        <v>43845</v>
      </c>
      <c r="H10" t="s">
        <v>24</v>
      </c>
      <c r="I10" t="s">
        <v>52</v>
      </c>
      <c r="J10" t="s">
        <v>21</v>
      </c>
      <c r="M10" t="str">
        <f t="shared" si="1"/>
        <v>Hannah</v>
      </c>
      <c r="N10">
        <v>40</v>
      </c>
      <c r="O10">
        <f t="shared" si="2"/>
        <v>40</v>
      </c>
      <c r="P10">
        <v>60000</v>
      </c>
      <c r="Q10">
        <f t="shared" si="3"/>
        <v>60000</v>
      </c>
      <c r="R10" t="str">
        <f t="shared" si="4"/>
        <v>Female</v>
      </c>
      <c r="S10" t="str">
        <f t="shared" si="5"/>
        <v>Marketing</v>
      </c>
      <c r="T10" t="str">
        <f t="shared" si="6"/>
        <v>Manager</v>
      </c>
      <c r="U10" s="2">
        <v>43845</v>
      </c>
      <c r="V10" t="s">
        <v>24</v>
      </c>
      <c r="W10" t="s">
        <v>52</v>
      </c>
      <c r="X10" t="str">
        <f t="shared" si="7"/>
        <v>user@domain/com</v>
      </c>
      <c r="Y10" t="str">
        <f t="shared" si="8"/>
        <v>user@domain.com</v>
      </c>
      <c r="Z10" t="str">
        <f t="shared" si="0"/>
        <v>123-456-7890</v>
      </c>
    </row>
    <row r="11" spans="1:26" x14ac:dyDescent="0.25">
      <c r="A11" t="s">
        <v>26</v>
      </c>
      <c r="B11">
        <v>30</v>
      </c>
      <c r="C11" t="s">
        <v>30</v>
      </c>
      <c r="D11" t="s">
        <v>32</v>
      </c>
      <c r="E11" t="s">
        <v>18</v>
      </c>
      <c r="F11" t="s">
        <v>37</v>
      </c>
      <c r="G11" s="2">
        <v>43881</v>
      </c>
      <c r="H11" t="s">
        <v>28</v>
      </c>
      <c r="J11" t="s">
        <v>29</v>
      </c>
      <c r="M11" t="str">
        <f t="shared" si="1"/>
        <v>Eve</v>
      </c>
      <c r="N11">
        <v>30</v>
      </c>
      <c r="O11">
        <f t="shared" si="2"/>
        <v>30</v>
      </c>
      <c r="P11" t="s">
        <v>30</v>
      </c>
      <c r="Q11">
        <f t="shared" si="3"/>
        <v>60000</v>
      </c>
      <c r="R11" t="str">
        <f t="shared" si="4"/>
        <v>Other</v>
      </c>
      <c r="S11" t="str">
        <f t="shared" si="5"/>
        <v>Finance</v>
      </c>
      <c r="T11" t="str">
        <f t="shared" si="6"/>
        <v>Assistant</v>
      </c>
      <c r="U11" s="2">
        <v>43881</v>
      </c>
      <c r="V11" t="s">
        <v>28</v>
      </c>
      <c r="X11" t="str">
        <f t="shared" si="7"/>
        <v>Email not provided</v>
      </c>
      <c r="Y11" t="str">
        <f t="shared" si="8"/>
        <v>Email not provided</v>
      </c>
      <c r="Z11" t="str">
        <f t="shared" si="0"/>
        <v>Phone not provided</v>
      </c>
    </row>
    <row r="12" spans="1:26" x14ac:dyDescent="0.25">
      <c r="A12" t="s">
        <v>16</v>
      </c>
      <c r="B12">
        <v>25</v>
      </c>
      <c r="C12">
        <v>70000</v>
      </c>
      <c r="D12" t="s">
        <v>11</v>
      </c>
      <c r="E12" t="s">
        <v>33</v>
      </c>
      <c r="F12" t="s">
        <v>38</v>
      </c>
      <c r="G12" s="2">
        <v>43800</v>
      </c>
      <c r="H12" t="s">
        <v>36</v>
      </c>
      <c r="I12" t="s">
        <v>15</v>
      </c>
      <c r="J12" t="s">
        <v>21</v>
      </c>
      <c r="M12" t="str">
        <f t="shared" si="1"/>
        <v>David</v>
      </c>
      <c r="N12">
        <v>25</v>
      </c>
      <c r="O12">
        <f t="shared" si="2"/>
        <v>25</v>
      </c>
      <c r="P12">
        <v>70000</v>
      </c>
      <c r="Q12">
        <f t="shared" si="3"/>
        <v>70000</v>
      </c>
      <c r="R12" t="str">
        <f t="shared" si="4"/>
        <v>Male</v>
      </c>
      <c r="S12" t="str">
        <f t="shared" si="5"/>
        <v>Marketing</v>
      </c>
      <c r="T12" t="str">
        <f t="shared" si="6"/>
        <v>Analyst</v>
      </c>
      <c r="U12" s="2">
        <v>43800</v>
      </c>
      <c r="V12" t="s">
        <v>36</v>
      </c>
      <c r="W12" t="s">
        <v>15</v>
      </c>
      <c r="X12" t="str">
        <f t="shared" si="7"/>
        <v>Email not provided</v>
      </c>
      <c r="Y12" t="str">
        <f t="shared" si="8"/>
        <v>Email not provided</v>
      </c>
      <c r="Z12" t="str">
        <f t="shared" si="0"/>
        <v>123-456-7890</v>
      </c>
    </row>
    <row r="13" spans="1:26" x14ac:dyDescent="0.25">
      <c r="A13" t="s">
        <v>22</v>
      </c>
      <c r="B13" t="s">
        <v>15</v>
      </c>
      <c r="C13">
        <v>70000</v>
      </c>
      <c r="D13" t="s">
        <v>32</v>
      </c>
      <c r="E13" t="s">
        <v>18</v>
      </c>
      <c r="F13" t="s">
        <v>37</v>
      </c>
      <c r="G13" s="2">
        <v>43549</v>
      </c>
      <c r="H13" t="s">
        <v>28</v>
      </c>
      <c r="J13" t="s">
        <v>15</v>
      </c>
      <c r="M13" t="str">
        <f t="shared" si="1"/>
        <v>Hannah</v>
      </c>
      <c r="N13" t="s">
        <v>15</v>
      </c>
      <c r="O13">
        <f t="shared" si="2"/>
        <v>35</v>
      </c>
      <c r="P13">
        <v>70000</v>
      </c>
      <c r="Q13">
        <f t="shared" si="3"/>
        <v>70000</v>
      </c>
      <c r="R13" t="str">
        <f t="shared" si="4"/>
        <v>Other</v>
      </c>
      <c r="S13" t="str">
        <f t="shared" si="5"/>
        <v>Finance</v>
      </c>
      <c r="T13" t="str">
        <f t="shared" si="6"/>
        <v>Assistant</v>
      </c>
      <c r="U13" s="2">
        <v>43549</v>
      </c>
      <c r="V13" t="s">
        <v>28</v>
      </c>
      <c r="X13" t="str">
        <f t="shared" si="7"/>
        <v>Email not provided</v>
      </c>
      <c r="Y13" t="str">
        <f t="shared" si="8"/>
        <v>Email not provided</v>
      </c>
      <c r="Z13" t="str">
        <f t="shared" si="0"/>
        <v>Phone not provided</v>
      </c>
    </row>
    <row r="14" spans="1:26" x14ac:dyDescent="0.25">
      <c r="A14" t="s">
        <v>22</v>
      </c>
      <c r="B14">
        <v>30</v>
      </c>
      <c r="C14">
        <v>50000</v>
      </c>
      <c r="D14" t="s">
        <v>11</v>
      </c>
      <c r="E14" t="s">
        <v>27</v>
      </c>
      <c r="F14" t="s">
        <v>37</v>
      </c>
      <c r="G14" s="1">
        <v>43195</v>
      </c>
      <c r="H14" t="s">
        <v>14</v>
      </c>
      <c r="J14" t="s">
        <v>29</v>
      </c>
      <c r="M14" t="str">
        <f t="shared" si="1"/>
        <v>Hannah</v>
      </c>
      <c r="N14">
        <v>30</v>
      </c>
      <c r="O14">
        <f t="shared" si="2"/>
        <v>30</v>
      </c>
      <c r="P14">
        <v>50000</v>
      </c>
      <c r="Q14">
        <f t="shared" si="3"/>
        <v>50000</v>
      </c>
      <c r="R14" t="str">
        <f t="shared" si="4"/>
        <v>Male</v>
      </c>
      <c r="S14" t="str">
        <f t="shared" si="5"/>
        <v>IT</v>
      </c>
      <c r="T14" t="str">
        <f t="shared" si="6"/>
        <v>Assistant</v>
      </c>
      <c r="U14" s="2">
        <v>43195</v>
      </c>
      <c r="V14" t="s">
        <v>14</v>
      </c>
      <c r="X14" t="str">
        <f t="shared" si="7"/>
        <v>Email not provided</v>
      </c>
      <c r="Y14" t="str">
        <f t="shared" si="8"/>
        <v>Email not provided</v>
      </c>
      <c r="Z14" t="str">
        <f t="shared" si="0"/>
        <v>Phone not provided</v>
      </c>
    </row>
    <row r="15" spans="1:26" x14ac:dyDescent="0.25">
      <c r="A15" t="s">
        <v>34</v>
      </c>
      <c r="B15">
        <v>25</v>
      </c>
      <c r="C15">
        <v>55000</v>
      </c>
      <c r="D15" t="s">
        <v>32</v>
      </c>
      <c r="E15" t="s">
        <v>12</v>
      </c>
      <c r="F15" t="s">
        <v>13</v>
      </c>
      <c r="G15" s="2">
        <v>43881</v>
      </c>
      <c r="H15" t="s">
        <v>20</v>
      </c>
      <c r="J15" t="s">
        <v>39</v>
      </c>
      <c r="M15" t="str">
        <f t="shared" si="1"/>
        <v>Charlie</v>
      </c>
      <c r="N15">
        <v>25</v>
      </c>
      <c r="O15">
        <f t="shared" si="2"/>
        <v>25</v>
      </c>
      <c r="P15">
        <v>55000</v>
      </c>
      <c r="Q15">
        <f t="shared" si="3"/>
        <v>55000</v>
      </c>
      <c r="R15" t="str">
        <f t="shared" si="4"/>
        <v>Other</v>
      </c>
      <c r="S15" t="str">
        <f t="shared" si="5"/>
        <v>HR</v>
      </c>
      <c r="T15" t="str">
        <f t="shared" si="6"/>
        <v>Manager</v>
      </c>
      <c r="U15" s="2">
        <v>43881</v>
      </c>
      <c r="V15" t="s">
        <v>20</v>
      </c>
      <c r="X15" t="str">
        <f t="shared" si="7"/>
        <v>Email not provided</v>
      </c>
      <c r="Y15" t="str">
        <f t="shared" si="8"/>
        <v>Email not provided</v>
      </c>
      <c r="Z15" t="str">
        <f t="shared" si="0"/>
        <v>555-555-5555</v>
      </c>
    </row>
    <row r="16" spans="1:26" x14ac:dyDescent="0.25">
      <c r="A16" t="s">
        <v>40</v>
      </c>
      <c r="B16">
        <v>50</v>
      </c>
      <c r="C16" t="s">
        <v>30</v>
      </c>
      <c r="D16" t="s">
        <v>11</v>
      </c>
      <c r="E16" t="s">
        <v>33</v>
      </c>
      <c r="F16" t="s">
        <v>19</v>
      </c>
      <c r="G16" s="2">
        <v>43549</v>
      </c>
      <c r="H16" t="s">
        <v>28</v>
      </c>
      <c r="I16" t="s">
        <v>15</v>
      </c>
      <c r="J16" t="s">
        <v>21</v>
      </c>
      <c r="M16" t="str">
        <f t="shared" si="1"/>
        <v>Frank</v>
      </c>
      <c r="N16">
        <v>50</v>
      </c>
      <c r="O16">
        <f t="shared" si="2"/>
        <v>50</v>
      </c>
      <c r="P16" t="s">
        <v>30</v>
      </c>
      <c r="Q16">
        <f t="shared" si="3"/>
        <v>60000</v>
      </c>
      <c r="R16" t="str">
        <f t="shared" si="4"/>
        <v>Male</v>
      </c>
      <c r="S16" t="str">
        <f t="shared" si="5"/>
        <v>Marketing</v>
      </c>
      <c r="T16" t="str">
        <f t="shared" si="6"/>
        <v>Director</v>
      </c>
      <c r="U16" s="2">
        <v>43549</v>
      </c>
      <c r="V16" t="s">
        <v>28</v>
      </c>
      <c r="W16" t="s">
        <v>15</v>
      </c>
      <c r="X16" t="str">
        <f t="shared" si="7"/>
        <v>Email not provided</v>
      </c>
      <c r="Y16" t="str">
        <f t="shared" si="8"/>
        <v>Email not provided</v>
      </c>
      <c r="Z16" t="str">
        <f t="shared" si="0"/>
        <v>123-456-7890</v>
      </c>
    </row>
    <row r="17" spans="1:26" x14ac:dyDescent="0.25">
      <c r="A17" t="s">
        <v>26</v>
      </c>
      <c r="B17">
        <v>35</v>
      </c>
      <c r="C17">
        <v>65000</v>
      </c>
      <c r="D17" t="s">
        <v>11</v>
      </c>
      <c r="E17" t="s">
        <v>18</v>
      </c>
      <c r="F17" t="s">
        <v>35</v>
      </c>
      <c r="G17" s="1">
        <v>43195</v>
      </c>
      <c r="H17" t="s">
        <v>20</v>
      </c>
      <c r="J17" t="s">
        <v>21</v>
      </c>
      <c r="M17" t="str">
        <f t="shared" si="1"/>
        <v>Eve</v>
      </c>
      <c r="N17">
        <v>35</v>
      </c>
      <c r="O17">
        <f t="shared" si="2"/>
        <v>35</v>
      </c>
      <c r="P17">
        <v>65000</v>
      </c>
      <c r="Q17">
        <f t="shared" si="3"/>
        <v>65000</v>
      </c>
      <c r="R17" t="str">
        <f t="shared" si="4"/>
        <v>Male</v>
      </c>
      <c r="S17" t="str">
        <f t="shared" si="5"/>
        <v>Finance</v>
      </c>
      <c r="T17" t="str">
        <f t="shared" si="6"/>
        <v>Clerk</v>
      </c>
      <c r="U17" s="2">
        <v>43195</v>
      </c>
      <c r="V17" t="s">
        <v>20</v>
      </c>
      <c r="X17" t="str">
        <f t="shared" si="7"/>
        <v>Email not provided</v>
      </c>
      <c r="Y17" t="str">
        <f t="shared" si="8"/>
        <v>Email not provided</v>
      </c>
      <c r="Z17" t="str">
        <f t="shared" si="0"/>
        <v>123-456-7890</v>
      </c>
    </row>
    <row r="18" spans="1:26" x14ac:dyDescent="0.25">
      <c r="A18" t="s">
        <v>41</v>
      </c>
      <c r="B18">
        <v>40</v>
      </c>
      <c r="C18">
        <v>55000</v>
      </c>
      <c r="D18" t="s">
        <v>17</v>
      </c>
      <c r="E18" t="s">
        <v>23</v>
      </c>
      <c r="F18" t="s">
        <v>37</v>
      </c>
      <c r="G18" s="2">
        <v>43845</v>
      </c>
      <c r="H18" t="s">
        <v>36</v>
      </c>
      <c r="I18" t="s">
        <v>15</v>
      </c>
      <c r="J18" t="s">
        <v>25</v>
      </c>
      <c r="M18" t="str">
        <f t="shared" si="1"/>
        <v>Bob</v>
      </c>
      <c r="N18">
        <v>40</v>
      </c>
      <c r="O18">
        <f t="shared" si="2"/>
        <v>40</v>
      </c>
      <c r="P18">
        <v>55000</v>
      </c>
      <c r="Q18">
        <f t="shared" si="3"/>
        <v>55000</v>
      </c>
      <c r="R18" t="str">
        <f t="shared" si="4"/>
        <v>Female</v>
      </c>
      <c r="S18" t="str">
        <f t="shared" si="5"/>
        <v>Sales</v>
      </c>
      <c r="T18" t="str">
        <f t="shared" si="6"/>
        <v>Assistant</v>
      </c>
      <c r="U18" s="2">
        <v>43845</v>
      </c>
      <c r="V18" t="s">
        <v>36</v>
      </c>
      <c r="W18" t="s">
        <v>15</v>
      </c>
      <c r="X18" t="str">
        <f t="shared" si="7"/>
        <v>Email not provided</v>
      </c>
      <c r="Y18" t="str">
        <f t="shared" si="8"/>
        <v>Email not provided</v>
      </c>
      <c r="Z18" t="str">
        <f t="shared" si="0"/>
        <v>098-765-4321</v>
      </c>
    </row>
    <row r="19" spans="1:26" x14ac:dyDescent="0.25">
      <c r="A19" t="s">
        <v>22</v>
      </c>
      <c r="B19">
        <v>50</v>
      </c>
      <c r="C19">
        <v>55000</v>
      </c>
      <c r="D19" t="s">
        <v>11</v>
      </c>
      <c r="E19" t="s">
        <v>12</v>
      </c>
      <c r="F19" t="s">
        <v>19</v>
      </c>
      <c r="G19" s="1">
        <v>43195</v>
      </c>
      <c r="H19" t="s">
        <v>14</v>
      </c>
      <c r="I19" t="s">
        <v>52</v>
      </c>
      <c r="J19" t="s">
        <v>29</v>
      </c>
      <c r="M19" t="str">
        <f t="shared" si="1"/>
        <v>Hannah</v>
      </c>
      <c r="N19">
        <v>50</v>
      </c>
      <c r="O19">
        <f t="shared" si="2"/>
        <v>50</v>
      </c>
      <c r="P19">
        <v>55000</v>
      </c>
      <c r="Q19">
        <f t="shared" si="3"/>
        <v>55000</v>
      </c>
      <c r="R19" t="str">
        <f t="shared" si="4"/>
        <v>Male</v>
      </c>
      <c r="S19" t="str">
        <f t="shared" si="5"/>
        <v>HR</v>
      </c>
      <c r="T19" t="str">
        <f t="shared" si="6"/>
        <v>Director</v>
      </c>
      <c r="U19" s="2">
        <v>43195</v>
      </c>
      <c r="V19" t="s">
        <v>14</v>
      </c>
      <c r="W19" t="s">
        <v>52</v>
      </c>
      <c r="X19" t="str">
        <f t="shared" si="7"/>
        <v>user@domain/com</v>
      </c>
      <c r="Y19" t="str">
        <f t="shared" si="8"/>
        <v>user@domain.com</v>
      </c>
      <c r="Z19" t="str">
        <f t="shared" si="0"/>
        <v>Phone not provided</v>
      </c>
    </row>
    <row r="20" spans="1:26" x14ac:dyDescent="0.25">
      <c r="A20" t="s">
        <v>40</v>
      </c>
      <c r="B20">
        <v>25</v>
      </c>
      <c r="C20" t="s">
        <v>30</v>
      </c>
      <c r="D20" t="s">
        <v>17</v>
      </c>
      <c r="E20" t="s">
        <v>27</v>
      </c>
      <c r="F20" t="s">
        <v>35</v>
      </c>
      <c r="G20" s="2">
        <v>43549</v>
      </c>
      <c r="H20" t="s">
        <v>36</v>
      </c>
      <c r="I20" t="s">
        <v>51</v>
      </c>
      <c r="J20" t="s">
        <v>39</v>
      </c>
      <c r="M20" t="str">
        <f t="shared" si="1"/>
        <v>Frank</v>
      </c>
      <c r="N20">
        <v>25</v>
      </c>
      <c r="O20">
        <f t="shared" si="2"/>
        <v>25</v>
      </c>
      <c r="P20" t="s">
        <v>30</v>
      </c>
      <c r="Q20">
        <f t="shared" si="3"/>
        <v>60000</v>
      </c>
      <c r="R20" t="str">
        <f t="shared" si="4"/>
        <v>Female</v>
      </c>
      <c r="S20" t="str">
        <f t="shared" si="5"/>
        <v>IT</v>
      </c>
      <c r="T20" t="str">
        <f t="shared" si="6"/>
        <v>Clerk</v>
      </c>
      <c r="U20" s="2">
        <v>43549</v>
      </c>
      <c r="V20" t="s">
        <v>36</v>
      </c>
      <c r="W20" t="s">
        <v>51</v>
      </c>
      <c r="X20" t="str">
        <f t="shared" si="7"/>
        <v>email@example/com</v>
      </c>
      <c r="Y20" t="str">
        <f t="shared" si="8"/>
        <v>email@example.com</v>
      </c>
      <c r="Z20" t="str">
        <f t="shared" si="0"/>
        <v>555-555-5555</v>
      </c>
    </row>
    <row r="21" spans="1:26" x14ac:dyDescent="0.25">
      <c r="A21" t="s">
        <v>41</v>
      </c>
      <c r="B21">
        <v>50</v>
      </c>
      <c r="C21">
        <v>50000</v>
      </c>
      <c r="D21" t="s">
        <v>17</v>
      </c>
      <c r="E21" t="s">
        <v>18</v>
      </c>
      <c r="F21" t="s">
        <v>37</v>
      </c>
      <c r="G21" s="2">
        <v>43549</v>
      </c>
      <c r="H21" t="s">
        <v>14</v>
      </c>
      <c r="I21" t="s">
        <v>52</v>
      </c>
      <c r="J21" t="s">
        <v>15</v>
      </c>
      <c r="M21" t="str">
        <f t="shared" si="1"/>
        <v>Bob</v>
      </c>
      <c r="N21">
        <v>50</v>
      </c>
      <c r="O21">
        <f t="shared" si="2"/>
        <v>50</v>
      </c>
      <c r="P21">
        <v>50000</v>
      </c>
      <c r="Q21">
        <f t="shared" si="3"/>
        <v>50000</v>
      </c>
      <c r="R21" t="str">
        <f t="shared" si="4"/>
        <v>Female</v>
      </c>
      <c r="S21" t="str">
        <f t="shared" si="5"/>
        <v>Finance</v>
      </c>
      <c r="T21" t="str">
        <f t="shared" si="6"/>
        <v>Assistant</v>
      </c>
      <c r="U21" s="2">
        <v>43549</v>
      </c>
      <c r="V21" t="s">
        <v>14</v>
      </c>
      <c r="W21" t="s">
        <v>52</v>
      </c>
      <c r="X21" t="str">
        <f t="shared" si="7"/>
        <v>user@domain/com</v>
      </c>
      <c r="Y21" t="str">
        <f t="shared" si="8"/>
        <v>user@domain.com</v>
      </c>
      <c r="Z21" t="str">
        <f t="shared" si="0"/>
        <v>Phone not provided</v>
      </c>
    </row>
    <row r="22" spans="1:26" x14ac:dyDescent="0.25">
      <c r="A22" t="s">
        <v>26</v>
      </c>
      <c r="B22">
        <v>35</v>
      </c>
      <c r="C22">
        <v>50000</v>
      </c>
      <c r="D22" t="s">
        <v>17</v>
      </c>
      <c r="E22" t="s">
        <v>27</v>
      </c>
      <c r="F22" t="s">
        <v>35</v>
      </c>
      <c r="G22" s="2">
        <v>43845</v>
      </c>
      <c r="H22" t="s">
        <v>14</v>
      </c>
      <c r="I22" t="s">
        <v>51</v>
      </c>
      <c r="J22" t="s">
        <v>25</v>
      </c>
      <c r="M22" t="str">
        <f t="shared" si="1"/>
        <v>Eve</v>
      </c>
      <c r="N22">
        <v>35</v>
      </c>
      <c r="O22">
        <f t="shared" si="2"/>
        <v>35</v>
      </c>
      <c r="P22">
        <v>50000</v>
      </c>
      <c r="Q22">
        <f t="shared" si="3"/>
        <v>50000</v>
      </c>
      <c r="R22" t="str">
        <f t="shared" si="4"/>
        <v>Female</v>
      </c>
      <c r="S22" t="str">
        <f t="shared" si="5"/>
        <v>IT</v>
      </c>
      <c r="T22" t="str">
        <f t="shared" si="6"/>
        <v>Clerk</v>
      </c>
      <c r="U22" s="2">
        <v>43845</v>
      </c>
      <c r="V22" t="s">
        <v>14</v>
      </c>
      <c r="W22" t="s">
        <v>51</v>
      </c>
      <c r="X22" t="str">
        <f t="shared" si="7"/>
        <v>email@example/com</v>
      </c>
      <c r="Y22" t="str">
        <f t="shared" si="8"/>
        <v>email@example.com</v>
      </c>
      <c r="Z22" t="str">
        <f t="shared" si="0"/>
        <v>098-765-4321</v>
      </c>
    </row>
    <row r="23" spans="1:26" x14ac:dyDescent="0.25">
      <c r="A23" t="s">
        <v>42</v>
      </c>
      <c r="B23">
        <v>25</v>
      </c>
      <c r="C23">
        <v>50000</v>
      </c>
      <c r="D23" t="s">
        <v>32</v>
      </c>
      <c r="E23" t="s">
        <v>27</v>
      </c>
      <c r="F23" t="s">
        <v>19</v>
      </c>
      <c r="G23" s="1">
        <v>43195</v>
      </c>
      <c r="H23" t="s">
        <v>20</v>
      </c>
      <c r="I23" t="s">
        <v>52</v>
      </c>
      <c r="J23" t="s">
        <v>39</v>
      </c>
      <c r="M23" t="str">
        <f t="shared" si="1"/>
        <v>Alice</v>
      </c>
      <c r="N23">
        <v>25</v>
      </c>
      <c r="O23">
        <f t="shared" si="2"/>
        <v>25</v>
      </c>
      <c r="P23">
        <v>50000</v>
      </c>
      <c r="Q23">
        <f t="shared" si="3"/>
        <v>50000</v>
      </c>
      <c r="R23" t="str">
        <f t="shared" si="4"/>
        <v>Other</v>
      </c>
      <c r="S23" t="str">
        <f t="shared" si="5"/>
        <v>IT</v>
      </c>
      <c r="T23" t="str">
        <f t="shared" si="6"/>
        <v>Director</v>
      </c>
      <c r="U23" s="2">
        <v>43195</v>
      </c>
      <c r="V23" t="s">
        <v>20</v>
      </c>
      <c r="W23" t="s">
        <v>52</v>
      </c>
      <c r="X23" t="str">
        <f t="shared" si="7"/>
        <v>user@domain/com</v>
      </c>
      <c r="Y23" t="str">
        <f t="shared" si="8"/>
        <v>user@domain.com</v>
      </c>
      <c r="Z23" t="str">
        <f t="shared" si="0"/>
        <v>555-555-5555</v>
      </c>
    </row>
    <row r="24" spans="1:26" x14ac:dyDescent="0.25">
      <c r="A24" t="s">
        <v>31</v>
      </c>
      <c r="B24">
        <v>50</v>
      </c>
      <c r="C24">
        <v>50000</v>
      </c>
      <c r="D24" t="s">
        <v>32</v>
      </c>
      <c r="E24" t="s">
        <v>33</v>
      </c>
      <c r="F24" t="s">
        <v>38</v>
      </c>
      <c r="G24" s="1">
        <v>43195</v>
      </c>
      <c r="H24" t="s">
        <v>36</v>
      </c>
      <c r="I24" t="s">
        <v>51</v>
      </c>
      <c r="J24" t="s">
        <v>29</v>
      </c>
      <c r="M24" t="str">
        <f t="shared" si="1"/>
        <v>Jack</v>
      </c>
      <c r="N24">
        <v>50</v>
      </c>
      <c r="O24">
        <f t="shared" si="2"/>
        <v>50</v>
      </c>
      <c r="P24">
        <v>50000</v>
      </c>
      <c r="Q24">
        <f t="shared" si="3"/>
        <v>50000</v>
      </c>
      <c r="R24" t="str">
        <f t="shared" si="4"/>
        <v>Other</v>
      </c>
      <c r="S24" t="str">
        <f t="shared" si="5"/>
        <v>Marketing</v>
      </c>
      <c r="T24" t="str">
        <f t="shared" si="6"/>
        <v>Analyst</v>
      </c>
      <c r="U24" s="2">
        <v>43195</v>
      </c>
      <c r="V24" t="s">
        <v>36</v>
      </c>
      <c r="W24" t="s">
        <v>51</v>
      </c>
      <c r="X24" t="str">
        <f t="shared" si="7"/>
        <v>email@example/com</v>
      </c>
      <c r="Y24" t="str">
        <f t="shared" si="8"/>
        <v>email@example.com</v>
      </c>
      <c r="Z24" t="str">
        <f t="shared" si="0"/>
        <v>Phone not provided</v>
      </c>
    </row>
    <row r="25" spans="1:26" x14ac:dyDescent="0.25">
      <c r="A25" t="s">
        <v>40</v>
      </c>
      <c r="B25">
        <v>40</v>
      </c>
      <c r="C25">
        <v>70000</v>
      </c>
      <c r="D25" t="s">
        <v>32</v>
      </c>
      <c r="E25" t="s">
        <v>33</v>
      </c>
      <c r="F25" t="s">
        <v>19</v>
      </c>
      <c r="G25" s="2">
        <v>43845</v>
      </c>
      <c r="H25" t="s">
        <v>36</v>
      </c>
      <c r="I25" t="s">
        <v>51</v>
      </c>
      <c r="J25" t="s">
        <v>39</v>
      </c>
      <c r="M25" t="str">
        <f t="shared" si="1"/>
        <v>Frank</v>
      </c>
      <c r="N25">
        <v>40</v>
      </c>
      <c r="O25">
        <f t="shared" si="2"/>
        <v>40</v>
      </c>
      <c r="P25">
        <v>70000</v>
      </c>
      <c r="Q25">
        <f t="shared" si="3"/>
        <v>70000</v>
      </c>
      <c r="R25" t="str">
        <f t="shared" si="4"/>
        <v>Other</v>
      </c>
      <c r="S25" t="str">
        <f t="shared" si="5"/>
        <v>Marketing</v>
      </c>
      <c r="T25" t="str">
        <f t="shared" si="6"/>
        <v>Director</v>
      </c>
      <c r="U25" s="2">
        <v>43845</v>
      </c>
      <c r="V25" t="s">
        <v>36</v>
      </c>
      <c r="W25" t="s">
        <v>51</v>
      </c>
      <c r="X25" t="str">
        <f t="shared" si="7"/>
        <v>email@example/com</v>
      </c>
      <c r="Y25" t="str">
        <f t="shared" si="8"/>
        <v>email@example.com</v>
      </c>
      <c r="Z25" t="str">
        <f t="shared" si="0"/>
        <v>555-555-5555</v>
      </c>
    </row>
    <row r="26" spans="1:26" x14ac:dyDescent="0.25">
      <c r="A26" t="s">
        <v>43</v>
      </c>
      <c r="B26">
        <v>40</v>
      </c>
      <c r="C26">
        <v>50000</v>
      </c>
      <c r="D26" t="s">
        <v>32</v>
      </c>
      <c r="E26" t="s">
        <v>18</v>
      </c>
      <c r="F26" t="s">
        <v>13</v>
      </c>
      <c r="G26" s="1">
        <v>43195</v>
      </c>
      <c r="H26" t="s">
        <v>28</v>
      </c>
      <c r="I26" t="s">
        <v>53</v>
      </c>
      <c r="J26" t="s">
        <v>21</v>
      </c>
      <c r="M26" t="str">
        <f t="shared" si="1"/>
        <v>Ivy</v>
      </c>
      <c r="N26">
        <v>40</v>
      </c>
      <c r="O26">
        <f t="shared" si="2"/>
        <v>40</v>
      </c>
      <c r="P26">
        <v>50000</v>
      </c>
      <c r="Q26">
        <f t="shared" si="3"/>
        <v>50000</v>
      </c>
      <c r="R26" t="str">
        <f t="shared" si="4"/>
        <v>Other</v>
      </c>
      <c r="S26" t="str">
        <f t="shared" si="5"/>
        <v>Finance</v>
      </c>
      <c r="T26" t="str">
        <f t="shared" si="6"/>
        <v>Manager</v>
      </c>
      <c r="U26" s="2">
        <v>43195</v>
      </c>
      <c r="V26" t="s">
        <v>28</v>
      </c>
      <c r="W26" t="s">
        <v>53</v>
      </c>
      <c r="X26" t="str">
        <f t="shared" si="7"/>
        <v>name@company/org</v>
      </c>
      <c r="Y26" t="str">
        <f t="shared" si="8"/>
        <v>name@company.org</v>
      </c>
      <c r="Z26" t="str">
        <f t="shared" si="0"/>
        <v>123-456-7890</v>
      </c>
    </row>
    <row r="27" spans="1:26" x14ac:dyDescent="0.25">
      <c r="A27" t="s">
        <v>42</v>
      </c>
      <c r="B27">
        <v>30</v>
      </c>
      <c r="C27">
        <v>70000</v>
      </c>
      <c r="D27" t="s">
        <v>11</v>
      </c>
      <c r="E27" t="s">
        <v>23</v>
      </c>
      <c r="F27" t="s">
        <v>35</v>
      </c>
      <c r="G27" s="2">
        <v>43845</v>
      </c>
      <c r="H27" t="s">
        <v>36</v>
      </c>
      <c r="I27" t="s">
        <v>51</v>
      </c>
      <c r="J27" t="s">
        <v>21</v>
      </c>
      <c r="M27" t="str">
        <f t="shared" si="1"/>
        <v>Alice</v>
      </c>
      <c r="N27">
        <v>30</v>
      </c>
      <c r="O27">
        <f t="shared" si="2"/>
        <v>30</v>
      </c>
      <c r="P27">
        <v>70000</v>
      </c>
      <c r="Q27">
        <f t="shared" si="3"/>
        <v>70000</v>
      </c>
      <c r="R27" t="str">
        <f t="shared" si="4"/>
        <v>Male</v>
      </c>
      <c r="S27" t="str">
        <f t="shared" si="5"/>
        <v>Sales</v>
      </c>
      <c r="T27" t="str">
        <f t="shared" si="6"/>
        <v>Clerk</v>
      </c>
      <c r="U27" s="2">
        <v>43845</v>
      </c>
      <c r="V27" t="s">
        <v>36</v>
      </c>
      <c r="W27" t="s">
        <v>51</v>
      </c>
      <c r="X27" t="str">
        <f t="shared" si="7"/>
        <v>email@example/com</v>
      </c>
      <c r="Y27" t="str">
        <f t="shared" si="8"/>
        <v>email@example.com</v>
      </c>
      <c r="Z27" t="str">
        <f t="shared" si="0"/>
        <v>123-456-7890</v>
      </c>
    </row>
    <row r="28" spans="1:26" x14ac:dyDescent="0.25">
      <c r="A28" t="s">
        <v>31</v>
      </c>
      <c r="B28">
        <v>50</v>
      </c>
      <c r="C28">
        <v>70000</v>
      </c>
      <c r="D28" t="s">
        <v>11</v>
      </c>
      <c r="E28" t="s">
        <v>18</v>
      </c>
      <c r="F28" t="s">
        <v>38</v>
      </c>
      <c r="G28" s="2">
        <v>43881</v>
      </c>
      <c r="H28" t="s">
        <v>28</v>
      </c>
      <c r="I28" t="s">
        <v>51</v>
      </c>
      <c r="J28" t="s">
        <v>25</v>
      </c>
      <c r="M28" t="str">
        <f t="shared" si="1"/>
        <v>Jack</v>
      </c>
      <c r="N28">
        <v>50</v>
      </c>
      <c r="O28">
        <f t="shared" si="2"/>
        <v>50</v>
      </c>
      <c r="P28">
        <v>70000</v>
      </c>
      <c r="Q28">
        <f t="shared" si="3"/>
        <v>70000</v>
      </c>
      <c r="R28" t="str">
        <f t="shared" si="4"/>
        <v>Male</v>
      </c>
      <c r="S28" t="str">
        <f t="shared" si="5"/>
        <v>Finance</v>
      </c>
      <c r="T28" t="str">
        <f t="shared" si="6"/>
        <v>Analyst</v>
      </c>
      <c r="U28" s="2">
        <v>43881</v>
      </c>
      <c r="V28" t="s">
        <v>28</v>
      </c>
      <c r="W28" t="s">
        <v>51</v>
      </c>
      <c r="X28" t="str">
        <f t="shared" si="7"/>
        <v>email@example/com</v>
      </c>
      <c r="Y28" t="str">
        <f t="shared" si="8"/>
        <v>email@example.com</v>
      </c>
      <c r="Z28" t="str">
        <f t="shared" si="0"/>
        <v>098-765-4321</v>
      </c>
    </row>
    <row r="29" spans="1:26" x14ac:dyDescent="0.25">
      <c r="A29" t="s">
        <v>34</v>
      </c>
      <c r="B29" t="s">
        <v>15</v>
      </c>
      <c r="C29">
        <v>50000</v>
      </c>
      <c r="D29" t="s">
        <v>32</v>
      </c>
      <c r="E29" t="s">
        <v>23</v>
      </c>
      <c r="F29" t="s">
        <v>35</v>
      </c>
      <c r="G29" s="2">
        <v>43549</v>
      </c>
      <c r="H29" t="s">
        <v>24</v>
      </c>
      <c r="I29" t="s">
        <v>53</v>
      </c>
      <c r="J29" t="s">
        <v>29</v>
      </c>
      <c r="M29" t="str">
        <f t="shared" si="1"/>
        <v>Charlie</v>
      </c>
      <c r="N29" t="s">
        <v>15</v>
      </c>
      <c r="O29">
        <f t="shared" si="2"/>
        <v>35</v>
      </c>
      <c r="P29">
        <v>50000</v>
      </c>
      <c r="Q29">
        <f t="shared" si="3"/>
        <v>50000</v>
      </c>
      <c r="R29" t="str">
        <f t="shared" si="4"/>
        <v>Other</v>
      </c>
      <c r="S29" t="str">
        <f t="shared" si="5"/>
        <v>Sales</v>
      </c>
      <c r="T29" t="str">
        <f t="shared" si="6"/>
        <v>Clerk</v>
      </c>
      <c r="U29" s="2">
        <v>43549</v>
      </c>
      <c r="V29" t="s">
        <v>24</v>
      </c>
      <c r="W29" t="s">
        <v>53</v>
      </c>
      <c r="X29" t="str">
        <f t="shared" si="7"/>
        <v>name@company/org</v>
      </c>
      <c r="Y29" t="str">
        <f t="shared" si="8"/>
        <v>name@company.org</v>
      </c>
      <c r="Z29" t="str">
        <f t="shared" si="0"/>
        <v>Phone not provided</v>
      </c>
    </row>
    <row r="30" spans="1:26" x14ac:dyDescent="0.25">
      <c r="A30" t="s">
        <v>10</v>
      </c>
      <c r="B30">
        <v>50</v>
      </c>
      <c r="C30">
        <v>60000</v>
      </c>
      <c r="D30" t="s">
        <v>11</v>
      </c>
      <c r="E30" t="s">
        <v>27</v>
      </c>
      <c r="F30" t="s">
        <v>35</v>
      </c>
      <c r="G30" s="2">
        <v>43881</v>
      </c>
      <c r="H30" t="s">
        <v>24</v>
      </c>
      <c r="J30" t="s">
        <v>29</v>
      </c>
      <c r="M30" t="str">
        <f t="shared" si="1"/>
        <v>Grace</v>
      </c>
      <c r="N30">
        <v>50</v>
      </c>
      <c r="O30">
        <f t="shared" si="2"/>
        <v>50</v>
      </c>
      <c r="P30">
        <v>60000</v>
      </c>
      <c r="Q30">
        <f t="shared" si="3"/>
        <v>60000</v>
      </c>
      <c r="R30" t="str">
        <f t="shared" si="4"/>
        <v>Male</v>
      </c>
      <c r="S30" t="str">
        <f t="shared" si="5"/>
        <v>IT</v>
      </c>
      <c r="T30" t="str">
        <f t="shared" si="6"/>
        <v>Clerk</v>
      </c>
      <c r="U30" s="2">
        <v>43881</v>
      </c>
      <c r="V30" t="s">
        <v>24</v>
      </c>
      <c r="X30" t="str">
        <f t="shared" si="7"/>
        <v>Email not provided</v>
      </c>
      <c r="Y30" t="str">
        <f t="shared" si="8"/>
        <v>Email not provided</v>
      </c>
      <c r="Z30" t="str">
        <f t="shared" si="0"/>
        <v>Phone not provided</v>
      </c>
    </row>
    <row r="31" spans="1:26" x14ac:dyDescent="0.25">
      <c r="A31" t="s">
        <v>16</v>
      </c>
      <c r="B31">
        <v>25</v>
      </c>
      <c r="C31">
        <v>65000</v>
      </c>
      <c r="D31" t="s">
        <v>11</v>
      </c>
      <c r="E31" t="s">
        <v>12</v>
      </c>
      <c r="F31" t="s">
        <v>37</v>
      </c>
      <c r="G31" s="2">
        <v>43800</v>
      </c>
      <c r="H31" t="s">
        <v>24</v>
      </c>
      <c r="J31" t="s">
        <v>39</v>
      </c>
      <c r="M31" t="str">
        <f t="shared" si="1"/>
        <v>David</v>
      </c>
      <c r="N31">
        <v>25</v>
      </c>
      <c r="O31">
        <f t="shared" si="2"/>
        <v>25</v>
      </c>
      <c r="P31">
        <v>65000</v>
      </c>
      <c r="Q31">
        <f t="shared" si="3"/>
        <v>65000</v>
      </c>
      <c r="R31" t="str">
        <f t="shared" si="4"/>
        <v>Male</v>
      </c>
      <c r="S31" t="str">
        <f t="shared" si="5"/>
        <v>HR</v>
      </c>
      <c r="T31" t="str">
        <f t="shared" si="6"/>
        <v>Assistant</v>
      </c>
      <c r="U31" s="2">
        <v>43800</v>
      </c>
      <c r="V31" t="s">
        <v>24</v>
      </c>
      <c r="X31" t="str">
        <f t="shared" si="7"/>
        <v>Email not provided</v>
      </c>
      <c r="Y31" t="str">
        <f t="shared" si="8"/>
        <v>Email not provided</v>
      </c>
      <c r="Z31" t="str">
        <f t="shared" si="0"/>
        <v>555-555-5555</v>
      </c>
    </row>
    <row r="32" spans="1:26" x14ac:dyDescent="0.25">
      <c r="A32" t="s">
        <v>43</v>
      </c>
      <c r="B32">
        <v>25</v>
      </c>
      <c r="C32">
        <v>55000</v>
      </c>
      <c r="D32" t="s">
        <v>17</v>
      </c>
      <c r="E32" t="s">
        <v>18</v>
      </c>
      <c r="F32" t="s">
        <v>13</v>
      </c>
      <c r="G32" s="2">
        <v>43800</v>
      </c>
      <c r="H32" t="s">
        <v>36</v>
      </c>
      <c r="I32" t="s">
        <v>53</v>
      </c>
      <c r="J32" t="s">
        <v>25</v>
      </c>
      <c r="M32" t="str">
        <f t="shared" si="1"/>
        <v>Ivy</v>
      </c>
      <c r="N32">
        <v>25</v>
      </c>
      <c r="O32">
        <f t="shared" si="2"/>
        <v>25</v>
      </c>
      <c r="P32">
        <v>55000</v>
      </c>
      <c r="Q32">
        <f t="shared" si="3"/>
        <v>55000</v>
      </c>
      <c r="R32" t="str">
        <f t="shared" si="4"/>
        <v>Female</v>
      </c>
      <c r="S32" t="str">
        <f t="shared" si="5"/>
        <v>Finance</v>
      </c>
      <c r="T32" t="str">
        <f t="shared" si="6"/>
        <v>Manager</v>
      </c>
      <c r="U32" s="2">
        <v>43800</v>
      </c>
      <c r="V32" t="s">
        <v>36</v>
      </c>
      <c r="W32" t="s">
        <v>53</v>
      </c>
      <c r="X32" t="str">
        <f t="shared" si="7"/>
        <v>name@company/org</v>
      </c>
      <c r="Y32" t="str">
        <f t="shared" si="8"/>
        <v>name@company.org</v>
      </c>
      <c r="Z32" t="str">
        <f t="shared" si="0"/>
        <v>098-765-4321</v>
      </c>
    </row>
    <row r="33" spans="1:26" x14ac:dyDescent="0.25">
      <c r="A33" t="s">
        <v>34</v>
      </c>
      <c r="B33">
        <v>50</v>
      </c>
      <c r="C33">
        <v>70000</v>
      </c>
      <c r="D33" t="s">
        <v>17</v>
      </c>
      <c r="E33" t="s">
        <v>18</v>
      </c>
      <c r="F33" t="s">
        <v>35</v>
      </c>
      <c r="G33" s="2">
        <v>43800</v>
      </c>
      <c r="H33" t="s">
        <v>36</v>
      </c>
      <c r="I33" t="s">
        <v>15</v>
      </c>
      <c r="J33" t="s">
        <v>29</v>
      </c>
      <c r="M33" t="str">
        <f t="shared" si="1"/>
        <v>Charlie</v>
      </c>
      <c r="N33">
        <v>50</v>
      </c>
      <c r="O33">
        <f t="shared" si="2"/>
        <v>50</v>
      </c>
      <c r="P33">
        <v>70000</v>
      </c>
      <c r="Q33">
        <f t="shared" si="3"/>
        <v>70000</v>
      </c>
      <c r="R33" t="str">
        <f t="shared" si="4"/>
        <v>Female</v>
      </c>
      <c r="S33" t="str">
        <f t="shared" si="5"/>
        <v>Finance</v>
      </c>
      <c r="T33" t="str">
        <f t="shared" si="6"/>
        <v>Clerk</v>
      </c>
      <c r="U33" s="2">
        <v>43800</v>
      </c>
      <c r="V33" t="s">
        <v>36</v>
      </c>
      <c r="W33" t="s">
        <v>15</v>
      </c>
      <c r="X33" t="str">
        <f t="shared" si="7"/>
        <v>Email not provided</v>
      </c>
      <c r="Y33" t="str">
        <f t="shared" si="8"/>
        <v>Email not provided</v>
      </c>
      <c r="Z33" t="str">
        <f t="shared" si="0"/>
        <v>Phone not provided</v>
      </c>
    </row>
    <row r="34" spans="1:26" x14ac:dyDescent="0.25">
      <c r="A34" t="s">
        <v>26</v>
      </c>
      <c r="B34">
        <v>35</v>
      </c>
      <c r="C34" t="s">
        <v>30</v>
      </c>
      <c r="D34" t="s">
        <v>17</v>
      </c>
      <c r="E34" t="s">
        <v>23</v>
      </c>
      <c r="F34" t="s">
        <v>19</v>
      </c>
      <c r="G34" s="2">
        <v>43845</v>
      </c>
      <c r="H34" t="s">
        <v>28</v>
      </c>
      <c r="I34" t="s">
        <v>51</v>
      </c>
      <c r="J34" t="s">
        <v>21</v>
      </c>
      <c r="M34" t="str">
        <f t="shared" si="1"/>
        <v>Eve</v>
      </c>
      <c r="N34">
        <v>35</v>
      </c>
      <c r="O34">
        <f t="shared" si="2"/>
        <v>35</v>
      </c>
      <c r="P34" t="s">
        <v>30</v>
      </c>
      <c r="Q34">
        <f t="shared" si="3"/>
        <v>60000</v>
      </c>
      <c r="R34" t="str">
        <f t="shared" si="4"/>
        <v>Female</v>
      </c>
      <c r="S34" t="str">
        <f t="shared" si="5"/>
        <v>Sales</v>
      </c>
      <c r="T34" t="str">
        <f t="shared" si="6"/>
        <v>Director</v>
      </c>
      <c r="U34" s="2">
        <v>43845</v>
      </c>
      <c r="V34" t="s">
        <v>28</v>
      </c>
      <c r="W34" t="s">
        <v>51</v>
      </c>
      <c r="X34" t="str">
        <f t="shared" si="7"/>
        <v>email@example/com</v>
      </c>
      <c r="Y34" t="str">
        <f t="shared" si="8"/>
        <v>email@example.com</v>
      </c>
      <c r="Z34" t="str">
        <f t="shared" si="0"/>
        <v>123-456-7890</v>
      </c>
    </row>
    <row r="35" spans="1:26" x14ac:dyDescent="0.25">
      <c r="A35" t="s">
        <v>34</v>
      </c>
      <c r="B35">
        <v>40</v>
      </c>
      <c r="C35" t="s">
        <v>30</v>
      </c>
      <c r="D35" t="s">
        <v>17</v>
      </c>
      <c r="E35" t="s">
        <v>27</v>
      </c>
      <c r="F35" t="s">
        <v>19</v>
      </c>
      <c r="G35" s="1">
        <v>43195</v>
      </c>
      <c r="H35" t="s">
        <v>14</v>
      </c>
      <c r="I35" t="s">
        <v>51</v>
      </c>
      <c r="J35" t="s">
        <v>39</v>
      </c>
      <c r="M35" t="str">
        <f t="shared" si="1"/>
        <v>Charlie</v>
      </c>
      <c r="N35">
        <v>40</v>
      </c>
      <c r="O35">
        <f t="shared" si="2"/>
        <v>40</v>
      </c>
      <c r="P35" t="s">
        <v>30</v>
      </c>
      <c r="Q35">
        <f t="shared" si="3"/>
        <v>60000</v>
      </c>
      <c r="R35" t="str">
        <f t="shared" si="4"/>
        <v>Female</v>
      </c>
      <c r="S35" t="str">
        <f t="shared" si="5"/>
        <v>IT</v>
      </c>
      <c r="T35" t="str">
        <f t="shared" si="6"/>
        <v>Director</v>
      </c>
      <c r="U35" s="2">
        <v>43195</v>
      </c>
      <c r="V35" t="s">
        <v>14</v>
      </c>
      <c r="W35" t="s">
        <v>51</v>
      </c>
      <c r="X35" t="str">
        <f t="shared" si="7"/>
        <v>email@example/com</v>
      </c>
      <c r="Y35" t="str">
        <f t="shared" si="8"/>
        <v>email@example.com</v>
      </c>
      <c r="Z35" t="str">
        <f t="shared" si="0"/>
        <v>555-555-5555</v>
      </c>
    </row>
    <row r="36" spans="1:26" x14ac:dyDescent="0.25">
      <c r="A36" t="s">
        <v>10</v>
      </c>
      <c r="B36">
        <v>25</v>
      </c>
      <c r="C36">
        <v>65000</v>
      </c>
      <c r="D36" t="s">
        <v>11</v>
      </c>
      <c r="E36" t="s">
        <v>27</v>
      </c>
      <c r="F36" t="s">
        <v>37</v>
      </c>
      <c r="G36" s="2">
        <v>43881</v>
      </c>
      <c r="H36" t="s">
        <v>28</v>
      </c>
      <c r="I36" t="s">
        <v>53</v>
      </c>
      <c r="J36" t="s">
        <v>15</v>
      </c>
      <c r="M36" t="str">
        <f t="shared" si="1"/>
        <v>Grace</v>
      </c>
      <c r="N36">
        <v>25</v>
      </c>
      <c r="O36">
        <f t="shared" si="2"/>
        <v>25</v>
      </c>
      <c r="P36">
        <v>65000</v>
      </c>
      <c r="Q36">
        <f t="shared" si="3"/>
        <v>65000</v>
      </c>
      <c r="R36" t="str">
        <f t="shared" si="4"/>
        <v>Male</v>
      </c>
      <c r="S36" t="str">
        <f t="shared" si="5"/>
        <v>IT</v>
      </c>
      <c r="T36" t="str">
        <f t="shared" si="6"/>
        <v>Assistant</v>
      </c>
      <c r="U36" s="2">
        <v>43881</v>
      </c>
      <c r="V36" t="s">
        <v>28</v>
      </c>
      <c r="W36" t="s">
        <v>53</v>
      </c>
      <c r="X36" t="str">
        <f t="shared" si="7"/>
        <v>name@company/org</v>
      </c>
      <c r="Y36" t="str">
        <f t="shared" si="8"/>
        <v>name@company.org</v>
      </c>
      <c r="Z36" t="str">
        <f t="shared" si="0"/>
        <v>Phone not provided</v>
      </c>
    </row>
    <row r="37" spans="1:26" x14ac:dyDescent="0.25">
      <c r="A37" t="s">
        <v>26</v>
      </c>
      <c r="B37">
        <v>40</v>
      </c>
      <c r="C37" t="s">
        <v>30</v>
      </c>
      <c r="D37" t="s">
        <v>32</v>
      </c>
      <c r="E37" t="s">
        <v>23</v>
      </c>
      <c r="F37" t="s">
        <v>13</v>
      </c>
      <c r="G37" s="2">
        <v>43881</v>
      </c>
      <c r="H37" t="s">
        <v>24</v>
      </c>
      <c r="I37" t="s">
        <v>53</v>
      </c>
      <c r="J37" t="s">
        <v>21</v>
      </c>
      <c r="M37" t="str">
        <f t="shared" si="1"/>
        <v>Eve</v>
      </c>
      <c r="N37">
        <v>40</v>
      </c>
      <c r="O37">
        <f t="shared" si="2"/>
        <v>40</v>
      </c>
      <c r="P37" t="s">
        <v>30</v>
      </c>
      <c r="Q37">
        <f t="shared" si="3"/>
        <v>60000</v>
      </c>
      <c r="R37" t="str">
        <f t="shared" si="4"/>
        <v>Other</v>
      </c>
      <c r="S37" t="str">
        <f t="shared" si="5"/>
        <v>Sales</v>
      </c>
      <c r="T37" t="str">
        <f t="shared" si="6"/>
        <v>Manager</v>
      </c>
      <c r="U37" s="2">
        <v>43881</v>
      </c>
      <c r="V37" t="s">
        <v>24</v>
      </c>
      <c r="W37" t="s">
        <v>53</v>
      </c>
      <c r="X37" t="str">
        <f t="shared" si="7"/>
        <v>name@company/org</v>
      </c>
      <c r="Y37" t="str">
        <f t="shared" si="8"/>
        <v>name@company.org</v>
      </c>
      <c r="Z37" t="str">
        <f t="shared" si="0"/>
        <v>123-456-7890</v>
      </c>
    </row>
    <row r="38" spans="1:26" x14ac:dyDescent="0.25">
      <c r="A38" t="s">
        <v>43</v>
      </c>
      <c r="B38">
        <v>25</v>
      </c>
      <c r="C38">
        <v>60000</v>
      </c>
      <c r="D38" t="s">
        <v>11</v>
      </c>
      <c r="E38" t="s">
        <v>27</v>
      </c>
      <c r="F38" t="s">
        <v>13</v>
      </c>
      <c r="G38" s="2">
        <v>43881</v>
      </c>
      <c r="H38" t="s">
        <v>28</v>
      </c>
      <c r="I38" t="s">
        <v>15</v>
      </c>
      <c r="J38" t="s">
        <v>25</v>
      </c>
      <c r="M38" t="str">
        <f t="shared" si="1"/>
        <v>Ivy</v>
      </c>
      <c r="N38">
        <v>25</v>
      </c>
      <c r="O38">
        <f t="shared" si="2"/>
        <v>25</v>
      </c>
      <c r="P38">
        <v>60000</v>
      </c>
      <c r="Q38">
        <f t="shared" si="3"/>
        <v>60000</v>
      </c>
      <c r="R38" t="str">
        <f t="shared" si="4"/>
        <v>Male</v>
      </c>
      <c r="S38" t="str">
        <f t="shared" si="5"/>
        <v>IT</v>
      </c>
      <c r="T38" t="str">
        <f t="shared" si="6"/>
        <v>Manager</v>
      </c>
      <c r="U38" s="2">
        <v>43881</v>
      </c>
      <c r="V38" t="s">
        <v>28</v>
      </c>
      <c r="W38" t="s">
        <v>15</v>
      </c>
      <c r="X38" t="str">
        <f t="shared" si="7"/>
        <v>Email not provided</v>
      </c>
      <c r="Y38" t="str">
        <f t="shared" si="8"/>
        <v>Email not provided</v>
      </c>
      <c r="Z38" t="str">
        <f t="shared" si="0"/>
        <v>098-765-4321</v>
      </c>
    </row>
    <row r="39" spans="1:26" x14ac:dyDescent="0.25">
      <c r="A39" t="s">
        <v>10</v>
      </c>
      <c r="B39">
        <v>30</v>
      </c>
      <c r="C39" t="s">
        <v>30</v>
      </c>
      <c r="D39" t="s">
        <v>11</v>
      </c>
      <c r="E39" t="s">
        <v>33</v>
      </c>
      <c r="F39" t="s">
        <v>19</v>
      </c>
      <c r="G39" s="2">
        <v>43881</v>
      </c>
      <c r="H39" t="s">
        <v>14</v>
      </c>
      <c r="J39" t="s">
        <v>29</v>
      </c>
      <c r="M39" t="str">
        <f t="shared" si="1"/>
        <v>Grace</v>
      </c>
      <c r="N39">
        <v>30</v>
      </c>
      <c r="O39">
        <f t="shared" si="2"/>
        <v>30</v>
      </c>
      <c r="P39" t="s">
        <v>30</v>
      </c>
      <c r="Q39">
        <f t="shared" si="3"/>
        <v>60000</v>
      </c>
      <c r="R39" t="str">
        <f t="shared" si="4"/>
        <v>Male</v>
      </c>
      <c r="S39" t="str">
        <f t="shared" si="5"/>
        <v>Marketing</v>
      </c>
      <c r="T39" t="str">
        <f t="shared" si="6"/>
        <v>Director</v>
      </c>
      <c r="U39" s="2">
        <v>43881</v>
      </c>
      <c r="V39" t="s">
        <v>14</v>
      </c>
      <c r="X39" t="str">
        <f t="shared" si="7"/>
        <v>Email not provided</v>
      </c>
      <c r="Y39" t="str">
        <f t="shared" si="8"/>
        <v>Email not provided</v>
      </c>
      <c r="Z39" t="str">
        <f t="shared" si="0"/>
        <v>Phone not provided</v>
      </c>
    </row>
    <row r="40" spans="1:26" x14ac:dyDescent="0.25">
      <c r="A40" t="s">
        <v>41</v>
      </c>
      <c r="B40" t="s">
        <v>15</v>
      </c>
      <c r="C40">
        <v>55000</v>
      </c>
      <c r="D40" t="s">
        <v>11</v>
      </c>
      <c r="E40" t="s">
        <v>12</v>
      </c>
      <c r="F40" t="s">
        <v>38</v>
      </c>
      <c r="G40" s="2">
        <v>43800</v>
      </c>
      <c r="H40" t="s">
        <v>36</v>
      </c>
      <c r="I40" t="s">
        <v>52</v>
      </c>
      <c r="J40" t="s">
        <v>21</v>
      </c>
      <c r="M40" t="str">
        <f t="shared" si="1"/>
        <v>Bob</v>
      </c>
      <c r="N40" t="s">
        <v>15</v>
      </c>
      <c r="O40">
        <f t="shared" si="2"/>
        <v>35</v>
      </c>
      <c r="P40">
        <v>55000</v>
      </c>
      <c r="Q40">
        <f t="shared" si="3"/>
        <v>55000</v>
      </c>
      <c r="R40" t="str">
        <f t="shared" si="4"/>
        <v>Male</v>
      </c>
      <c r="S40" t="str">
        <f t="shared" si="5"/>
        <v>HR</v>
      </c>
      <c r="T40" t="str">
        <f t="shared" si="6"/>
        <v>Analyst</v>
      </c>
      <c r="U40" s="2">
        <v>43800</v>
      </c>
      <c r="V40" t="s">
        <v>36</v>
      </c>
      <c r="W40" t="s">
        <v>52</v>
      </c>
      <c r="X40" t="str">
        <f t="shared" si="7"/>
        <v>user@domain/com</v>
      </c>
      <c r="Y40" t="str">
        <f t="shared" si="8"/>
        <v>user@domain.com</v>
      </c>
      <c r="Z40" t="str">
        <f t="shared" si="0"/>
        <v>123-456-7890</v>
      </c>
    </row>
    <row r="41" spans="1:26" x14ac:dyDescent="0.25">
      <c r="A41" t="s">
        <v>16</v>
      </c>
      <c r="B41">
        <v>25</v>
      </c>
      <c r="C41">
        <v>55000</v>
      </c>
      <c r="D41" t="s">
        <v>17</v>
      </c>
      <c r="E41" t="s">
        <v>18</v>
      </c>
      <c r="F41" t="s">
        <v>37</v>
      </c>
      <c r="G41" s="2">
        <v>43881</v>
      </c>
      <c r="H41" t="s">
        <v>28</v>
      </c>
      <c r="J41" t="s">
        <v>15</v>
      </c>
      <c r="M41" t="str">
        <f t="shared" si="1"/>
        <v>David</v>
      </c>
      <c r="N41">
        <v>25</v>
      </c>
      <c r="O41">
        <f t="shared" si="2"/>
        <v>25</v>
      </c>
      <c r="P41">
        <v>55000</v>
      </c>
      <c r="Q41">
        <f t="shared" si="3"/>
        <v>55000</v>
      </c>
      <c r="R41" t="str">
        <f t="shared" si="4"/>
        <v>Female</v>
      </c>
      <c r="S41" t="str">
        <f t="shared" si="5"/>
        <v>Finance</v>
      </c>
      <c r="T41" t="str">
        <f t="shared" si="6"/>
        <v>Assistant</v>
      </c>
      <c r="U41" s="2">
        <v>43881</v>
      </c>
      <c r="V41" t="s">
        <v>28</v>
      </c>
      <c r="X41" t="str">
        <f t="shared" si="7"/>
        <v>Email not provided</v>
      </c>
      <c r="Y41" t="str">
        <f t="shared" si="8"/>
        <v>Email not provided</v>
      </c>
      <c r="Z41" t="str">
        <f t="shared" si="0"/>
        <v>Phone not provided</v>
      </c>
    </row>
    <row r="42" spans="1:26" x14ac:dyDescent="0.25">
      <c r="A42" t="s">
        <v>43</v>
      </c>
      <c r="B42">
        <v>40</v>
      </c>
      <c r="C42">
        <v>70000</v>
      </c>
      <c r="D42" t="s">
        <v>17</v>
      </c>
      <c r="E42" t="s">
        <v>12</v>
      </c>
      <c r="F42" t="s">
        <v>37</v>
      </c>
      <c r="G42" s="1">
        <v>43195</v>
      </c>
      <c r="H42" t="s">
        <v>24</v>
      </c>
      <c r="I42" t="s">
        <v>51</v>
      </c>
      <c r="J42" t="s">
        <v>15</v>
      </c>
      <c r="M42" t="str">
        <f t="shared" si="1"/>
        <v>Ivy</v>
      </c>
      <c r="N42">
        <v>40</v>
      </c>
      <c r="O42">
        <f t="shared" si="2"/>
        <v>40</v>
      </c>
      <c r="P42">
        <v>70000</v>
      </c>
      <c r="Q42">
        <f t="shared" si="3"/>
        <v>70000</v>
      </c>
      <c r="R42" t="str">
        <f t="shared" si="4"/>
        <v>Female</v>
      </c>
      <c r="S42" t="str">
        <f t="shared" si="5"/>
        <v>HR</v>
      </c>
      <c r="T42" t="str">
        <f t="shared" si="6"/>
        <v>Assistant</v>
      </c>
      <c r="U42" s="2">
        <v>43195</v>
      </c>
      <c r="V42" t="s">
        <v>24</v>
      </c>
      <c r="W42" t="s">
        <v>51</v>
      </c>
      <c r="X42" t="str">
        <f t="shared" si="7"/>
        <v>email@example/com</v>
      </c>
      <c r="Y42" t="str">
        <f t="shared" si="8"/>
        <v>email@example.com</v>
      </c>
      <c r="Z42" t="str">
        <f t="shared" si="0"/>
        <v>Phone not provided</v>
      </c>
    </row>
    <row r="43" spans="1:26" x14ac:dyDescent="0.25">
      <c r="A43" t="s">
        <v>41</v>
      </c>
      <c r="B43">
        <v>30</v>
      </c>
      <c r="C43">
        <v>50000</v>
      </c>
      <c r="D43" t="s">
        <v>17</v>
      </c>
      <c r="E43" t="s">
        <v>18</v>
      </c>
      <c r="F43" t="s">
        <v>19</v>
      </c>
      <c r="G43" s="2">
        <v>43800</v>
      </c>
      <c r="H43" t="s">
        <v>24</v>
      </c>
      <c r="I43" t="s">
        <v>53</v>
      </c>
      <c r="J43" t="s">
        <v>25</v>
      </c>
      <c r="M43" t="str">
        <f t="shared" si="1"/>
        <v>Bob</v>
      </c>
      <c r="N43">
        <v>30</v>
      </c>
      <c r="O43">
        <f t="shared" si="2"/>
        <v>30</v>
      </c>
      <c r="P43">
        <v>50000</v>
      </c>
      <c r="Q43">
        <f t="shared" si="3"/>
        <v>50000</v>
      </c>
      <c r="R43" t="str">
        <f t="shared" si="4"/>
        <v>Female</v>
      </c>
      <c r="S43" t="str">
        <f t="shared" si="5"/>
        <v>Finance</v>
      </c>
      <c r="T43" t="str">
        <f t="shared" si="6"/>
        <v>Director</v>
      </c>
      <c r="U43" s="2">
        <v>43800</v>
      </c>
      <c r="V43" t="s">
        <v>24</v>
      </c>
      <c r="W43" t="s">
        <v>53</v>
      </c>
      <c r="X43" t="str">
        <f t="shared" si="7"/>
        <v>name@company/org</v>
      </c>
      <c r="Y43" t="str">
        <f t="shared" si="8"/>
        <v>name@company.org</v>
      </c>
      <c r="Z43" t="str">
        <f t="shared" si="0"/>
        <v>098-765-4321</v>
      </c>
    </row>
    <row r="44" spans="1:26" x14ac:dyDescent="0.25">
      <c r="A44" t="s">
        <v>31</v>
      </c>
      <c r="B44">
        <v>25</v>
      </c>
      <c r="C44">
        <v>60000</v>
      </c>
      <c r="D44" t="s">
        <v>32</v>
      </c>
      <c r="E44" t="s">
        <v>33</v>
      </c>
      <c r="F44" t="s">
        <v>19</v>
      </c>
      <c r="G44" s="2">
        <v>43881</v>
      </c>
      <c r="H44" t="s">
        <v>36</v>
      </c>
      <c r="I44" t="s">
        <v>15</v>
      </c>
      <c r="J44" t="s">
        <v>21</v>
      </c>
      <c r="M44" t="str">
        <f t="shared" si="1"/>
        <v>Jack</v>
      </c>
      <c r="N44">
        <v>25</v>
      </c>
      <c r="O44">
        <f t="shared" si="2"/>
        <v>25</v>
      </c>
      <c r="P44">
        <v>60000</v>
      </c>
      <c r="Q44">
        <f t="shared" si="3"/>
        <v>60000</v>
      </c>
      <c r="R44" t="str">
        <f t="shared" si="4"/>
        <v>Other</v>
      </c>
      <c r="S44" t="str">
        <f t="shared" si="5"/>
        <v>Marketing</v>
      </c>
      <c r="T44" t="str">
        <f t="shared" si="6"/>
        <v>Director</v>
      </c>
      <c r="U44" s="2">
        <v>43881</v>
      </c>
      <c r="V44" t="s">
        <v>36</v>
      </c>
      <c r="W44" t="s">
        <v>15</v>
      </c>
      <c r="X44" t="str">
        <f t="shared" si="7"/>
        <v>Email not provided</v>
      </c>
      <c r="Y44" t="str">
        <f t="shared" si="8"/>
        <v>Email not provided</v>
      </c>
      <c r="Z44" t="str">
        <f t="shared" si="0"/>
        <v>123-456-7890</v>
      </c>
    </row>
    <row r="45" spans="1:26" x14ac:dyDescent="0.25">
      <c r="A45" t="s">
        <v>43</v>
      </c>
      <c r="B45">
        <v>35</v>
      </c>
      <c r="C45">
        <v>70000</v>
      </c>
      <c r="D45" t="s">
        <v>11</v>
      </c>
      <c r="E45" t="s">
        <v>27</v>
      </c>
      <c r="F45" t="s">
        <v>38</v>
      </c>
      <c r="G45" s="2">
        <v>43845</v>
      </c>
      <c r="H45" t="s">
        <v>28</v>
      </c>
      <c r="J45" t="s">
        <v>39</v>
      </c>
      <c r="M45" t="str">
        <f t="shared" si="1"/>
        <v>Ivy</v>
      </c>
      <c r="N45">
        <v>35</v>
      </c>
      <c r="O45">
        <f t="shared" si="2"/>
        <v>35</v>
      </c>
      <c r="P45">
        <v>70000</v>
      </c>
      <c r="Q45">
        <f t="shared" si="3"/>
        <v>70000</v>
      </c>
      <c r="R45" t="str">
        <f t="shared" si="4"/>
        <v>Male</v>
      </c>
      <c r="S45" t="str">
        <f t="shared" si="5"/>
        <v>IT</v>
      </c>
      <c r="T45" t="str">
        <f t="shared" si="6"/>
        <v>Analyst</v>
      </c>
      <c r="U45" s="2">
        <v>43845</v>
      </c>
      <c r="V45" t="s">
        <v>28</v>
      </c>
      <c r="X45" t="str">
        <f t="shared" si="7"/>
        <v>Email not provided</v>
      </c>
      <c r="Y45" t="str">
        <f t="shared" si="8"/>
        <v>Email not provided</v>
      </c>
      <c r="Z45" t="str">
        <f t="shared" si="0"/>
        <v>555-555-5555</v>
      </c>
    </row>
    <row r="46" spans="1:26" x14ac:dyDescent="0.25">
      <c r="A46" t="s">
        <v>31</v>
      </c>
      <c r="B46" t="s">
        <v>15</v>
      </c>
      <c r="C46">
        <v>60000</v>
      </c>
      <c r="D46" t="s">
        <v>32</v>
      </c>
      <c r="E46" t="s">
        <v>23</v>
      </c>
      <c r="F46" t="s">
        <v>38</v>
      </c>
      <c r="G46" s="2">
        <v>43549</v>
      </c>
      <c r="H46" t="s">
        <v>14</v>
      </c>
      <c r="I46" t="s">
        <v>15</v>
      </c>
      <c r="J46" t="s">
        <v>21</v>
      </c>
      <c r="M46" t="str">
        <f t="shared" si="1"/>
        <v>Jack</v>
      </c>
      <c r="N46" t="s">
        <v>15</v>
      </c>
      <c r="O46">
        <f t="shared" si="2"/>
        <v>35</v>
      </c>
      <c r="P46">
        <v>60000</v>
      </c>
      <c r="Q46">
        <f t="shared" si="3"/>
        <v>60000</v>
      </c>
      <c r="R46" t="str">
        <f t="shared" si="4"/>
        <v>Other</v>
      </c>
      <c r="S46" t="str">
        <f t="shared" si="5"/>
        <v>Sales</v>
      </c>
      <c r="T46" t="str">
        <f t="shared" si="6"/>
        <v>Analyst</v>
      </c>
      <c r="U46" s="2">
        <v>43549</v>
      </c>
      <c r="V46" t="s">
        <v>14</v>
      </c>
      <c r="W46" t="s">
        <v>15</v>
      </c>
      <c r="X46" t="str">
        <f t="shared" si="7"/>
        <v>Email not provided</v>
      </c>
      <c r="Y46" t="str">
        <f t="shared" si="8"/>
        <v>Email not provided</v>
      </c>
      <c r="Z46" t="str">
        <f t="shared" si="0"/>
        <v>123-456-7890</v>
      </c>
    </row>
    <row r="47" spans="1:26" x14ac:dyDescent="0.25">
      <c r="A47" t="s">
        <v>26</v>
      </c>
      <c r="B47">
        <v>25</v>
      </c>
      <c r="C47">
        <v>50000</v>
      </c>
      <c r="D47" t="s">
        <v>17</v>
      </c>
      <c r="E47" t="s">
        <v>33</v>
      </c>
      <c r="F47" t="s">
        <v>13</v>
      </c>
      <c r="G47" s="2">
        <v>43549</v>
      </c>
      <c r="H47" t="s">
        <v>36</v>
      </c>
      <c r="J47" t="s">
        <v>15</v>
      </c>
      <c r="M47" t="str">
        <f t="shared" si="1"/>
        <v>Eve</v>
      </c>
      <c r="N47">
        <v>25</v>
      </c>
      <c r="O47">
        <f t="shared" si="2"/>
        <v>25</v>
      </c>
      <c r="P47">
        <v>50000</v>
      </c>
      <c r="Q47">
        <f t="shared" si="3"/>
        <v>50000</v>
      </c>
      <c r="R47" t="str">
        <f t="shared" si="4"/>
        <v>Female</v>
      </c>
      <c r="S47" t="str">
        <f t="shared" si="5"/>
        <v>Marketing</v>
      </c>
      <c r="T47" t="str">
        <f t="shared" si="6"/>
        <v>Manager</v>
      </c>
      <c r="U47" s="2">
        <v>43549</v>
      </c>
      <c r="V47" t="s">
        <v>36</v>
      </c>
      <c r="X47" t="str">
        <f t="shared" si="7"/>
        <v>Email not provided</v>
      </c>
      <c r="Y47" t="str">
        <f t="shared" si="8"/>
        <v>Email not provided</v>
      </c>
      <c r="Z47" t="str">
        <f t="shared" si="0"/>
        <v>Phone not provided</v>
      </c>
    </row>
    <row r="48" spans="1:26" x14ac:dyDescent="0.25">
      <c r="A48" t="s">
        <v>41</v>
      </c>
      <c r="B48">
        <v>30</v>
      </c>
      <c r="C48" t="s">
        <v>30</v>
      </c>
      <c r="D48" t="s">
        <v>32</v>
      </c>
      <c r="E48" t="s">
        <v>12</v>
      </c>
      <c r="F48" t="s">
        <v>37</v>
      </c>
      <c r="G48" s="2">
        <v>43549</v>
      </c>
      <c r="H48" t="s">
        <v>28</v>
      </c>
      <c r="I48" t="s">
        <v>51</v>
      </c>
      <c r="J48" t="s">
        <v>25</v>
      </c>
      <c r="M48" t="str">
        <f t="shared" si="1"/>
        <v>Bob</v>
      </c>
      <c r="N48">
        <v>30</v>
      </c>
      <c r="O48">
        <f t="shared" si="2"/>
        <v>30</v>
      </c>
      <c r="P48" t="s">
        <v>30</v>
      </c>
      <c r="Q48">
        <f t="shared" si="3"/>
        <v>60000</v>
      </c>
      <c r="R48" t="str">
        <f t="shared" si="4"/>
        <v>Other</v>
      </c>
      <c r="S48" t="str">
        <f t="shared" si="5"/>
        <v>HR</v>
      </c>
      <c r="T48" t="str">
        <f t="shared" si="6"/>
        <v>Assistant</v>
      </c>
      <c r="U48" s="2">
        <v>43549</v>
      </c>
      <c r="V48" t="s">
        <v>28</v>
      </c>
      <c r="W48" t="s">
        <v>51</v>
      </c>
      <c r="X48" t="str">
        <f t="shared" si="7"/>
        <v>email@example/com</v>
      </c>
      <c r="Y48" t="str">
        <f t="shared" si="8"/>
        <v>email@example.com</v>
      </c>
      <c r="Z48" t="str">
        <f t="shared" si="0"/>
        <v>098-765-4321</v>
      </c>
    </row>
    <row r="49" spans="1:26" x14ac:dyDescent="0.25">
      <c r="A49" t="s">
        <v>16</v>
      </c>
      <c r="B49">
        <v>35</v>
      </c>
      <c r="C49" t="s">
        <v>30</v>
      </c>
      <c r="D49" t="s">
        <v>11</v>
      </c>
      <c r="E49" t="s">
        <v>23</v>
      </c>
      <c r="F49" t="s">
        <v>37</v>
      </c>
      <c r="G49" s="2">
        <v>43800</v>
      </c>
      <c r="H49" t="s">
        <v>20</v>
      </c>
      <c r="I49" t="s">
        <v>52</v>
      </c>
      <c r="J49" t="s">
        <v>25</v>
      </c>
      <c r="M49" t="str">
        <f t="shared" si="1"/>
        <v>David</v>
      </c>
      <c r="N49">
        <v>35</v>
      </c>
      <c r="O49">
        <f t="shared" si="2"/>
        <v>35</v>
      </c>
      <c r="P49" t="s">
        <v>30</v>
      </c>
      <c r="Q49">
        <f t="shared" si="3"/>
        <v>60000</v>
      </c>
      <c r="R49" t="str">
        <f t="shared" si="4"/>
        <v>Male</v>
      </c>
      <c r="S49" t="str">
        <f t="shared" si="5"/>
        <v>Sales</v>
      </c>
      <c r="T49" t="str">
        <f t="shared" si="6"/>
        <v>Assistant</v>
      </c>
      <c r="U49" s="2">
        <v>43800</v>
      </c>
      <c r="V49" t="s">
        <v>20</v>
      </c>
      <c r="W49" t="s">
        <v>52</v>
      </c>
      <c r="X49" t="str">
        <f t="shared" si="7"/>
        <v>user@domain/com</v>
      </c>
      <c r="Y49" t="str">
        <f t="shared" si="8"/>
        <v>user@domain.com</v>
      </c>
      <c r="Z49" t="str">
        <f t="shared" si="0"/>
        <v>098-765-4321</v>
      </c>
    </row>
    <row r="50" spans="1:26" x14ac:dyDescent="0.25">
      <c r="A50" t="s">
        <v>10</v>
      </c>
      <c r="B50">
        <v>50</v>
      </c>
      <c r="C50">
        <v>50000</v>
      </c>
      <c r="D50" t="s">
        <v>11</v>
      </c>
      <c r="E50" t="s">
        <v>27</v>
      </c>
      <c r="F50" t="s">
        <v>19</v>
      </c>
      <c r="G50" s="2">
        <v>43881</v>
      </c>
      <c r="H50" t="s">
        <v>24</v>
      </c>
      <c r="I50" t="s">
        <v>15</v>
      </c>
      <c r="J50" t="s">
        <v>39</v>
      </c>
      <c r="M50" t="str">
        <f t="shared" si="1"/>
        <v>Grace</v>
      </c>
      <c r="N50">
        <v>50</v>
      </c>
      <c r="O50">
        <f t="shared" si="2"/>
        <v>50</v>
      </c>
      <c r="P50">
        <v>50000</v>
      </c>
      <c r="Q50">
        <f t="shared" si="3"/>
        <v>50000</v>
      </c>
      <c r="R50" t="str">
        <f t="shared" si="4"/>
        <v>Male</v>
      </c>
      <c r="S50" t="str">
        <f t="shared" si="5"/>
        <v>IT</v>
      </c>
      <c r="T50" t="str">
        <f t="shared" si="6"/>
        <v>Director</v>
      </c>
      <c r="U50" s="2">
        <v>43881</v>
      </c>
      <c r="V50" t="s">
        <v>24</v>
      </c>
      <c r="W50" t="s">
        <v>15</v>
      </c>
      <c r="X50" t="str">
        <f t="shared" si="7"/>
        <v>Email not provided</v>
      </c>
      <c r="Y50" t="str">
        <f t="shared" si="8"/>
        <v>Email not provided</v>
      </c>
      <c r="Z50" t="str">
        <f t="shared" si="0"/>
        <v>555-555-5555</v>
      </c>
    </row>
    <row r="51" spans="1:26" x14ac:dyDescent="0.25">
      <c r="A51" t="s">
        <v>22</v>
      </c>
      <c r="B51">
        <v>30</v>
      </c>
      <c r="C51">
        <v>70000</v>
      </c>
      <c r="D51" t="s">
        <v>17</v>
      </c>
      <c r="E51" t="s">
        <v>33</v>
      </c>
      <c r="F51" t="s">
        <v>13</v>
      </c>
      <c r="G51" s="2">
        <v>43800</v>
      </c>
      <c r="H51" t="s">
        <v>14</v>
      </c>
      <c r="I51" t="s">
        <v>15</v>
      </c>
      <c r="J51" t="s">
        <v>25</v>
      </c>
      <c r="M51" t="str">
        <f t="shared" si="1"/>
        <v>Hannah</v>
      </c>
      <c r="N51">
        <v>30</v>
      </c>
      <c r="O51">
        <f t="shared" si="2"/>
        <v>30</v>
      </c>
      <c r="P51">
        <v>70000</v>
      </c>
      <c r="Q51">
        <f t="shared" si="3"/>
        <v>70000</v>
      </c>
      <c r="R51" t="str">
        <f t="shared" si="4"/>
        <v>Female</v>
      </c>
      <c r="S51" t="str">
        <f t="shared" si="5"/>
        <v>Marketing</v>
      </c>
      <c r="T51" t="str">
        <f t="shared" si="6"/>
        <v>Manager</v>
      </c>
      <c r="U51" s="2">
        <v>43800</v>
      </c>
      <c r="V51" t="s">
        <v>14</v>
      </c>
      <c r="W51" t="s">
        <v>15</v>
      </c>
      <c r="X51" t="str">
        <f t="shared" si="7"/>
        <v>Email not provided</v>
      </c>
      <c r="Y51" t="str">
        <f t="shared" si="8"/>
        <v>Email not provided</v>
      </c>
      <c r="Z51" t="str">
        <f t="shared" si="0"/>
        <v>098-765-4321</v>
      </c>
    </row>
    <row r="52" spans="1:26" x14ac:dyDescent="0.25">
      <c r="A52" t="s">
        <v>34</v>
      </c>
      <c r="B52">
        <v>30</v>
      </c>
      <c r="C52">
        <v>50000</v>
      </c>
      <c r="D52" t="s">
        <v>17</v>
      </c>
      <c r="E52" t="s">
        <v>23</v>
      </c>
      <c r="F52" t="s">
        <v>37</v>
      </c>
      <c r="G52" s="1">
        <v>43195</v>
      </c>
      <c r="H52" t="s">
        <v>14</v>
      </c>
      <c r="I52" t="s">
        <v>52</v>
      </c>
      <c r="J52" t="s">
        <v>25</v>
      </c>
      <c r="M52" t="str">
        <f t="shared" si="1"/>
        <v>Charlie</v>
      </c>
      <c r="N52">
        <v>30</v>
      </c>
      <c r="O52">
        <f t="shared" si="2"/>
        <v>30</v>
      </c>
      <c r="P52">
        <v>50000</v>
      </c>
      <c r="Q52">
        <f t="shared" si="3"/>
        <v>50000</v>
      </c>
      <c r="R52" t="str">
        <f t="shared" si="4"/>
        <v>Female</v>
      </c>
      <c r="S52" t="str">
        <f t="shared" si="5"/>
        <v>Sales</v>
      </c>
      <c r="T52" t="str">
        <f t="shared" si="6"/>
        <v>Assistant</v>
      </c>
      <c r="U52" s="2">
        <v>43195</v>
      </c>
      <c r="V52" t="s">
        <v>14</v>
      </c>
      <c r="W52" t="s">
        <v>52</v>
      </c>
      <c r="X52" t="str">
        <f t="shared" si="7"/>
        <v>user@domain/com</v>
      </c>
      <c r="Y52" t="str">
        <f t="shared" si="8"/>
        <v>user@domain.com</v>
      </c>
      <c r="Z52" t="str">
        <f t="shared" si="0"/>
        <v>098-765-4321</v>
      </c>
    </row>
    <row r="53" spans="1:26" x14ac:dyDescent="0.25">
      <c r="A53" t="s">
        <v>42</v>
      </c>
      <c r="B53">
        <v>35</v>
      </c>
      <c r="C53">
        <v>65000</v>
      </c>
      <c r="D53" t="s">
        <v>32</v>
      </c>
      <c r="E53" t="s">
        <v>33</v>
      </c>
      <c r="F53" t="s">
        <v>13</v>
      </c>
      <c r="G53" s="2">
        <v>43845</v>
      </c>
      <c r="H53" t="s">
        <v>14</v>
      </c>
      <c r="I53" t="s">
        <v>15</v>
      </c>
      <c r="J53" t="s">
        <v>25</v>
      </c>
      <c r="M53" t="str">
        <f t="shared" si="1"/>
        <v>Alice</v>
      </c>
      <c r="N53">
        <v>35</v>
      </c>
      <c r="O53">
        <f t="shared" si="2"/>
        <v>35</v>
      </c>
      <c r="P53">
        <v>65000</v>
      </c>
      <c r="Q53">
        <f t="shared" si="3"/>
        <v>65000</v>
      </c>
      <c r="R53" t="str">
        <f t="shared" si="4"/>
        <v>Other</v>
      </c>
      <c r="S53" t="str">
        <f t="shared" si="5"/>
        <v>Marketing</v>
      </c>
      <c r="T53" t="str">
        <f t="shared" si="6"/>
        <v>Manager</v>
      </c>
      <c r="U53" s="2">
        <v>43845</v>
      </c>
      <c r="V53" t="s">
        <v>14</v>
      </c>
      <c r="W53" t="s">
        <v>15</v>
      </c>
      <c r="X53" t="str">
        <f t="shared" si="7"/>
        <v>Email not provided</v>
      </c>
      <c r="Y53" t="str">
        <f t="shared" si="8"/>
        <v>Email not provided</v>
      </c>
      <c r="Z53" t="str">
        <f t="shared" si="0"/>
        <v>098-765-4321</v>
      </c>
    </row>
    <row r="54" spans="1:26" x14ac:dyDescent="0.25">
      <c r="A54" t="s">
        <v>16</v>
      </c>
      <c r="B54">
        <v>30</v>
      </c>
      <c r="C54">
        <v>55000</v>
      </c>
      <c r="D54" t="s">
        <v>17</v>
      </c>
      <c r="E54" t="s">
        <v>33</v>
      </c>
      <c r="F54" t="s">
        <v>13</v>
      </c>
      <c r="G54" s="2">
        <v>43845</v>
      </c>
      <c r="H54" t="s">
        <v>24</v>
      </c>
      <c r="I54" t="s">
        <v>15</v>
      </c>
      <c r="J54" t="s">
        <v>25</v>
      </c>
      <c r="M54" t="str">
        <f t="shared" si="1"/>
        <v>David</v>
      </c>
      <c r="N54">
        <v>30</v>
      </c>
      <c r="O54">
        <f t="shared" si="2"/>
        <v>30</v>
      </c>
      <c r="P54">
        <v>55000</v>
      </c>
      <c r="Q54">
        <f t="shared" si="3"/>
        <v>55000</v>
      </c>
      <c r="R54" t="str">
        <f t="shared" si="4"/>
        <v>Female</v>
      </c>
      <c r="S54" t="str">
        <f t="shared" si="5"/>
        <v>Marketing</v>
      </c>
      <c r="T54" t="str">
        <f t="shared" si="6"/>
        <v>Manager</v>
      </c>
      <c r="U54" s="2">
        <v>43845</v>
      </c>
      <c r="V54" t="s">
        <v>24</v>
      </c>
      <c r="W54" t="s">
        <v>15</v>
      </c>
      <c r="X54" t="str">
        <f t="shared" si="7"/>
        <v>Email not provided</v>
      </c>
      <c r="Y54" t="str">
        <f t="shared" si="8"/>
        <v>Email not provided</v>
      </c>
      <c r="Z54" t="str">
        <f t="shared" si="0"/>
        <v>098-765-4321</v>
      </c>
    </row>
    <row r="55" spans="1:26" x14ac:dyDescent="0.25">
      <c r="A55" t="s">
        <v>41</v>
      </c>
      <c r="B55">
        <v>35</v>
      </c>
      <c r="C55">
        <v>70000</v>
      </c>
      <c r="D55" t="s">
        <v>17</v>
      </c>
      <c r="E55" t="s">
        <v>27</v>
      </c>
      <c r="F55" t="s">
        <v>19</v>
      </c>
      <c r="G55" s="2">
        <v>43549</v>
      </c>
      <c r="H55" t="s">
        <v>28</v>
      </c>
      <c r="J55" t="s">
        <v>25</v>
      </c>
      <c r="M55" t="str">
        <f t="shared" si="1"/>
        <v>Bob</v>
      </c>
      <c r="N55">
        <v>35</v>
      </c>
      <c r="O55">
        <f t="shared" si="2"/>
        <v>35</v>
      </c>
      <c r="P55">
        <v>70000</v>
      </c>
      <c r="Q55">
        <f t="shared" si="3"/>
        <v>70000</v>
      </c>
      <c r="R55" t="str">
        <f t="shared" si="4"/>
        <v>Female</v>
      </c>
      <c r="S55" t="str">
        <f t="shared" si="5"/>
        <v>IT</v>
      </c>
      <c r="T55" t="str">
        <f t="shared" si="6"/>
        <v>Director</v>
      </c>
      <c r="U55" s="2">
        <v>43549</v>
      </c>
      <c r="V55" t="s">
        <v>28</v>
      </c>
      <c r="X55" t="str">
        <f t="shared" si="7"/>
        <v>Email not provided</v>
      </c>
      <c r="Y55" t="str">
        <f t="shared" si="8"/>
        <v>Email not provided</v>
      </c>
      <c r="Z55" t="str">
        <f t="shared" si="0"/>
        <v>098-765-4321</v>
      </c>
    </row>
    <row r="56" spans="1:26" x14ac:dyDescent="0.25">
      <c r="A56" t="s">
        <v>22</v>
      </c>
      <c r="B56">
        <v>25</v>
      </c>
      <c r="C56">
        <v>60000</v>
      </c>
      <c r="D56" t="s">
        <v>11</v>
      </c>
      <c r="E56" t="s">
        <v>18</v>
      </c>
      <c r="F56" t="s">
        <v>13</v>
      </c>
      <c r="G56" s="2">
        <v>43549</v>
      </c>
      <c r="H56" t="s">
        <v>36</v>
      </c>
      <c r="J56" t="s">
        <v>15</v>
      </c>
      <c r="M56" t="str">
        <f t="shared" si="1"/>
        <v>Hannah</v>
      </c>
      <c r="N56">
        <v>25</v>
      </c>
      <c r="O56">
        <f t="shared" si="2"/>
        <v>25</v>
      </c>
      <c r="P56">
        <v>60000</v>
      </c>
      <c r="Q56">
        <f t="shared" si="3"/>
        <v>60000</v>
      </c>
      <c r="R56" t="str">
        <f t="shared" si="4"/>
        <v>Male</v>
      </c>
      <c r="S56" t="str">
        <f t="shared" si="5"/>
        <v>Finance</v>
      </c>
      <c r="T56" t="str">
        <f t="shared" si="6"/>
        <v>Manager</v>
      </c>
      <c r="U56" s="2">
        <v>43549</v>
      </c>
      <c r="V56" t="s">
        <v>36</v>
      </c>
      <c r="X56" t="str">
        <f t="shared" si="7"/>
        <v>Email not provided</v>
      </c>
      <c r="Y56" t="str">
        <f t="shared" si="8"/>
        <v>Email not provided</v>
      </c>
      <c r="Z56" t="str">
        <f t="shared" si="0"/>
        <v>Phone not provided</v>
      </c>
    </row>
    <row r="57" spans="1:26" x14ac:dyDescent="0.25">
      <c r="A57" t="s">
        <v>16</v>
      </c>
      <c r="B57">
        <v>35</v>
      </c>
      <c r="C57">
        <v>65000</v>
      </c>
      <c r="D57" t="s">
        <v>17</v>
      </c>
      <c r="E57" t="s">
        <v>23</v>
      </c>
      <c r="F57" t="s">
        <v>38</v>
      </c>
      <c r="G57" s="2">
        <v>43549</v>
      </c>
      <c r="H57" t="s">
        <v>28</v>
      </c>
      <c r="I57" t="s">
        <v>52</v>
      </c>
      <c r="J57" t="s">
        <v>21</v>
      </c>
      <c r="M57" t="str">
        <f t="shared" si="1"/>
        <v>David</v>
      </c>
      <c r="N57">
        <v>35</v>
      </c>
      <c r="O57">
        <f t="shared" si="2"/>
        <v>35</v>
      </c>
      <c r="P57">
        <v>65000</v>
      </c>
      <c r="Q57">
        <f t="shared" si="3"/>
        <v>65000</v>
      </c>
      <c r="R57" t="str">
        <f t="shared" si="4"/>
        <v>Female</v>
      </c>
      <c r="S57" t="str">
        <f t="shared" si="5"/>
        <v>Sales</v>
      </c>
      <c r="T57" t="str">
        <f t="shared" si="6"/>
        <v>Analyst</v>
      </c>
      <c r="U57" s="2">
        <v>43549</v>
      </c>
      <c r="V57" t="s">
        <v>28</v>
      </c>
      <c r="W57" t="s">
        <v>52</v>
      </c>
      <c r="X57" t="str">
        <f t="shared" si="7"/>
        <v>user@domain/com</v>
      </c>
      <c r="Y57" t="str">
        <f t="shared" si="8"/>
        <v>user@domain.com</v>
      </c>
      <c r="Z57" t="str">
        <f t="shared" si="0"/>
        <v>123-456-7890</v>
      </c>
    </row>
    <row r="58" spans="1:26" x14ac:dyDescent="0.25">
      <c r="A58" t="s">
        <v>41</v>
      </c>
      <c r="B58">
        <v>35</v>
      </c>
      <c r="C58">
        <v>70000</v>
      </c>
      <c r="D58" t="s">
        <v>17</v>
      </c>
      <c r="E58" t="s">
        <v>27</v>
      </c>
      <c r="F58" t="s">
        <v>38</v>
      </c>
      <c r="G58" s="2">
        <v>43881</v>
      </c>
      <c r="H58" t="s">
        <v>36</v>
      </c>
      <c r="I58" t="s">
        <v>51</v>
      </c>
      <c r="J58" t="s">
        <v>29</v>
      </c>
      <c r="M58" t="str">
        <f t="shared" si="1"/>
        <v>Bob</v>
      </c>
      <c r="N58">
        <v>35</v>
      </c>
      <c r="O58">
        <f t="shared" si="2"/>
        <v>35</v>
      </c>
      <c r="P58">
        <v>70000</v>
      </c>
      <c r="Q58">
        <f t="shared" si="3"/>
        <v>70000</v>
      </c>
      <c r="R58" t="str">
        <f t="shared" si="4"/>
        <v>Female</v>
      </c>
      <c r="S58" t="str">
        <f t="shared" si="5"/>
        <v>IT</v>
      </c>
      <c r="T58" t="str">
        <f t="shared" si="6"/>
        <v>Analyst</v>
      </c>
      <c r="U58" s="2">
        <v>43881</v>
      </c>
      <c r="V58" t="s">
        <v>36</v>
      </c>
      <c r="W58" t="s">
        <v>51</v>
      </c>
      <c r="X58" t="str">
        <f t="shared" si="7"/>
        <v>email@example/com</v>
      </c>
      <c r="Y58" t="str">
        <f t="shared" si="8"/>
        <v>email@example.com</v>
      </c>
      <c r="Z58" t="str">
        <f t="shared" si="0"/>
        <v>Phone not provided</v>
      </c>
    </row>
    <row r="59" spans="1:26" x14ac:dyDescent="0.25">
      <c r="A59" t="s">
        <v>40</v>
      </c>
      <c r="B59" t="s">
        <v>15</v>
      </c>
      <c r="C59">
        <v>50000</v>
      </c>
      <c r="D59" t="s">
        <v>11</v>
      </c>
      <c r="E59" t="s">
        <v>33</v>
      </c>
      <c r="F59" t="s">
        <v>35</v>
      </c>
      <c r="G59" s="1">
        <v>43195</v>
      </c>
      <c r="H59" t="s">
        <v>14</v>
      </c>
      <c r="I59" t="s">
        <v>15</v>
      </c>
      <c r="J59" t="s">
        <v>25</v>
      </c>
      <c r="M59" t="str">
        <f t="shared" si="1"/>
        <v>Frank</v>
      </c>
      <c r="N59" t="s">
        <v>15</v>
      </c>
      <c r="O59">
        <f t="shared" si="2"/>
        <v>35</v>
      </c>
      <c r="P59">
        <v>50000</v>
      </c>
      <c r="Q59">
        <f t="shared" si="3"/>
        <v>50000</v>
      </c>
      <c r="R59" t="str">
        <f t="shared" si="4"/>
        <v>Male</v>
      </c>
      <c r="S59" t="str">
        <f t="shared" si="5"/>
        <v>Marketing</v>
      </c>
      <c r="T59" t="str">
        <f t="shared" si="6"/>
        <v>Clerk</v>
      </c>
      <c r="U59" s="2">
        <v>43195</v>
      </c>
      <c r="V59" t="s">
        <v>14</v>
      </c>
      <c r="W59" t="s">
        <v>15</v>
      </c>
      <c r="X59" t="str">
        <f t="shared" si="7"/>
        <v>Email not provided</v>
      </c>
      <c r="Y59" t="str">
        <f t="shared" si="8"/>
        <v>Email not provided</v>
      </c>
      <c r="Z59" t="str">
        <f t="shared" si="0"/>
        <v>098-765-4321</v>
      </c>
    </row>
    <row r="60" spans="1:26" x14ac:dyDescent="0.25">
      <c r="A60" t="s">
        <v>40</v>
      </c>
      <c r="B60">
        <v>35</v>
      </c>
      <c r="C60">
        <v>50000</v>
      </c>
      <c r="D60" t="s">
        <v>11</v>
      </c>
      <c r="E60" t="s">
        <v>27</v>
      </c>
      <c r="F60" t="s">
        <v>19</v>
      </c>
      <c r="G60" s="1">
        <v>43195</v>
      </c>
      <c r="H60" t="s">
        <v>28</v>
      </c>
      <c r="I60" t="s">
        <v>51</v>
      </c>
      <c r="J60" t="s">
        <v>29</v>
      </c>
      <c r="M60" t="str">
        <f t="shared" si="1"/>
        <v>Frank</v>
      </c>
      <c r="N60">
        <v>35</v>
      </c>
      <c r="O60">
        <f t="shared" si="2"/>
        <v>35</v>
      </c>
      <c r="P60">
        <v>50000</v>
      </c>
      <c r="Q60">
        <f t="shared" si="3"/>
        <v>50000</v>
      </c>
      <c r="R60" t="str">
        <f t="shared" si="4"/>
        <v>Male</v>
      </c>
      <c r="S60" t="str">
        <f t="shared" si="5"/>
        <v>IT</v>
      </c>
      <c r="T60" t="str">
        <f t="shared" si="6"/>
        <v>Director</v>
      </c>
      <c r="U60" s="2">
        <v>43195</v>
      </c>
      <c r="V60" t="s">
        <v>28</v>
      </c>
      <c r="W60" t="s">
        <v>51</v>
      </c>
      <c r="X60" t="str">
        <f t="shared" si="7"/>
        <v>email@example/com</v>
      </c>
      <c r="Y60" t="str">
        <f t="shared" si="8"/>
        <v>email@example.com</v>
      </c>
      <c r="Z60" t="str">
        <f t="shared" si="0"/>
        <v>Phone not provided</v>
      </c>
    </row>
    <row r="61" spans="1:26" x14ac:dyDescent="0.25">
      <c r="A61" t="s">
        <v>31</v>
      </c>
      <c r="B61">
        <v>35</v>
      </c>
      <c r="C61">
        <v>50000</v>
      </c>
      <c r="D61" t="s">
        <v>32</v>
      </c>
      <c r="E61" t="s">
        <v>18</v>
      </c>
      <c r="F61" t="s">
        <v>35</v>
      </c>
      <c r="G61" s="1">
        <v>43195</v>
      </c>
      <c r="H61" t="s">
        <v>14</v>
      </c>
      <c r="I61" t="s">
        <v>52</v>
      </c>
      <c r="J61" t="s">
        <v>29</v>
      </c>
      <c r="M61" t="str">
        <f t="shared" si="1"/>
        <v>Jack</v>
      </c>
      <c r="N61">
        <v>35</v>
      </c>
      <c r="O61">
        <f t="shared" si="2"/>
        <v>35</v>
      </c>
      <c r="P61">
        <v>50000</v>
      </c>
      <c r="Q61">
        <f t="shared" si="3"/>
        <v>50000</v>
      </c>
      <c r="R61" t="str">
        <f t="shared" si="4"/>
        <v>Other</v>
      </c>
      <c r="S61" t="str">
        <f t="shared" si="5"/>
        <v>Finance</v>
      </c>
      <c r="T61" t="str">
        <f t="shared" si="6"/>
        <v>Clerk</v>
      </c>
      <c r="U61" s="2">
        <v>43195</v>
      </c>
      <c r="V61" t="s">
        <v>14</v>
      </c>
      <c r="W61" t="s">
        <v>52</v>
      </c>
      <c r="X61" t="str">
        <f t="shared" si="7"/>
        <v>user@domain/com</v>
      </c>
      <c r="Y61" t="str">
        <f t="shared" si="8"/>
        <v>user@domain.com</v>
      </c>
      <c r="Z61" t="str">
        <f t="shared" si="0"/>
        <v>Phone not provided</v>
      </c>
    </row>
    <row r="62" spans="1:26" x14ac:dyDescent="0.25">
      <c r="A62" t="s">
        <v>16</v>
      </c>
      <c r="B62">
        <v>50</v>
      </c>
      <c r="C62">
        <v>50000</v>
      </c>
      <c r="D62" t="s">
        <v>17</v>
      </c>
      <c r="E62" t="s">
        <v>23</v>
      </c>
      <c r="F62" t="s">
        <v>38</v>
      </c>
      <c r="G62" s="1">
        <v>43195</v>
      </c>
      <c r="H62" t="s">
        <v>20</v>
      </c>
      <c r="I62" t="s">
        <v>52</v>
      </c>
      <c r="J62" t="s">
        <v>15</v>
      </c>
      <c r="M62" t="str">
        <f t="shared" si="1"/>
        <v>David</v>
      </c>
      <c r="N62">
        <v>50</v>
      </c>
      <c r="O62">
        <f t="shared" si="2"/>
        <v>50</v>
      </c>
      <c r="P62">
        <v>50000</v>
      </c>
      <c r="Q62">
        <f t="shared" si="3"/>
        <v>50000</v>
      </c>
      <c r="R62" t="str">
        <f t="shared" si="4"/>
        <v>Female</v>
      </c>
      <c r="S62" t="str">
        <f t="shared" si="5"/>
        <v>Sales</v>
      </c>
      <c r="T62" t="str">
        <f t="shared" si="6"/>
        <v>Analyst</v>
      </c>
      <c r="U62" s="2">
        <v>43195</v>
      </c>
      <c r="V62" t="s">
        <v>20</v>
      </c>
      <c r="W62" t="s">
        <v>52</v>
      </c>
      <c r="X62" t="str">
        <f t="shared" si="7"/>
        <v>user@domain/com</v>
      </c>
      <c r="Y62" t="str">
        <f t="shared" si="8"/>
        <v>user@domain.com</v>
      </c>
      <c r="Z62" t="str">
        <f t="shared" si="0"/>
        <v>Phone not provided</v>
      </c>
    </row>
    <row r="63" spans="1:26" x14ac:dyDescent="0.25">
      <c r="A63" t="s">
        <v>40</v>
      </c>
      <c r="B63">
        <v>25</v>
      </c>
      <c r="C63">
        <v>60000</v>
      </c>
      <c r="D63" t="s">
        <v>11</v>
      </c>
      <c r="E63" t="s">
        <v>18</v>
      </c>
      <c r="F63" t="s">
        <v>35</v>
      </c>
      <c r="G63" s="2">
        <v>43549</v>
      </c>
      <c r="H63" t="s">
        <v>14</v>
      </c>
      <c r="J63" t="s">
        <v>25</v>
      </c>
      <c r="M63" t="str">
        <f t="shared" si="1"/>
        <v>Frank</v>
      </c>
      <c r="N63">
        <v>25</v>
      </c>
      <c r="O63">
        <f t="shared" si="2"/>
        <v>25</v>
      </c>
      <c r="P63">
        <v>60000</v>
      </c>
      <c r="Q63">
        <f t="shared" si="3"/>
        <v>60000</v>
      </c>
      <c r="R63" t="str">
        <f t="shared" si="4"/>
        <v>Male</v>
      </c>
      <c r="S63" t="str">
        <f t="shared" si="5"/>
        <v>Finance</v>
      </c>
      <c r="T63" t="str">
        <f t="shared" si="6"/>
        <v>Clerk</v>
      </c>
      <c r="U63" s="2">
        <v>43549</v>
      </c>
      <c r="V63" t="s">
        <v>14</v>
      </c>
      <c r="X63" t="str">
        <f t="shared" si="7"/>
        <v>Email not provided</v>
      </c>
      <c r="Y63" t="str">
        <f t="shared" si="8"/>
        <v>Email not provided</v>
      </c>
      <c r="Z63" t="str">
        <f t="shared" si="0"/>
        <v>098-765-4321</v>
      </c>
    </row>
    <row r="64" spans="1:26" x14ac:dyDescent="0.25">
      <c r="A64" t="s">
        <v>41</v>
      </c>
      <c r="B64" t="s">
        <v>15</v>
      </c>
      <c r="C64">
        <v>65000</v>
      </c>
      <c r="D64" t="s">
        <v>32</v>
      </c>
      <c r="E64" t="s">
        <v>12</v>
      </c>
      <c r="F64" t="s">
        <v>19</v>
      </c>
      <c r="G64" s="2">
        <v>43845</v>
      </c>
      <c r="H64" t="s">
        <v>14</v>
      </c>
      <c r="I64" t="s">
        <v>15</v>
      </c>
      <c r="J64" t="s">
        <v>29</v>
      </c>
      <c r="M64" t="str">
        <f t="shared" si="1"/>
        <v>Bob</v>
      </c>
      <c r="N64" t="s">
        <v>15</v>
      </c>
      <c r="O64">
        <f t="shared" si="2"/>
        <v>35</v>
      </c>
      <c r="P64">
        <v>65000</v>
      </c>
      <c r="Q64">
        <f t="shared" si="3"/>
        <v>65000</v>
      </c>
      <c r="R64" t="str">
        <f t="shared" si="4"/>
        <v>Other</v>
      </c>
      <c r="S64" t="str">
        <f t="shared" si="5"/>
        <v>HR</v>
      </c>
      <c r="T64" t="str">
        <f t="shared" si="6"/>
        <v>Director</v>
      </c>
      <c r="U64" s="2">
        <v>43845</v>
      </c>
      <c r="V64" t="s">
        <v>14</v>
      </c>
      <c r="W64" t="s">
        <v>15</v>
      </c>
      <c r="X64" t="str">
        <f t="shared" si="7"/>
        <v>Email not provided</v>
      </c>
      <c r="Y64" t="str">
        <f t="shared" si="8"/>
        <v>Email not provided</v>
      </c>
      <c r="Z64" t="str">
        <f t="shared" si="0"/>
        <v>Phone not provided</v>
      </c>
    </row>
    <row r="65" spans="1:26" x14ac:dyDescent="0.25">
      <c r="A65" t="s">
        <v>31</v>
      </c>
      <c r="B65">
        <v>50</v>
      </c>
      <c r="C65" t="s">
        <v>30</v>
      </c>
      <c r="D65" t="s">
        <v>32</v>
      </c>
      <c r="E65" t="s">
        <v>23</v>
      </c>
      <c r="F65" t="s">
        <v>19</v>
      </c>
      <c r="G65" s="2">
        <v>43549</v>
      </c>
      <c r="H65" t="s">
        <v>36</v>
      </c>
      <c r="I65" t="s">
        <v>53</v>
      </c>
      <c r="J65" t="s">
        <v>25</v>
      </c>
      <c r="M65" t="str">
        <f t="shared" si="1"/>
        <v>Jack</v>
      </c>
      <c r="N65">
        <v>50</v>
      </c>
      <c r="O65">
        <f t="shared" si="2"/>
        <v>50</v>
      </c>
      <c r="P65" t="s">
        <v>30</v>
      </c>
      <c r="Q65">
        <f t="shared" si="3"/>
        <v>60000</v>
      </c>
      <c r="R65" t="str">
        <f t="shared" si="4"/>
        <v>Other</v>
      </c>
      <c r="S65" t="str">
        <f t="shared" si="5"/>
        <v>Sales</v>
      </c>
      <c r="T65" t="str">
        <f t="shared" si="6"/>
        <v>Director</v>
      </c>
      <c r="U65" s="2">
        <v>43549</v>
      </c>
      <c r="V65" t="s">
        <v>36</v>
      </c>
      <c r="W65" t="s">
        <v>53</v>
      </c>
      <c r="X65" t="str">
        <f t="shared" si="7"/>
        <v>name@company/org</v>
      </c>
      <c r="Y65" t="str">
        <f t="shared" si="8"/>
        <v>name@company.org</v>
      </c>
      <c r="Z65" t="str">
        <f t="shared" si="0"/>
        <v>098-765-4321</v>
      </c>
    </row>
    <row r="66" spans="1:26" x14ac:dyDescent="0.25">
      <c r="A66" t="s">
        <v>41</v>
      </c>
      <c r="B66">
        <v>40</v>
      </c>
      <c r="C66">
        <v>55000</v>
      </c>
      <c r="D66" t="s">
        <v>17</v>
      </c>
      <c r="E66" t="s">
        <v>18</v>
      </c>
      <c r="F66" t="s">
        <v>13</v>
      </c>
      <c r="G66" s="1">
        <v>43195</v>
      </c>
      <c r="H66" t="s">
        <v>20</v>
      </c>
      <c r="I66" t="s">
        <v>52</v>
      </c>
      <c r="J66" t="s">
        <v>39</v>
      </c>
      <c r="M66" t="str">
        <f t="shared" si="1"/>
        <v>Bob</v>
      </c>
      <c r="N66">
        <v>40</v>
      </c>
      <c r="O66">
        <f t="shared" si="2"/>
        <v>40</v>
      </c>
      <c r="P66">
        <v>55000</v>
      </c>
      <c r="Q66">
        <f t="shared" si="3"/>
        <v>55000</v>
      </c>
      <c r="R66" t="str">
        <f t="shared" si="4"/>
        <v>Female</v>
      </c>
      <c r="S66" t="str">
        <f t="shared" si="5"/>
        <v>Finance</v>
      </c>
      <c r="T66" t="str">
        <f t="shared" si="6"/>
        <v>Manager</v>
      </c>
      <c r="U66" s="2">
        <v>43195</v>
      </c>
      <c r="V66" t="s">
        <v>20</v>
      </c>
      <c r="W66" t="s">
        <v>52</v>
      </c>
      <c r="X66" t="str">
        <f t="shared" si="7"/>
        <v>user@domain/com</v>
      </c>
      <c r="Y66" t="str">
        <f t="shared" si="8"/>
        <v>user@domain.com</v>
      </c>
      <c r="Z66" t="str">
        <f t="shared" ref="Z66:Z129" si="9">IF(OR(TRIM(J66)="", LOWER(J66)="nan"), "Phone not provided", TRIM(J66))</f>
        <v>555-555-5555</v>
      </c>
    </row>
    <row r="67" spans="1:26" x14ac:dyDescent="0.25">
      <c r="A67" t="s">
        <v>31</v>
      </c>
      <c r="B67">
        <v>25</v>
      </c>
      <c r="C67">
        <v>60000</v>
      </c>
      <c r="D67" t="s">
        <v>17</v>
      </c>
      <c r="E67" t="s">
        <v>33</v>
      </c>
      <c r="F67" t="s">
        <v>37</v>
      </c>
      <c r="G67" s="2">
        <v>43549</v>
      </c>
      <c r="H67" t="s">
        <v>14</v>
      </c>
      <c r="I67" t="s">
        <v>15</v>
      </c>
      <c r="J67" t="s">
        <v>39</v>
      </c>
      <c r="M67" t="str">
        <f t="shared" ref="M67:M130" si="10">PROPER(TRIM(CLEAN(A67:A1066)))</f>
        <v>Jack</v>
      </c>
      <c r="N67">
        <v>25</v>
      </c>
      <c r="O67">
        <f t="shared" ref="O67:O130" si="11">IF(ISNUMBER(N67),N67,MEDIAN($N$2:$N$1001))</f>
        <v>25</v>
      </c>
      <c r="P67">
        <v>60000</v>
      </c>
      <c r="Q67">
        <f t="shared" ref="Q67:Q130" si="12">IF(ISNUMBER(P67),P67,MEDIAN(P67:P1066))</f>
        <v>60000</v>
      </c>
      <c r="R67" t="str">
        <f t="shared" ref="R67:R130" si="13">PROPER(TRIM(CLEAN(D67:D1066)))</f>
        <v>Female</v>
      </c>
      <c r="S67" t="str">
        <f t="shared" ref="S67:S130" si="14">TRIM(CLEAN(E67:E1066))</f>
        <v>Marketing</v>
      </c>
      <c r="T67" t="str">
        <f t="shared" ref="T67:T130" si="15">TRIM(CLEAN(F67:F1066))</f>
        <v>Assistant</v>
      </c>
      <c r="U67" s="2">
        <v>43549</v>
      </c>
      <c r="V67" t="s">
        <v>14</v>
      </c>
      <c r="W67" t="s">
        <v>15</v>
      </c>
      <c r="X67" t="str">
        <f t="shared" ref="X67:X130" si="16">IF(
   OR(TRIM(W67)="",LOWER(W67)="nan"),
   "Email not provided",
   W67
)</f>
        <v>Email not provided</v>
      </c>
      <c r="Y67" t="str">
        <f t="shared" ref="Y67:Y130" si="17">SUBSTITUTE(X67,"/",".")</f>
        <v>Email not provided</v>
      </c>
      <c r="Z67" t="str">
        <f t="shared" si="9"/>
        <v>555-555-5555</v>
      </c>
    </row>
    <row r="68" spans="1:26" x14ac:dyDescent="0.25">
      <c r="A68" t="s">
        <v>16</v>
      </c>
      <c r="B68">
        <v>25</v>
      </c>
      <c r="C68">
        <v>60000</v>
      </c>
      <c r="D68" t="s">
        <v>32</v>
      </c>
      <c r="E68" t="s">
        <v>23</v>
      </c>
      <c r="F68" t="s">
        <v>13</v>
      </c>
      <c r="G68" s="1">
        <v>43195</v>
      </c>
      <c r="H68" t="s">
        <v>14</v>
      </c>
      <c r="I68" t="s">
        <v>51</v>
      </c>
      <c r="J68" t="s">
        <v>39</v>
      </c>
      <c r="M68" t="str">
        <f t="shared" si="10"/>
        <v>David</v>
      </c>
      <c r="N68">
        <v>25</v>
      </c>
      <c r="O68">
        <f t="shared" si="11"/>
        <v>25</v>
      </c>
      <c r="P68">
        <v>60000</v>
      </c>
      <c r="Q68">
        <f t="shared" si="12"/>
        <v>60000</v>
      </c>
      <c r="R68" t="str">
        <f t="shared" si="13"/>
        <v>Other</v>
      </c>
      <c r="S68" t="str">
        <f t="shared" si="14"/>
        <v>Sales</v>
      </c>
      <c r="T68" t="str">
        <f t="shared" si="15"/>
        <v>Manager</v>
      </c>
      <c r="U68" s="2">
        <v>43195</v>
      </c>
      <c r="V68" t="s">
        <v>14</v>
      </c>
      <c r="W68" t="s">
        <v>51</v>
      </c>
      <c r="X68" t="str">
        <f t="shared" si="16"/>
        <v>email@example/com</v>
      </c>
      <c r="Y68" t="str">
        <f t="shared" si="17"/>
        <v>email@example.com</v>
      </c>
      <c r="Z68" t="str">
        <f t="shared" si="9"/>
        <v>555-555-5555</v>
      </c>
    </row>
    <row r="69" spans="1:26" x14ac:dyDescent="0.25">
      <c r="A69" t="s">
        <v>22</v>
      </c>
      <c r="B69">
        <v>40</v>
      </c>
      <c r="C69" t="s">
        <v>30</v>
      </c>
      <c r="D69" t="s">
        <v>11</v>
      </c>
      <c r="E69" t="s">
        <v>23</v>
      </c>
      <c r="F69" t="s">
        <v>19</v>
      </c>
      <c r="G69" s="2">
        <v>43800</v>
      </c>
      <c r="H69" t="s">
        <v>20</v>
      </c>
      <c r="J69" t="s">
        <v>29</v>
      </c>
      <c r="M69" t="str">
        <f t="shared" si="10"/>
        <v>Hannah</v>
      </c>
      <c r="N69">
        <v>40</v>
      </c>
      <c r="O69">
        <f t="shared" si="11"/>
        <v>40</v>
      </c>
      <c r="P69" t="s">
        <v>30</v>
      </c>
      <c r="Q69">
        <f t="shared" si="12"/>
        <v>60000</v>
      </c>
      <c r="R69" t="str">
        <f t="shared" si="13"/>
        <v>Male</v>
      </c>
      <c r="S69" t="str">
        <f t="shared" si="14"/>
        <v>Sales</v>
      </c>
      <c r="T69" t="str">
        <f t="shared" si="15"/>
        <v>Director</v>
      </c>
      <c r="U69" s="2">
        <v>43800</v>
      </c>
      <c r="V69" t="s">
        <v>20</v>
      </c>
      <c r="X69" t="str">
        <f t="shared" si="16"/>
        <v>Email not provided</v>
      </c>
      <c r="Y69" t="str">
        <f t="shared" si="17"/>
        <v>Email not provided</v>
      </c>
      <c r="Z69" t="str">
        <f t="shared" si="9"/>
        <v>Phone not provided</v>
      </c>
    </row>
    <row r="70" spans="1:26" x14ac:dyDescent="0.25">
      <c r="A70" t="s">
        <v>10</v>
      </c>
      <c r="B70">
        <v>35</v>
      </c>
      <c r="C70" t="s">
        <v>30</v>
      </c>
      <c r="D70" t="s">
        <v>32</v>
      </c>
      <c r="E70" t="s">
        <v>27</v>
      </c>
      <c r="F70" t="s">
        <v>38</v>
      </c>
      <c r="G70" s="2">
        <v>43845</v>
      </c>
      <c r="H70" t="s">
        <v>20</v>
      </c>
      <c r="I70" t="s">
        <v>51</v>
      </c>
      <c r="J70" t="s">
        <v>39</v>
      </c>
      <c r="M70" t="str">
        <f t="shared" si="10"/>
        <v>Grace</v>
      </c>
      <c r="N70">
        <v>35</v>
      </c>
      <c r="O70">
        <f t="shared" si="11"/>
        <v>35</v>
      </c>
      <c r="P70" t="s">
        <v>30</v>
      </c>
      <c r="Q70">
        <f t="shared" si="12"/>
        <v>60000</v>
      </c>
      <c r="R70" t="str">
        <f t="shared" si="13"/>
        <v>Other</v>
      </c>
      <c r="S70" t="str">
        <f t="shared" si="14"/>
        <v>IT</v>
      </c>
      <c r="T70" t="str">
        <f t="shared" si="15"/>
        <v>Analyst</v>
      </c>
      <c r="U70" s="2">
        <v>43845</v>
      </c>
      <c r="V70" t="s">
        <v>20</v>
      </c>
      <c r="W70" t="s">
        <v>51</v>
      </c>
      <c r="X70" t="str">
        <f t="shared" si="16"/>
        <v>email@example/com</v>
      </c>
      <c r="Y70" t="str">
        <f t="shared" si="17"/>
        <v>email@example.com</v>
      </c>
      <c r="Z70" t="str">
        <f t="shared" si="9"/>
        <v>555-555-5555</v>
      </c>
    </row>
    <row r="71" spans="1:26" x14ac:dyDescent="0.25">
      <c r="A71" t="s">
        <v>43</v>
      </c>
      <c r="B71">
        <v>50</v>
      </c>
      <c r="C71">
        <v>55000</v>
      </c>
      <c r="D71" t="s">
        <v>17</v>
      </c>
      <c r="E71" t="s">
        <v>33</v>
      </c>
      <c r="F71" t="s">
        <v>38</v>
      </c>
      <c r="G71" s="2">
        <v>43800</v>
      </c>
      <c r="H71" t="s">
        <v>28</v>
      </c>
      <c r="I71" t="s">
        <v>52</v>
      </c>
      <c r="J71" t="s">
        <v>15</v>
      </c>
      <c r="M71" t="str">
        <f t="shared" si="10"/>
        <v>Ivy</v>
      </c>
      <c r="N71">
        <v>50</v>
      </c>
      <c r="O71">
        <f t="shared" si="11"/>
        <v>50</v>
      </c>
      <c r="P71">
        <v>55000</v>
      </c>
      <c r="Q71">
        <f t="shared" si="12"/>
        <v>55000</v>
      </c>
      <c r="R71" t="str">
        <f t="shared" si="13"/>
        <v>Female</v>
      </c>
      <c r="S71" t="str">
        <f t="shared" si="14"/>
        <v>Marketing</v>
      </c>
      <c r="T71" t="str">
        <f t="shared" si="15"/>
        <v>Analyst</v>
      </c>
      <c r="U71" s="2">
        <v>43800</v>
      </c>
      <c r="V71" t="s">
        <v>28</v>
      </c>
      <c r="W71" t="s">
        <v>52</v>
      </c>
      <c r="X71" t="str">
        <f t="shared" si="16"/>
        <v>user@domain/com</v>
      </c>
      <c r="Y71" t="str">
        <f t="shared" si="17"/>
        <v>user@domain.com</v>
      </c>
      <c r="Z71" t="str">
        <f t="shared" si="9"/>
        <v>Phone not provided</v>
      </c>
    </row>
    <row r="72" spans="1:26" x14ac:dyDescent="0.25">
      <c r="A72" t="s">
        <v>22</v>
      </c>
      <c r="B72">
        <v>30</v>
      </c>
      <c r="C72">
        <v>55000</v>
      </c>
      <c r="D72" t="s">
        <v>11</v>
      </c>
      <c r="E72" t="s">
        <v>12</v>
      </c>
      <c r="F72" t="s">
        <v>13</v>
      </c>
      <c r="G72" s="2">
        <v>43881</v>
      </c>
      <c r="H72" t="s">
        <v>36</v>
      </c>
      <c r="I72" t="s">
        <v>52</v>
      </c>
      <c r="J72" t="s">
        <v>15</v>
      </c>
      <c r="M72" t="str">
        <f t="shared" si="10"/>
        <v>Hannah</v>
      </c>
      <c r="N72">
        <v>30</v>
      </c>
      <c r="O72">
        <f t="shared" si="11"/>
        <v>30</v>
      </c>
      <c r="P72">
        <v>55000</v>
      </c>
      <c r="Q72">
        <f t="shared" si="12"/>
        <v>55000</v>
      </c>
      <c r="R72" t="str">
        <f t="shared" si="13"/>
        <v>Male</v>
      </c>
      <c r="S72" t="str">
        <f t="shared" si="14"/>
        <v>HR</v>
      </c>
      <c r="T72" t="str">
        <f t="shared" si="15"/>
        <v>Manager</v>
      </c>
      <c r="U72" s="2">
        <v>43881</v>
      </c>
      <c r="V72" t="s">
        <v>36</v>
      </c>
      <c r="W72" t="s">
        <v>52</v>
      </c>
      <c r="X72" t="str">
        <f t="shared" si="16"/>
        <v>user@domain/com</v>
      </c>
      <c r="Y72" t="str">
        <f t="shared" si="17"/>
        <v>user@domain.com</v>
      </c>
      <c r="Z72" t="str">
        <f t="shared" si="9"/>
        <v>Phone not provided</v>
      </c>
    </row>
    <row r="73" spans="1:26" x14ac:dyDescent="0.25">
      <c r="A73" t="s">
        <v>26</v>
      </c>
      <c r="B73" t="s">
        <v>15</v>
      </c>
      <c r="C73" t="s">
        <v>30</v>
      </c>
      <c r="D73" t="s">
        <v>11</v>
      </c>
      <c r="E73" t="s">
        <v>18</v>
      </c>
      <c r="F73" t="s">
        <v>19</v>
      </c>
      <c r="G73" s="2">
        <v>43549</v>
      </c>
      <c r="H73" t="s">
        <v>20</v>
      </c>
      <c r="I73" t="s">
        <v>51</v>
      </c>
      <c r="J73" t="s">
        <v>29</v>
      </c>
      <c r="M73" t="str">
        <f t="shared" si="10"/>
        <v>Eve</v>
      </c>
      <c r="N73" t="s">
        <v>15</v>
      </c>
      <c r="O73">
        <f t="shared" si="11"/>
        <v>35</v>
      </c>
      <c r="P73" t="s">
        <v>30</v>
      </c>
      <c r="Q73">
        <f t="shared" si="12"/>
        <v>60000</v>
      </c>
      <c r="R73" t="str">
        <f t="shared" si="13"/>
        <v>Male</v>
      </c>
      <c r="S73" t="str">
        <f t="shared" si="14"/>
        <v>Finance</v>
      </c>
      <c r="T73" t="str">
        <f t="shared" si="15"/>
        <v>Director</v>
      </c>
      <c r="U73" s="2">
        <v>43549</v>
      </c>
      <c r="V73" t="s">
        <v>20</v>
      </c>
      <c r="W73" t="s">
        <v>51</v>
      </c>
      <c r="X73" t="str">
        <f t="shared" si="16"/>
        <v>email@example/com</v>
      </c>
      <c r="Y73" t="str">
        <f t="shared" si="17"/>
        <v>email@example.com</v>
      </c>
      <c r="Z73" t="str">
        <f t="shared" si="9"/>
        <v>Phone not provided</v>
      </c>
    </row>
    <row r="74" spans="1:26" x14ac:dyDescent="0.25">
      <c r="A74" t="s">
        <v>41</v>
      </c>
      <c r="B74">
        <v>30</v>
      </c>
      <c r="C74">
        <v>50000</v>
      </c>
      <c r="D74" t="s">
        <v>32</v>
      </c>
      <c r="E74" t="s">
        <v>27</v>
      </c>
      <c r="F74" t="s">
        <v>38</v>
      </c>
      <c r="G74" s="2">
        <v>43881</v>
      </c>
      <c r="H74" t="s">
        <v>20</v>
      </c>
      <c r="I74" t="s">
        <v>52</v>
      </c>
      <c r="J74" t="s">
        <v>25</v>
      </c>
      <c r="M74" t="str">
        <f t="shared" si="10"/>
        <v>Bob</v>
      </c>
      <c r="N74">
        <v>30</v>
      </c>
      <c r="O74">
        <f t="shared" si="11"/>
        <v>30</v>
      </c>
      <c r="P74">
        <v>50000</v>
      </c>
      <c r="Q74">
        <f t="shared" si="12"/>
        <v>50000</v>
      </c>
      <c r="R74" t="str">
        <f t="shared" si="13"/>
        <v>Other</v>
      </c>
      <c r="S74" t="str">
        <f t="shared" si="14"/>
        <v>IT</v>
      </c>
      <c r="T74" t="str">
        <f t="shared" si="15"/>
        <v>Analyst</v>
      </c>
      <c r="U74" s="2">
        <v>43881</v>
      </c>
      <c r="V74" t="s">
        <v>20</v>
      </c>
      <c r="W74" t="s">
        <v>52</v>
      </c>
      <c r="X74" t="str">
        <f t="shared" si="16"/>
        <v>user@domain/com</v>
      </c>
      <c r="Y74" t="str">
        <f t="shared" si="17"/>
        <v>user@domain.com</v>
      </c>
      <c r="Z74" t="str">
        <f t="shared" si="9"/>
        <v>098-765-4321</v>
      </c>
    </row>
    <row r="75" spans="1:26" x14ac:dyDescent="0.25">
      <c r="A75" t="s">
        <v>26</v>
      </c>
      <c r="B75">
        <v>40</v>
      </c>
      <c r="C75">
        <v>60000</v>
      </c>
      <c r="D75" t="s">
        <v>17</v>
      </c>
      <c r="E75" t="s">
        <v>18</v>
      </c>
      <c r="F75" t="s">
        <v>19</v>
      </c>
      <c r="G75" s="2">
        <v>43549</v>
      </c>
      <c r="H75" t="s">
        <v>24</v>
      </c>
      <c r="I75" t="s">
        <v>15</v>
      </c>
      <c r="J75" t="s">
        <v>21</v>
      </c>
      <c r="M75" t="str">
        <f t="shared" si="10"/>
        <v>Eve</v>
      </c>
      <c r="N75">
        <v>40</v>
      </c>
      <c r="O75">
        <f t="shared" si="11"/>
        <v>40</v>
      </c>
      <c r="P75">
        <v>60000</v>
      </c>
      <c r="Q75">
        <f t="shared" si="12"/>
        <v>60000</v>
      </c>
      <c r="R75" t="str">
        <f t="shared" si="13"/>
        <v>Female</v>
      </c>
      <c r="S75" t="str">
        <f t="shared" si="14"/>
        <v>Finance</v>
      </c>
      <c r="T75" t="str">
        <f t="shared" si="15"/>
        <v>Director</v>
      </c>
      <c r="U75" s="2">
        <v>43549</v>
      </c>
      <c r="V75" t="s">
        <v>24</v>
      </c>
      <c r="W75" t="s">
        <v>15</v>
      </c>
      <c r="X75" t="str">
        <f t="shared" si="16"/>
        <v>Email not provided</v>
      </c>
      <c r="Y75" t="str">
        <f t="shared" si="17"/>
        <v>Email not provided</v>
      </c>
      <c r="Z75" t="str">
        <f t="shared" si="9"/>
        <v>123-456-7890</v>
      </c>
    </row>
    <row r="76" spans="1:26" x14ac:dyDescent="0.25">
      <c r="A76" t="s">
        <v>22</v>
      </c>
      <c r="B76">
        <v>25</v>
      </c>
      <c r="C76">
        <v>70000</v>
      </c>
      <c r="D76" t="s">
        <v>32</v>
      </c>
      <c r="E76" t="s">
        <v>12</v>
      </c>
      <c r="F76" t="s">
        <v>38</v>
      </c>
      <c r="G76" s="2">
        <v>43800</v>
      </c>
      <c r="H76" t="s">
        <v>20</v>
      </c>
      <c r="I76" t="s">
        <v>52</v>
      </c>
      <c r="J76" t="s">
        <v>25</v>
      </c>
      <c r="M76" t="str">
        <f t="shared" si="10"/>
        <v>Hannah</v>
      </c>
      <c r="N76">
        <v>25</v>
      </c>
      <c r="O76">
        <f t="shared" si="11"/>
        <v>25</v>
      </c>
      <c r="P76">
        <v>70000</v>
      </c>
      <c r="Q76">
        <f t="shared" si="12"/>
        <v>70000</v>
      </c>
      <c r="R76" t="str">
        <f t="shared" si="13"/>
        <v>Other</v>
      </c>
      <c r="S76" t="str">
        <f t="shared" si="14"/>
        <v>HR</v>
      </c>
      <c r="T76" t="str">
        <f t="shared" si="15"/>
        <v>Analyst</v>
      </c>
      <c r="U76" s="2">
        <v>43800</v>
      </c>
      <c r="V76" t="s">
        <v>20</v>
      </c>
      <c r="W76" t="s">
        <v>52</v>
      </c>
      <c r="X76" t="str">
        <f t="shared" si="16"/>
        <v>user@domain/com</v>
      </c>
      <c r="Y76" t="str">
        <f t="shared" si="17"/>
        <v>user@domain.com</v>
      </c>
      <c r="Z76" t="str">
        <f t="shared" si="9"/>
        <v>098-765-4321</v>
      </c>
    </row>
    <row r="77" spans="1:26" x14ac:dyDescent="0.25">
      <c r="A77" t="s">
        <v>31</v>
      </c>
      <c r="B77">
        <v>25</v>
      </c>
      <c r="C77">
        <v>55000</v>
      </c>
      <c r="D77" t="s">
        <v>32</v>
      </c>
      <c r="E77" t="s">
        <v>12</v>
      </c>
      <c r="F77" t="s">
        <v>19</v>
      </c>
      <c r="G77" s="1">
        <v>43195</v>
      </c>
      <c r="H77" t="s">
        <v>36</v>
      </c>
      <c r="J77" t="s">
        <v>25</v>
      </c>
      <c r="M77" t="str">
        <f t="shared" si="10"/>
        <v>Jack</v>
      </c>
      <c r="N77">
        <v>25</v>
      </c>
      <c r="O77">
        <f t="shared" si="11"/>
        <v>25</v>
      </c>
      <c r="P77">
        <v>55000</v>
      </c>
      <c r="Q77">
        <f t="shared" si="12"/>
        <v>55000</v>
      </c>
      <c r="R77" t="str">
        <f t="shared" si="13"/>
        <v>Other</v>
      </c>
      <c r="S77" t="str">
        <f t="shared" si="14"/>
        <v>HR</v>
      </c>
      <c r="T77" t="str">
        <f t="shared" si="15"/>
        <v>Director</v>
      </c>
      <c r="U77" s="2">
        <v>43195</v>
      </c>
      <c r="V77" t="s">
        <v>36</v>
      </c>
      <c r="X77" t="str">
        <f t="shared" si="16"/>
        <v>Email not provided</v>
      </c>
      <c r="Y77" t="str">
        <f t="shared" si="17"/>
        <v>Email not provided</v>
      </c>
      <c r="Z77" t="str">
        <f t="shared" si="9"/>
        <v>098-765-4321</v>
      </c>
    </row>
    <row r="78" spans="1:26" x14ac:dyDescent="0.25">
      <c r="A78" t="s">
        <v>43</v>
      </c>
      <c r="B78" t="s">
        <v>15</v>
      </c>
      <c r="C78">
        <v>55000</v>
      </c>
      <c r="D78" t="s">
        <v>32</v>
      </c>
      <c r="E78" t="s">
        <v>23</v>
      </c>
      <c r="F78" t="s">
        <v>35</v>
      </c>
      <c r="G78" s="1">
        <v>43195</v>
      </c>
      <c r="H78" t="s">
        <v>14</v>
      </c>
      <c r="I78" t="s">
        <v>15</v>
      </c>
      <c r="J78" t="s">
        <v>25</v>
      </c>
      <c r="M78" t="str">
        <f t="shared" si="10"/>
        <v>Ivy</v>
      </c>
      <c r="N78" t="s">
        <v>15</v>
      </c>
      <c r="O78">
        <f t="shared" si="11"/>
        <v>35</v>
      </c>
      <c r="P78">
        <v>55000</v>
      </c>
      <c r="Q78">
        <f t="shared" si="12"/>
        <v>55000</v>
      </c>
      <c r="R78" t="str">
        <f t="shared" si="13"/>
        <v>Other</v>
      </c>
      <c r="S78" t="str">
        <f t="shared" si="14"/>
        <v>Sales</v>
      </c>
      <c r="T78" t="str">
        <f t="shared" si="15"/>
        <v>Clerk</v>
      </c>
      <c r="U78" s="2">
        <v>43195</v>
      </c>
      <c r="V78" t="s">
        <v>14</v>
      </c>
      <c r="W78" t="s">
        <v>15</v>
      </c>
      <c r="X78" t="str">
        <f t="shared" si="16"/>
        <v>Email not provided</v>
      </c>
      <c r="Y78" t="str">
        <f t="shared" si="17"/>
        <v>Email not provided</v>
      </c>
      <c r="Z78" t="str">
        <f t="shared" si="9"/>
        <v>098-765-4321</v>
      </c>
    </row>
    <row r="79" spans="1:26" x14ac:dyDescent="0.25">
      <c r="A79" t="s">
        <v>43</v>
      </c>
      <c r="B79">
        <v>25</v>
      </c>
      <c r="C79" t="s">
        <v>30</v>
      </c>
      <c r="D79" t="s">
        <v>11</v>
      </c>
      <c r="E79" t="s">
        <v>12</v>
      </c>
      <c r="F79" t="s">
        <v>19</v>
      </c>
      <c r="G79" s="2">
        <v>43549</v>
      </c>
      <c r="H79" t="s">
        <v>14</v>
      </c>
      <c r="I79" t="s">
        <v>53</v>
      </c>
      <c r="J79" t="s">
        <v>25</v>
      </c>
      <c r="M79" t="str">
        <f t="shared" si="10"/>
        <v>Ivy</v>
      </c>
      <c r="N79">
        <v>25</v>
      </c>
      <c r="O79">
        <f t="shared" si="11"/>
        <v>25</v>
      </c>
      <c r="P79" t="s">
        <v>30</v>
      </c>
      <c r="Q79">
        <f t="shared" si="12"/>
        <v>60000</v>
      </c>
      <c r="R79" t="str">
        <f t="shared" si="13"/>
        <v>Male</v>
      </c>
      <c r="S79" t="str">
        <f t="shared" si="14"/>
        <v>HR</v>
      </c>
      <c r="T79" t="str">
        <f t="shared" si="15"/>
        <v>Director</v>
      </c>
      <c r="U79" s="2">
        <v>43549</v>
      </c>
      <c r="V79" t="s">
        <v>14</v>
      </c>
      <c r="W79" t="s">
        <v>53</v>
      </c>
      <c r="X79" t="str">
        <f t="shared" si="16"/>
        <v>name@company/org</v>
      </c>
      <c r="Y79" t="str">
        <f t="shared" si="17"/>
        <v>name@company.org</v>
      </c>
      <c r="Z79" t="str">
        <f t="shared" si="9"/>
        <v>098-765-4321</v>
      </c>
    </row>
    <row r="80" spans="1:26" x14ac:dyDescent="0.25">
      <c r="A80" t="s">
        <v>42</v>
      </c>
      <c r="B80">
        <v>25</v>
      </c>
      <c r="C80">
        <v>65000</v>
      </c>
      <c r="D80" t="s">
        <v>11</v>
      </c>
      <c r="E80" t="s">
        <v>18</v>
      </c>
      <c r="F80" t="s">
        <v>19</v>
      </c>
      <c r="G80" s="1">
        <v>43195</v>
      </c>
      <c r="H80" t="s">
        <v>14</v>
      </c>
      <c r="I80" t="s">
        <v>52</v>
      </c>
      <c r="J80" t="s">
        <v>21</v>
      </c>
      <c r="M80" t="str">
        <f t="shared" si="10"/>
        <v>Alice</v>
      </c>
      <c r="N80">
        <v>25</v>
      </c>
      <c r="O80">
        <f t="shared" si="11"/>
        <v>25</v>
      </c>
      <c r="P80">
        <v>65000</v>
      </c>
      <c r="Q80">
        <f t="shared" si="12"/>
        <v>65000</v>
      </c>
      <c r="R80" t="str">
        <f t="shared" si="13"/>
        <v>Male</v>
      </c>
      <c r="S80" t="str">
        <f t="shared" si="14"/>
        <v>Finance</v>
      </c>
      <c r="T80" t="str">
        <f t="shared" si="15"/>
        <v>Director</v>
      </c>
      <c r="U80" s="2">
        <v>43195</v>
      </c>
      <c r="V80" t="s">
        <v>14</v>
      </c>
      <c r="W80" t="s">
        <v>52</v>
      </c>
      <c r="X80" t="str">
        <f t="shared" si="16"/>
        <v>user@domain/com</v>
      </c>
      <c r="Y80" t="str">
        <f t="shared" si="17"/>
        <v>user@domain.com</v>
      </c>
      <c r="Z80" t="str">
        <f t="shared" si="9"/>
        <v>123-456-7890</v>
      </c>
    </row>
    <row r="81" spans="1:26" x14ac:dyDescent="0.25">
      <c r="A81" t="s">
        <v>43</v>
      </c>
      <c r="B81" t="s">
        <v>15</v>
      </c>
      <c r="C81">
        <v>70000</v>
      </c>
      <c r="D81" t="s">
        <v>17</v>
      </c>
      <c r="E81" t="s">
        <v>33</v>
      </c>
      <c r="F81" t="s">
        <v>13</v>
      </c>
      <c r="G81" s="2">
        <v>43800</v>
      </c>
      <c r="H81" t="s">
        <v>14</v>
      </c>
      <c r="I81" t="s">
        <v>52</v>
      </c>
      <c r="J81" t="s">
        <v>39</v>
      </c>
      <c r="M81" t="str">
        <f t="shared" si="10"/>
        <v>Ivy</v>
      </c>
      <c r="N81" t="s">
        <v>15</v>
      </c>
      <c r="O81">
        <f t="shared" si="11"/>
        <v>35</v>
      </c>
      <c r="P81">
        <v>70000</v>
      </c>
      <c r="Q81">
        <f t="shared" si="12"/>
        <v>70000</v>
      </c>
      <c r="R81" t="str">
        <f t="shared" si="13"/>
        <v>Female</v>
      </c>
      <c r="S81" t="str">
        <f t="shared" si="14"/>
        <v>Marketing</v>
      </c>
      <c r="T81" t="str">
        <f t="shared" si="15"/>
        <v>Manager</v>
      </c>
      <c r="U81" s="2">
        <v>43800</v>
      </c>
      <c r="V81" t="s">
        <v>14</v>
      </c>
      <c r="W81" t="s">
        <v>52</v>
      </c>
      <c r="X81" t="str">
        <f t="shared" si="16"/>
        <v>user@domain/com</v>
      </c>
      <c r="Y81" t="str">
        <f t="shared" si="17"/>
        <v>user@domain.com</v>
      </c>
      <c r="Z81" t="str">
        <f t="shared" si="9"/>
        <v>555-555-5555</v>
      </c>
    </row>
    <row r="82" spans="1:26" x14ac:dyDescent="0.25">
      <c r="A82" t="s">
        <v>10</v>
      </c>
      <c r="B82">
        <v>50</v>
      </c>
      <c r="C82">
        <v>70000</v>
      </c>
      <c r="D82" t="s">
        <v>17</v>
      </c>
      <c r="E82" t="s">
        <v>33</v>
      </c>
      <c r="F82" t="s">
        <v>35</v>
      </c>
      <c r="G82" s="1">
        <v>43195</v>
      </c>
      <c r="H82" t="s">
        <v>24</v>
      </c>
      <c r="J82" t="s">
        <v>25</v>
      </c>
      <c r="M82" t="str">
        <f t="shared" si="10"/>
        <v>Grace</v>
      </c>
      <c r="N82">
        <v>50</v>
      </c>
      <c r="O82">
        <f t="shared" si="11"/>
        <v>50</v>
      </c>
      <c r="P82">
        <v>70000</v>
      </c>
      <c r="Q82">
        <f t="shared" si="12"/>
        <v>70000</v>
      </c>
      <c r="R82" t="str">
        <f t="shared" si="13"/>
        <v>Female</v>
      </c>
      <c r="S82" t="str">
        <f t="shared" si="14"/>
        <v>Marketing</v>
      </c>
      <c r="T82" t="str">
        <f t="shared" si="15"/>
        <v>Clerk</v>
      </c>
      <c r="U82" s="2">
        <v>43195</v>
      </c>
      <c r="V82" t="s">
        <v>24</v>
      </c>
      <c r="X82" t="str">
        <f t="shared" si="16"/>
        <v>Email not provided</v>
      </c>
      <c r="Y82" t="str">
        <f t="shared" si="17"/>
        <v>Email not provided</v>
      </c>
      <c r="Z82" t="str">
        <f t="shared" si="9"/>
        <v>098-765-4321</v>
      </c>
    </row>
    <row r="83" spans="1:26" x14ac:dyDescent="0.25">
      <c r="A83" t="s">
        <v>43</v>
      </c>
      <c r="B83">
        <v>50</v>
      </c>
      <c r="C83">
        <v>55000</v>
      </c>
      <c r="D83" t="s">
        <v>32</v>
      </c>
      <c r="E83" t="s">
        <v>23</v>
      </c>
      <c r="F83" t="s">
        <v>37</v>
      </c>
      <c r="G83" s="2">
        <v>43800</v>
      </c>
      <c r="H83" t="s">
        <v>20</v>
      </c>
      <c r="J83" t="s">
        <v>15</v>
      </c>
      <c r="M83" t="str">
        <f t="shared" si="10"/>
        <v>Ivy</v>
      </c>
      <c r="N83">
        <v>50</v>
      </c>
      <c r="O83">
        <f t="shared" si="11"/>
        <v>50</v>
      </c>
      <c r="P83">
        <v>55000</v>
      </c>
      <c r="Q83">
        <f t="shared" si="12"/>
        <v>55000</v>
      </c>
      <c r="R83" t="str">
        <f t="shared" si="13"/>
        <v>Other</v>
      </c>
      <c r="S83" t="str">
        <f t="shared" si="14"/>
        <v>Sales</v>
      </c>
      <c r="T83" t="str">
        <f t="shared" si="15"/>
        <v>Assistant</v>
      </c>
      <c r="U83" s="2">
        <v>43800</v>
      </c>
      <c r="V83" t="s">
        <v>20</v>
      </c>
      <c r="X83" t="str">
        <f t="shared" si="16"/>
        <v>Email not provided</v>
      </c>
      <c r="Y83" t="str">
        <f t="shared" si="17"/>
        <v>Email not provided</v>
      </c>
      <c r="Z83" t="str">
        <f t="shared" si="9"/>
        <v>Phone not provided</v>
      </c>
    </row>
    <row r="84" spans="1:26" x14ac:dyDescent="0.25">
      <c r="A84" t="s">
        <v>22</v>
      </c>
      <c r="B84" t="s">
        <v>15</v>
      </c>
      <c r="C84">
        <v>50000</v>
      </c>
      <c r="D84" t="s">
        <v>32</v>
      </c>
      <c r="E84" t="s">
        <v>18</v>
      </c>
      <c r="F84" t="s">
        <v>13</v>
      </c>
      <c r="G84" s="2">
        <v>43881</v>
      </c>
      <c r="H84" t="s">
        <v>14</v>
      </c>
      <c r="I84" t="s">
        <v>51</v>
      </c>
      <c r="J84" t="s">
        <v>29</v>
      </c>
      <c r="M84" t="str">
        <f t="shared" si="10"/>
        <v>Hannah</v>
      </c>
      <c r="N84" t="s">
        <v>15</v>
      </c>
      <c r="O84">
        <f t="shared" si="11"/>
        <v>35</v>
      </c>
      <c r="P84">
        <v>50000</v>
      </c>
      <c r="Q84">
        <f t="shared" si="12"/>
        <v>50000</v>
      </c>
      <c r="R84" t="str">
        <f t="shared" si="13"/>
        <v>Other</v>
      </c>
      <c r="S84" t="str">
        <f t="shared" si="14"/>
        <v>Finance</v>
      </c>
      <c r="T84" t="str">
        <f t="shared" si="15"/>
        <v>Manager</v>
      </c>
      <c r="U84" s="2">
        <v>43881</v>
      </c>
      <c r="V84" t="s">
        <v>14</v>
      </c>
      <c r="W84" t="s">
        <v>51</v>
      </c>
      <c r="X84" t="str">
        <f t="shared" si="16"/>
        <v>email@example/com</v>
      </c>
      <c r="Y84" t="str">
        <f t="shared" si="17"/>
        <v>email@example.com</v>
      </c>
      <c r="Z84" t="str">
        <f t="shared" si="9"/>
        <v>Phone not provided</v>
      </c>
    </row>
    <row r="85" spans="1:26" x14ac:dyDescent="0.25">
      <c r="A85" t="s">
        <v>42</v>
      </c>
      <c r="B85">
        <v>40</v>
      </c>
      <c r="C85">
        <v>65000</v>
      </c>
      <c r="D85" t="s">
        <v>32</v>
      </c>
      <c r="E85" t="s">
        <v>18</v>
      </c>
      <c r="F85" t="s">
        <v>37</v>
      </c>
      <c r="G85" s="2">
        <v>43800</v>
      </c>
      <c r="H85" t="s">
        <v>28</v>
      </c>
      <c r="I85" t="s">
        <v>51</v>
      </c>
      <c r="J85" t="s">
        <v>29</v>
      </c>
      <c r="M85" t="str">
        <f t="shared" si="10"/>
        <v>Alice</v>
      </c>
      <c r="N85">
        <v>40</v>
      </c>
      <c r="O85">
        <f t="shared" si="11"/>
        <v>40</v>
      </c>
      <c r="P85">
        <v>65000</v>
      </c>
      <c r="Q85">
        <f t="shared" si="12"/>
        <v>65000</v>
      </c>
      <c r="R85" t="str">
        <f t="shared" si="13"/>
        <v>Other</v>
      </c>
      <c r="S85" t="str">
        <f t="shared" si="14"/>
        <v>Finance</v>
      </c>
      <c r="T85" t="str">
        <f t="shared" si="15"/>
        <v>Assistant</v>
      </c>
      <c r="U85" s="2">
        <v>43800</v>
      </c>
      <c r="V85" t="s">
        <v>28</v>
      </c>
      <c r="W85" t="s">
        <v>51</v>
      </c>
      <c r="X85" t="str">
        <f t="shared" si="16"/>
        <v>email@example/com</v>
      </c>
      <c r="Y85" t="str">
        <f t="shared" si="17"/>
        <v>email@example.com</v>
      </c>
      <c r="Z85" t="str">
        <f t="shared" si="9"/>
        <v>Phone not provided</v>
      </c>
    </row>
    <row r="86" spans="1:26" x14ac:dyDescent="0.25">
      <c r="A86" t="s">
        <v>22</v>
      </c>
      <c r="B86">
        <v>25</v>
      </c>
      <c r="C86">
        <v>70000</v>
      </c>
      <c r="D86" t="s">
        <v>17</v>
      </c>
      <c r="E86" t="s">
        <v>12</v>
      </c>
      <c r="F86" t="s">
        <v>38</v>
      </c>
      <c r="G86" s="2">
        <v>43845</v>
      </c>
      <c r="H86" t="s">
        <v>14</v>
      </c>
      <c r="I86" t="s">
        <v>51</v>
      </c>
      <c r="J86" t="s">
        <v>15</v>
      </c>
      <c r="M86" t="str">
        <f t="shared" si="10"/>
        <v>Hannah</v>
      </c>
      <c r="N86">
        <v>25</v>
      </c>
      <c r="O86">
        <f t="shared" si="11"/>
        <v>25</v>
      </c>
      <c r="P86">
        <v>70000</v>
      </c>
      <c r="Q86">
        <f t="shared" si="12"/>
        <v>70000</v>
      </c>
      <c r="R86" t="str">
        <f t="shared" si="13"/>
        <v>Female</v>
      </c>
      <c r="S86" t="str">
        <f t="shared" si="14"/>
        <v>HR</v>
      </c>
      <c r="T86" t="str">
        <f t="shared" si="15"/>
        <v>Analyst</v>
      </c>
      <c r="U86" s="2">
        <v>43845</v>
      </c>
      <c r="V86" t="s">
        <v>14</v>
      </c>
      <c r="W86" t="s">
        <v>51</v>
      </c>
      <c r="X86" t="str">
        <f t="shared" si="16"/>
        <v>email@example/com</v>
      </c>
      <c r="Y86" t="str">
        <f t="shared" si="17"/>
        <v>email@example.com</v>
      </c>
      <c r="Z86" t="str">
        <f t="shared" si="9"/>
        <v>Phone not provided</v>
      </c>
    </row>
    <row r="87" spans="1:26" x14ac:dyDescent="0.25">
      <c r="A87" t="s">
        <v>22</v>
      </c>
      <c r="B87">
        <v>25</v>
      </c>
      <c r="C87">
        <v>55000</v>
      </c>
      <c r="D87" t="s">
        <v>11</v>
      </c>
      <c r="E87" t="s">
        <v>18</v>
      </c>
      <c r="F87" t="s">
        <v>37</v>
      </c>
      <c r="G87" s="2">
        <v>43845</v>
      </c>
      <c r="H87" t="s">
        <v>20</v>
      </c>
      <c r="J87" t="s">
        <v>25</v>
      </c>
      <c r="M87" t="str">
        <f t="shared" si="10"/>
        <v>Hannah</v>
      </c>
      <c r="N87">
        <v>25</v>
      </c>
      <c r="O87">
        <f t="shared" si="11"/>
        <v>25</v>
      </c>
      <c r="P87">
        <v>55000</v>
      </c>
      <c r="Q87">
        <f t="shared" si="12"/>
        <v>55000</v>
      </c>
      <c r="R87" t="str">
        <f t="shared" si="13"/>
        <v>Male</v>
      </c>
      <c r="S87" t="str">
        <f t="shared" si="14"/>
        <v>Finance</v>
      </c>
      <c r="T87" t="str">
        <f t="shared" si="15"/>
        <v>Assistant</v>
      </c>
      <c r="U87" s="2">
        <v>43845</v>
      </c>
      <c r="V87" t="s">
        <v>20</v>
      </c>
      <c r="X87" t="str">
        <f t="shared" si="16"/>
        <v>Email not provided</v>
      </c>
      <c r="Y87" t="str">
        <f t="shared" si="17"/>
        <v>Email not provided</v>
      </c>
      <c r="Z87" t="str">
        <f t="shared" si="9"/>
        <v>098-765-4321</v>
      </c>
    </row>
    <row r="88" spans="1:26" x14ac:dyDescent="0.25">
      <c r="A88" t="s">
        <v>34</v>
      </c>
      <c r="B88">
        <v>40</v>
      </c>
      <c r="C88">
        <v>70000</v>
      </c>
      <c r="D88" t="s">
        <v>11</v>
      </c>
      <c r="E88" t="s">
        <v>27</v>
      </c>
      <c r="F88" t="s">
        <v>19</v>
      </c>
      <c r="G88" s="2">
        <v>43845</v>
      </c>
      <c r="H88" t="s">
        <v>14</v>
      </c>
      <c r="I88" t="s">
        <v>51</v>
      </c>
      <c r="J88" t="s">
        <v>21</v>
      </c>
      <c r="M88" t="str">
        <f t="shared" si="10"/>
        <v>Charlie</v>
      </c>
      <c r="N88">
        <v>40</v>
      </c>
      <c r="O88">
        <f t="shared" si="11"/>
        <v>40</v>
      </c>
      <c r="P88">
        <v>70000</v>
      </c>
      <c r="Q88">
        <f t="shared" si="12"/>
        <v>70000</v>
      </c>
      <c r="R88" t="str">
        <f t="shared" si="13"/>
        <v>Male</v>
      </c>
      <c r="S88" t="str">
        <f t="shared" si="14"/>
        <v>IT</v>
      </c>
      <c r="T88" t="str">
        <f t="shared" si="15"/>
        <v>Director</v>
      </c>
      <c r="U88" s="2">
        <v>43845</v>
      </c>
      <c r="V88" t="s">
        <v>14</v>
      </c>
      <c r="W88" t="s">
        <v>51</v>
      </c>
      <c r="X88" t="str">
        <f t="shared" si="16"/>
        <v>email@example/com</v>
      </c>
      <c r="Y88" t="str">
        <f t="shared" si="17"/>
        <v>email@example.com</v>
      </c>
      <c r="Z88" t="str">
        <f t="shared" si="9"/>
        <v>123-456-7890</v>
      </c>
    </row>
    <row r="89" spans="1:26" x14ac:dyDescent="0.25">
      <c r="A89" t="s">
        <v>42</v>
      </c>
      <c r="B89">
        <v>50</v>
      </c>
      <c r="C89">
        <v>65000</v>
      </c>
      <c r="D89" t="s">
        <v>32</v>
      </c>
      <c r="E89" t="s">
        <v>12</v>
      </c>
      <c r="F89" t="s">
        <v>37</v>
      </c>
      <c r="G89" s="2">
        <v>43549</v>
      </c>
      <c r="H89" t="s">
        <v>24</v>
      </c>
      <c r="I89" t="s">
        <v>51</v>
      </c>
      <c r="J89" t="s">
        <v>39</v>
      </c>
      <c r="M89" t="str">
        <f t="shared" si="10"/>
        <v>Alice</v>
      </c>
      <c r="N89">
        <v>50</v>
      </c>
      <c r="O89">
        <f t="shared" si="11"/>
        <v>50</v>
      </c>
      <c r="P89">
        <v>65000</v>
      </c>
      <c r="Q89">
        <f t="shared" si="12"/>
        <v>65000</v>
      </c>
      <c r="R89" t="str">
        <f t="shared" si="13"/>
        <v>Other</v>
      </c>
      <c r="S89" t="str">
        <f t="shared" si="14"/>
        <v>HR</v>
      </c>
      <c r="T89" t="str">
        <f t="shared" si="15"/>
        <v>Assistant</v>
      </c>
      <c r="U89" s="2">
        <v>43549</v>
      </c>
      <c r="V89" t="s">
        <v>24</v>
      </c>
      <c r="W89" t="s">
        <v>51</v>
      </c>
      <c r="X89" t="str">
        <f t="shared" si="16"/>
        <v>email@example/com</v>
      </c>
      <c r="Y89" t="str">
        <f t="shared" si="17"/>
        <v>email@example.com</v>
      </c>
      <c r="Z89" t="str">
        <f t="shared" si="9"/>
        <v>555-555-5555</v>
      </c>
    </row>
    <row r="90" spans="1:26" x14ac:dyDescent="0.25">
      <c r="A90" t="s">
        <v>22</v>
      </c>
      <c r="B90">
        <v>35</v>
      </c>
      <c r="C90">
        <v>65000</v>
      </c>
      <c r="D90" t="s">
        <v>32</v>
      </c>
      <c r="E90" t="s">
        <v>27</v>
      </c>
      <c r="F90" t="s">
        <v>13</v>
      </c>
      <c r="G90" s="2">
        <v>43549</v>
      </c>
      <c r="H90" t="s">
        <v>36</v>
      </c>
      <c r="I90" t="s">
        <v>53</v>
      </c>
      <c r="J90" t="s">
        <v>29</v>
      </c>
      <c r="M90" t="str">
        <f t="shared" si="10"/>
        <v>Hannah</v>
      </c>
      <c r="N90">
        <v>35</v>
      </c>
      <c r="O90">
        <f t="shared" si="11"/>
        <v>35</v>
      </c>
      <c r="P90">
        <v>65000</v>
      </c>
      <c r="Q90">
        <f t="shared" si="12"/>
        <v>65000</v>
      </c>
      <c r="R90" t="str">
        <f t="shared" si="13"/>
        <v>Other</v>
      </c>
      <c r="S90" t="str">
        <f t="shared" si="14"/>
        <v>IT</v>
      </c>
      <c r="T90" t="str">
        <f t="shared" si="15"/>
        <v>Manager</v>
      </c>
      <c r="U90" s="2">
        <v>43549</v>
      </c>
      <c r="V90" t="s">
        <v>36</v>
      </c>
      <c r="W90" t="s">
        <v>53</v>
      </c>
      <c r="X90" t="str">
        <f t="shared" si="16"/>
        <v>name@company/org</v>
      </c>
      <c r="Y90" t="str">
        <f t="shared" si="17"/>
        <v>name@company.org</v>
      </c>
      <c r="Z90" t="str">
        <f t="shared" si="9"/>
        <v>Phone not provided</v>
      </c>
    </row>
    <row r="91" spans="1:26" x14ac:dyDescent="0.25">
      <c r="A91" t="s">
        <v>34</v>
      </c>
      <c r="B91">
        <v>35</v>
      </c>
      <c r="C91">
        <v>60000</v>
      </c>
      <c r="D91" t="s">
        <v>32</v>
      </c>
      <c r="E91" t="s">
        <v>23</v>
      </c>
      <c r="F91" t="s">
        <v>13</v>
      </c>
      <c r="G91" s="2">
        <v>43549</v>
      </c>
      <c r="H91" t="s">
        <v>36</v>
      </c>
      <c r="I91" t="s">
        <v>51</v>
      </c>
      <c r="J91" t="s">
        <v>39</v>
      </c>
      <c r="M91" t="str">
        <f t="shared" si="10"/>
        <v>Charlie</v>
      </c>
      <c r="N91">
        <v>35</v>
      </c>
      <c r="O91">
        <f t="shared" si="11"/>
        <v>35</v>
      </c>
      <c r="P91">
        <v>60000</v>
      </c>
      <c r="Q91">
        <f t="shared" si="12"/>
        <v>60000</v>
      </c>
      <c r="R91" t="str">
        <f t="shared" si="13"/>
        <v>Other</v>
      </c>
      <c r="S91" t="str">
        <f t="shared" si="14"/>
        <v>Sales</v>
      </c>
      <c r="T91" t="str">
        <f t="shared" si="15"/>
        <v>Manager</v>
      </c>
      <c r="U91" s="2">
        <v>43549</v>
      </c>
      <c r="V91" t="s">
        <v>36</v>
      </c>
      <c r="W91" t="s">
        <v>51</v>
      </c>
      <c r="X91" t="str">
        <f t="shared" si="16"/>
        <v>email@example/com</v>
      </c>
      <c r="Y91" t="str">
        <f t="shared" si="17"/>
        <v>email@example.com</v>
      </c>
      <c r="Z91" t="str">
        <f t="shared" si="9"/>
        <v>555-555-5555</v>
      </c>
    </row>
    <row r="92" spans="1:26" x14ac:dyDescent="0.25">
      <c r="A92" t="s">
        <v>34</v>
      </c>
      <c r="B92">
        <v>35</v>
      </c>
      <c r="C92" t="s">
        <v>30</v>
      </c>
      <c r="D92" t="s">
        <v>32</v>
      </c>
      <c r="E92" t="s">
        <v>33</v>
      </c>
      <c r="F92" t="s">
        <v>37</v>
      </c>
      <c r="G92" s="2">
        <v>43800</v>
      </c>
      <c r="H92" t="s">
        <v>20</v>
      </c>
      <c r="I92" t="s">
        <v>52</v>
      </c>
      <c r="J92" t="s">
        <v>21</v>
      </c>
      <c r="M92" t="str">
        <f t="shared" si="10"/>
        <v>Charlie</v>
      </c>
      <c r="N92">
        <v>35</v>
      </c>
      <c r="O92">
        <f t="shared" si="11"/>
        <v>35</v>
      </c>
      <c r="P92" t="s">
        <v>30</v>
      </c>
      <c r="Q92">
        <f t="shared" si="12"/>
        <v>60000</v>
      </c>
      <c r="R92" t="str">
        <f t="shared" si="13"/>
        <v>Other</v>
      </c>
      <c r="S92" t="str">
        <f t="shared" si="14"/>
        <v>Marketing</v>
      </c>
      <c r="T92" t="str">
        <f t="shared" si="15"/>
        <v>Assistant</v>
      </c>
      <c r="U92" s="2">
        <v>43800</v>
      </c>
      <c r="V92" t="s">
        <v>20</v>
      </c>
      <c r="W92" t="s">
        <v>52</v>
      </c>
      <c r="X92" t="str">
        <f t="shared" si="16"/>
        <v>user@domain/com</v>
      </c>
      <c r="Y92" t="str">
        <f t="shared" si="17"/>
        <v>user@domain.com</v>
      </c>
      <c r="Z92" t="str">
        <f t="shared" si="9"/>
        <v>123-456-7890</v>
      </c>
    </row>
    <row r="93" spans="1:26" x14ac:dyDescent="0.25">
      <c r="A93" t="s">
        <v>42</v>
      </c>
      <c r="B93">
        <v>50</v>
      </c>
      <c r="C93" t="s">
        <v>30</v>
      </c>
      <c r="D93" t="s">
        <v>17</v>
      </c>
      <c r="E93" t="s">
        <v>23</v>
      </c>
      <c r="F93" t="s">
        <v>13</v>
      </c>
      <c r="G93" s="2">
        <v>43549</v>
      </c>
      <c r="H93" t="s">
        <v>36</v>
      </c>
      <c r="J93" t="s">
        <v>29</v>
      </c>
      <c r="M93" t="str">
        <f t="shared" si="10"/>
        <v>Alice</v>
      </c>
      <c r="N93">
        <v>50</v>
      </c>
      <c r="O93">
        <f t="shared" si="11"/>
        <v>50</v>
      </c>
      <c r="P93" t="s">
        <v>30</v>
      </c>
      <c r="Q93">
        <f t="shared" si="12"/>
        <v>60000</v>
      </c>
      <c r="R93" t="str">
        <f t="shared" si="13"/>
        <v>Female</v>
      </c>
      <c r="S93" t="str">
        <f t="shared" si="14"/>
        <v>Sales</v>
      </c>
      <c r="T93" t="str">
        <f t="shared" si="15"/>
        <v>Manager</v>
      </c>
      <c r="U93" s="2">
        <v>43549</v>
      </c>
      <c r="V93" t="s">
        <v>36</v>
      </c>
      <c r="X93" t="str">
        <f t="shared" si="16"/>
        <v>Email not provided</v>
      </c>
      <c r="Y93" t="str">
        <f t="shared" si="17"/>
        <v>Email not provided</v>
      </c>
      <c r="Z93" t="str">
        <f t="shared" si="9"/>
        <v>Phone not provided</v>
      </c>
    </row>
    <row r="94" spans="1:26" x14ac:dyDescent="0.25">
      <c r="A94" t="s">
        <v>26</v>
      </c>
      <c r="B94">
        <v>50</v>
      </c>
      <c r="C94">
        <v>55000</v>
      </c>
      <c r="D94" t="s">
        <v>11</v>
      </c>
      <c r="E94" t="s">
        <v>33</v>
      </c>
      <c r="F94" t="s">
        <v>13</v>
      </c>
      <c r="G94" s="2">
        <v>43881</v>
      </c>
      <c r="H94" t="s">
        <v>36</v>
      </c>
      <c r="I94" t="s">
        <v>15</v>
      </c>
      <c r="J94" t="s">
        <v>39</v>
      </c>
      <c r="M94" t="str">
        <f t="shared" si="10"/>
        <v>Eve</v>
      </c>
      <c r="N94">
        <v>50</v>
      </c>
      <c r="O94">
        <f t="shared" si="11"/>
        <v>50</v>
      </c>
      <c r="P94">
        <v>55000</v>
      </c>
      <c r="Q94">
        <f t="shared" si="12"/>
        <v>55000</v>
      </c>
      <c r="R94" t="str">
        <f t="shared" si="13"/>
        <v>Male</v>
      </c>
      <c r="S94" t="str">
        <f t="shared" si="14"/>
        <v>Marketing</v>
      </c>
      <c r="T94" t="str">
        <f t="shared" si="15"/>
        <v>Manager</v>
      </c>
      <c r="U94" s="2">
        <v>43881</v>
      </c>
      <c r="V94" t="s">
        <v>36</v>
      </c>
      <c r="W94" t="s">
        <v>15</v>
      </c>
      <c r="X94" t="str">
        <f t="shared" si="16"/>
        <v>Email not provided</v>
      </c>
      <c r="Y94" t="str">
        <f t="shared" si="17"/>
        <v>Email not provided</v>
      </c>
      <c r="Z94" t="str">
        <f t="shared" si="9"/>
        <v>555-555-5555</v>
      </c>
    </row>
    <row r="95" spans="1:26" x14ac:dyDescent="0.25">
      <c r="A95" t="s">
        <v>31</v>
      </c>
      <c r="B95">
        <v>40</v>
      </c>
      <c r="C95">
        <v>65000</v>
      </c>
      <c r="D95" t="s">
        <v>32</v>
      </c>
      <c r="E95" t="s">
        <v>23</v>
      </c>
      <c r="F95" t="s">
        <v>37</v>
      </c>
      <c r="G95" s="2">
        <v>43845</v>
      </c>
      <c r="H95" t="s">
        <v>28</v>
      </c>
      <c r="I95" t="s">
        <v>53</v>
      </c>
      <c r="J95" t="s">
        <v>21</v>
      </c>
      <c r="M95" t="str">
        <f t="shared" si="10"/>
        <v>Jack</v>
      </c>
      <c r="N95">
        <v>40</v>
      </c>
      <c r="O95">
        <f t="shared" si="11"/>
        <v>40</v>
      </c>
      <c r="P95">
        <v>65000</v>
      </c>
      <c r="Q95">
        <f t="shared" si="12"/>
        <v>65000</v>
      </c>
      <c r="R95" t="str">
        <f t="shared" si="13"/>
        <v>Other</v>
      </c>
      <c r="S95" t="str">
        <f t="shared" si="14"/>
        <v>Sales</v>
      </c>
      <c r="T95" t="str">
        <f t="shared" si="15"/>
        <v>Assistant</v>
      </c>
      <c r="U95" s="2">
        <v>43845</v>
      </c>
      <c r="V95" t="s">
        <v>28</v>
      </c>
      <c r="W95" t="s">
        <v>53</v>
      </c>
      <c r="X95" t="str">
        <f t="shared" si="16"/>
        <v>name@company/org</v>
      </c>
      <c r="Y95" t="str">
        <f t="shared" si="17"/>
        <v>name@company.org</v>
      </c>
      <c r="Z95" t="str">
        <f t="shared" si="9"/>
        <v>123-456-7890</v>
      </c>
    </row>
    <row r="96" spans="1:26" x14ac:dyDescent="0.25">
      <c r="A96" t="s">
        <v>10</v>
      </c>
      <c r="B96">
        <v>25</v>
      </c>
      <c r="C96">
        <v>60000</v>
      </c>
      <c r="D96" t="s">
        <v>17</v>
      </c>
      <c r="E96" t="s">
        <v>18</v>
      </c>
      <c r="F96" t="s">
        <v>35</v>
      </c>
      <c r="G96" s="2">
        <v>43800</v>
      </c>
      <c r="H96" t="s">
        <v>20</v>
      </c>
      <c r="J96" t="s">
        <v>39</v>
      </c>
      <c r="M96" t="str">
        <f t="shared" si="10"/>
        <v>Grace</v>
      </c>
      <c r="N96">
        <v>25</v>
      </c>
      <c r="O96">
        <f t="shared" si="11"/>
        <v>25</v>
      </c>
      <c r="P96">
        <v>60000</v>
      </c>
      <c r="Q96">
        <f t="shared" si="12"/>
        <v>60000</v>
      </c>
      <c r="R96" t="str">
        <f t="shared" si="13"/>
        <v>Female</v>
      </c>
      <c r="S96" t="str">
        <f t="shared" si="14"/>
        <v>Finance</v>
      </c>
      <c r="T96" t="str">
        <f t="shared" si="15"/>
        <v>Clerk</v>
      </c>
      <c r="U96" s="2">
        <v>43800</v>
      </c>
      <c r="V96" t="s">
        <v>20</v>
      </c>
      <c r="X96" t="str">
        <f t="shared" si="16"/>
        <v>Email not provided</v>
      </c>
      <c r="Y96" t="str">
        <f t="shared" si="17"/>
        <v>Email not provided</v>
      </c>
      <c r="Z96" t="str">
        <f t="shared" si="9"/>
        <v>555-555-5555</v>
      </c>
    </row>
    <row r="97" spans="1:26" x14ac:dyDescent="0.25">
      <c r="A97" t="s">
        <v>31</v>
      </c>
      <c r="B97">
        <v>40</v>
      </c>
      <c r="C97">
        <v>60000</v>
      </c>
      <c r="D97" t="s">
        <v>32</v>
      </c>
      <c r="E97" t="s">
        <v>27</v>
      </c>
      <c r="F97" t="s">
        <v>35</v>
      </c>
      <c r="G97" s="2">
        <v>43845</v>
      </c>
      <c r="H97" t="s">
        <v>20</v>
      </c>
      <c r="J97" t="s">
        <v>25</v>
      </c>
      <c r="M97" t="str">
        <f t="shared" si="10"/>
        <v>Jack</v>
      </c>
      <c r="N97">
        <v>40</v>
      </c>
      <c r="O97">
        <f t="shared" si="11"/>
        <v>40</v>
      </c>
      <c r="P97">
        <v>60000</v>
      </c>
      <c r="Q97">
        <f t="shared" si="12"/>
        <v>60000</v>
      </c>
      <c r="R97" t="str">
        <f t="shared" si="13"/>
        <v>Other</v>
      </c>
      <c r="S97" t="str">
        <f t="shared" si="14"/>
        <v>IT</v>
      </c>
      <c r="T97" t="str">
        <f t="shared" si="15"/>
        <v>Clerk</v>
      </c>
      <c r="U97" s="2">
        <v>43845</v>
      </c>
      <c r="V97" t="s">
        <v>20</v>
      </c>
      <c r="X97" t="str">
        <f t="shared" si="16"/>
        <v>Email not provided</v>
      </c>
      <c r="Y97" t="str">
        <f t="shared" si="17"/>
        <v>Email not provided</v>
      </c>
      <c r="Z97" t="str">
        <f t="shared" si="9"/>
        <v>098-765-4321</v>
      </c>
    </row>
    <row r="98" spans="1:26" x14ac:dyDescent="0.25">
      <c r="A98" t="s">
        <v>43</v>
      </c>
      <c r="B98">
        <v>40</v>
      </c>
      <c r="C98">
        <v>70000</v>
      </c>
      <c r="D98" t="s">
        <v>32</v>
      </c>
      <c r="E98" t="s">
        <v>33</v>
      </c>
      <c r="F98" t="s">
        <v>38</v>
      </c>
      <c r="G98" s="2">
        <v>43549</v>
      </c>
      <c r="H98" t="s">
        <v>36</v>
      </c>
      <c r="I98" t="s">
        <v>52</v>
      </c>
      <c r="J98" t="s">
        <v>21</v>
      </c>
      <c r="M98" t="str">
        <f t="shared" si="10"/>
        <v>Ivy</v>
      </c>
      <c r="N98">
        <v>40</v>
      </c>
      <c r="O98">
        <f t="shared" si="11"/>
        <v>40</v>
      </c>
      <c r="P98">
        <v>70000</v>
      </c>
      <c r="Q98">
        <f t="shared" si="12"/>
        <v>70000</v>
      </c>
      <c r="R98" t="str">
        <f t="shared" si="13"/>
        <v>Other</v>
      </c>
      <c r="S98" t="str">
        <f t="shared" si="14"/>
        <v>Marketing</v>
      </c>
      <c r="T98" t="str">
        <f t="shared" si="15"/>
        <v>Analyst</v>
      </c>
      <c r="U98" s="2">
        <v>43549</v>
      </c>
      <c r="V98" t="s">
        <v>36</v>
      </c>
      <c r="W98" t="s">
        <v>52</v>
      </c>
      <c r="X98" t="str">
        <f t="shared" si="16"/>
        <v>user@domain/com</v>
      </c>
      <c r="Y98" t="str">
        <f t="shared" si="17"/>
        <v>user@domain.com</v>
      </c>
      <c r="Z98" t="str">
        <f t="shared" si="9"/>
        <v>123-456-7890</v>
      </c>
    </row>
    <row r="99" spans="1:26" x14ac:dyDescent="0.25">
      <c r="A99" t="s">
        <v>10</v>
      </c>
      <c r="B99">
        <v>50</v>
      </c>
      <c r="C99">
        <v>70000</v>
      </c>
      <c r="D99" t="s">
        <v>11</v>
      </c>
      <c r="E99" t="s">
        <v>12</v>
      </c>
      <c r="F99" t="s">
        <v>13</v>
      </c>
      <c r="G99" s="2">
        <v>43800</v>
      </c>
      <c r="H99" t="s">
        <v>36</v>
      </c>
      <c r="I99" t="s">
        <v>51</v>
      </c>
      <c r="J99" t="s">
        <v>39</v>
      </c>
      <c r="M99" t="str">
        <f t="shared" si="10"/>
        <v>Grace</v>
      </c>
      <c r="N99">
        <v>50</v>
      </c>
      <c r="O99">
        <f t="shared" si="11"/>
        <v>50</v>
      </c>
      <c r="P99">
        <v>70000</v>
      </c>
      <c r="Q99">
        <f t="shared" si="12"/>
        <v>70000</v>
      </c>
      <c r="R99" t="str">
        <f t="shared" si="13"/>
        <v>Male</v>
      </c>
      <c r="S99" t="str">
        <f t="shared" si="14"/>
        <v>HR</v>
      </c>
      <c r="T99" t="str">
        <f t="shared" si="15"/>
        <v>Manager</v>
      </c>
      <c r="U99" s="2">
        <v>43800</v>
      </c>
      <c r="V99" t="s">
        <v>36</v>
      </c>
      <c r="W99" t="s">
        <v>51</v>
      </c>
      <c r="X99" t="str">
        <f t="shared" si="16"/>
        <v>email@example/com</v>
      </c>
      <c r="Y99" t="str">
        <f t="shared" si="17"/>
        <v>email@example.com</v>
      </c>
      <c r="Z99" t="str">
        <f t="shared" si="9"/>
        <v>555-555-5555</v>
      </c>
    </row>
    <row r="100" spans="1:26" x14ac:dyDescent="0.25">
      <c r="A100" t="s">
        <v>43</v>
      </c>
      <c r="B100">
        <v>35</v>
      </c>
      <c r="C100">
        <v>60000</v>
      </c>
      <c r="D100" t="s">
        <v>32</v>
      </c>
      <c r="E100" t="s">
        <v>27</v>
      </c>
      <c r="F100" t="s">
        <v>37</v>
      </c>
      <c r="G100" s="1">
        <v>43195</v>
      </c>
      <c r="H100" t="s">
        <v>36</v>
      </c>
      <c r="I100" t="s">
        <v>52</v>
      </c>
      <c r="J100" t="s">
        <v>25</v>
      </c>
      <c r="M100" t="str">
        <f t="shared" si="10"/>
        <v>Ivy</v>
      </c>
      <c r="N100">
        <v>35</v>
      </c>
      <c r="O100">
        <f t="shared" si="11"/>
        <v>35</v>
      </c>
      <c r="P100">
        <v>60000</v>
      </c>
      <c r="Q100">
        <f t="shared" si="12"/>
        <v>60000</v>
      </c>
      <c r="R100" t="str">
        <f t="shared" si="13"/>
        <v>Other</v>
      </c>
      <c r="S100" t="str">
        <f t="shared" si="14"/>
        <v>IT</v>
      </c>
      <c r="T100" t="str">
        <f t="shared" si="15"/>
        <v>Assistant</v>
      </c>
      <c r="U100" s="2">
        <v>43195</v>
      </c>
      <c r="V100" t="s">
        <v>36</v>
      </c>
      <c r="W100" t="s">
        <v>52</v>
      </c>
      <c r="X100" t="str">
        <f t="shared" si="16"/>
        <v>user@domain/com</v>
      </c>
      <c r="Y100" t="str">
        <f t="shared" si="17"/>
        <v>user@domain.com</v>
      </c>
      <c r="Z100" t="str">
        <f t="shared" si="9"/>
        <v>098-765-4321</v>
      </c>
    </row>
    <row r="101" spans="1:26" x14ac:dyDescent="0.25">
      <c r="A101" t="s">
        <v>22</v>
      </c>
      <c r="B101">
        <v>30</v>
      </c>
      <c r="C101">
        <v>70000</v>
      </c>
      <c r="D101" t="s">
        <v>11</v>
      </c>
      <c r="E101" t="s">
        <v>12</v>
      </c>
      <c r="F101" t="s">
        <v>13</v>
      </c>
      <c r="G101" s="2">
        <v>43881</v>
      </c>
      <c r="H101" t="s">
        <v>24</v>
      </c>
      <c r="I101" t="s">
        <v>51</v>
      </c>
      <c r="J101" t="s">
        <v>25</v>
      </c>
      <c r="M101" t="str">
        <f t="shared" si="10"/>
        <v>Hannah</v>
      </c>
      <c r="N101">
        <v>30</v>
      </c>
      <c r="O101">
        <f t="shared" si="11"/>
        <v>30</v>
      </c>
      <c r="P101">
        <v>70000</v>
      </c>
      <c r="Q101">
        <f t="shared" si="12"/>
        <v>70000</v>
      </c>
      <c r="R101" t="str">
        <f t="shared" si="13"/>
        <v>Male</v>
      </c>
      <c r="S101" t="str">
        <f t="shared" si="14"/>
        <v>HR</v>
      </c>
      <c r="T101" t="str">
        <f t="shared" si="15"/>
        <v>Manager</v>
      </c>
      <c r="U101" s="2">
        <v>43881</v>
      </c>
      <c r="V101" t="s">
        <v>24</v>
      </c>
      <c r="W101" t="s">
        <v>51</v>
      </c>
      <c r="X101" t="str">
        <f t="shared" si="16"/>
        <v>email@example/com</v>
      </c>
      <c r="Y101" t="str">
        <f t="shared" si="17"/>
        <v>email@example.com</v>
      </c>
      <c r="Z101" t="str">
        <f t="shared" si="9"/>
        <v>098-765-4321</v>
      </c>
    </row>
    <row r="102" spans="1:26" x14ac:dyDescent="0.25">
      <c r="A102" t="s">
        <v>41</v>
      </c>
      <c r="B102">
        <v>25</v>
      </c>
      <c r="C102">
        <v>65000</v>
      </c>
      <c r="D102" t="s">
        <v>11</v>
      </c>
      <c r="E102" t="s">
        <v>27</v>
      </c>
      <c r="F102" t="s">
        <v>19</v>
      </c>
      <c r="G102" s="2">
        <v>43549</v>
      </c>
      <c r="H102" t="s">
        <v>14</v>
      </c>
      <c r="I102" t="s">
        <v>51</v>
      </c>
      <c r="J102" t="s">
        <v>21</v>
      </c>
      <c r="M102" t="str">
        <f t="shared" si="10"/>
        <v>Bob</v>
      </c>
      <c r="N102">
        <v>25</v>
      </c>
      <c r="O102">
        <f t="shared" si="11"/>
        <v>25</v>
      </c>
      <c r="P102">
        <v>65000</v>
      </c>
      <c r="Q102">
        <f t="shared" si="12"/>
        <v>65000</v>
      </c>
      <c r="R102" t="str">
        <f t="shared" si="13"/>
        <v>Male</v>
      </c>
      <c r="S102" t="str">
        <f t="shared" si="14"/>
        <v>IT</v>
      </c>
      <c r="T102" t="str">
        <f t="shared" si="15"/>
        <v>Director</v>
      </c>
      <c r="U102" s="2">
        <v>43549</v>
      </c>
      <c r="V102" t="s">
        <v>14</v>
      </c>
      <c r="W102" t="s">
        <v>51</v>
      </c>
      <c r="X102" t="str">
        <f t="shared" si="16"/>
        <v>email@example/com</v>
      </c>
      <c r="Y102" t="str">
        <f t="shared" si="17"/>
        <v>email@example.com</v>
      </c>
      <c r="Z102" t="str">
        <f t="shared" si="9"/>
        <v>123-456-7890</v>
      </c>
    </row>
    <row r="103" spans="1:26" x14ac:dyDescent="0.25">
      <c r="A103" t="s">
        <v>42</v>
      </c>
      <c r="B103">
        <v>50</v>
      </c>
      <c r="C103">
        <v>50000</v>
      </c>
      <c r="D103" t="s">
        <v>11</v>
      </c>
      <c r="E103" t="s">
        <v>27</v>
      </c>
      <c r="F103" t="s">
        <v>13</v>
      </c>
      <c r="G103" s="2">
        <v>43549</v>
      </c>
      <c r="H103" t="s">
        <v>24</v>
      </c>
      <c r="J103" t="s">
        <v>15</v>
      </c>
      <c r="M103" t="str">
        <f t="shared" si="10"/>
        <v>Alice</v>
      </c>
      <c r="N103">
        <v>50</v>
      </c>
      <c r="O103">
        <f t="shared" si="11"/>
        <v>50</v>
      </c>
      <c r="P103">
        <v>50000</v>
      </c>
      <c r="Q103">
        <f t="shared" si="12"/>
        <v>50000</v>
      </c>
      <c r="R103" t="str">
        <f t="shared" si="13"/>
        <v>Male</v>
      </c>
      <c r="S103" t="str">
        <f t="shared" si="14"/>
        <v>IT</v>
      </c>
      <c r="T103" t="str">
        <f t="shared" si="15"/>
        <v>Manager</v>
      </c>
      <c r="U103" s="2">
        <v>43549</v>
      </c>
      <c r="V103" t="s">
        <v>24</v>
      </c>
      <c r="X103" t="str">
        <f t="shared" si="16"/>
        <v>Email not provided</v>
      </c>
      <c r="Y103" t="str">
        <f t="shared" si="17"/>
        <v>Email not provided</v>
      </c>
      <c r="Z103" t="str">
        <f t="shared" si="9"/>
        <v>Phone not provided</v>
      </c>
    </row>
    <row r="104" spans="1:26" x14ac:dyDescent="0.25">
      <c r="A104" t="s">
        <v>10</v>
      </c>
      <c r="B104">
        <v>35</v>
      </c>
      <c r="C104">
        <v>65000</v>
      </c>
      <c r="D104" t="s">
        <v>17</v>
      </c>
      <c r="E104" t="s">
        <v>23</v>
      </c>
      <c r="F104" t="s">
        <v>13</v>
      </c>
      <c r="G104" s="2">
        <v>43881</v>
      </c>
      <c r="H104" t="s">
        <v>20</v>
      </c>
      <c r="I104" t="s">
        <v>51</v>
      </c>
      <c r="J104" t="s">
        <v>29</v>
      </c>
      <c r="M104" t="str">
        <f t="shared" si="10"/>
        <v>Grace</v>
      </c>
      <c r="N104">
        <v>35</v>
      </c>
      <c r="O104">
        <f t="shared" si="11"/>
        <v>35</v>
      </c>
      <c r="P104">
        <v>65000</v>
      </c>
      <c r="Q104">
        <f t="shared" si="12"/>
        <v>65000</v>
      </c>
      <c r="R104" t="str">
        <f t="shared" si="13"/>
        <v>Female</v>
      </c>
      <c r="S104" t="str">
        <f t="shared" si="14"/>
        <v>Sales</v>
      </c>
      <c r="T104" t="str">
        <f t="shared" si="15"/>
        <v>Manager</v>
      </c>
      <c r="U104" s="2">
        <v>43881</v>
      </c>
      <c r="V104" t="s">
        <v>20</v>
      </c>
      <c r="W104" t="s">
        <v>51</v>
      </c>
      <c r="X104" t="str">
        <f t="shared" si="16"/>
        <v>email@example/com</v>
      </c>
      <c r="Y104" t="str">
        <f t="shared" si="17"/>
        <v>email@example.com</v>
      </c>
      <c r="Z104" t="str">
        <f t="shared" si="9"/>
        <v>Phone not provided</v>
      </c>
    </row>
    <row r="105" spans="1:26" x14ac:dyDescent="0.25">
      <c r="A105" t="s">
        <v>10</v>
      </c>
      <c r="B105">
        <v>30</v>
      </c>
      <c r="C105">
        <v>60000</v>
      </c>
      <c r="D105" t="s">
        <v>17</v>
      </c>
      <c r="E105" t="s">
        <v>33</v>
      </c>
      <c r="F105" t="s">
        <v>35</v>
      </c>
      <c r="G105" s="2">
        <v>43881</v>
      </c>
      <c r="H105" t="s">
        <v>28</v>
      </c>
      <c r="I105" t="s">
        <v>53</v>
      </c>
      <c r="J105" t="s">
        <v>21</v>
      </c>
      <c r="M105" t="str">
        <f t="shared" si="10"/>
        <v>Grace</v>
      </c>
      <c r="N105">
        <v>30</v>
      </c>
      <c r="O105">
        <f t="shared" si="11"/>
        <v>30</v>
      </c>
      <c r="P105">
        <v>60000</v>
      </c>
      <c r="Q105">
        <f t="shared" si="12"/>
        <v>60000</v>
      </c>
      <c r="R105" t="str">
        <f t="shared" si="13"/>
        <v>Female</v>
      </c>
      <c r="S105" t="str">
        <f t="shared" si="14"/>
        <v>Marketing</v>
      </c>
      <c r="T105" t="str">
        <f t="shared" si="15"/>
        <v>Clerk</v>
      </c>
      <c r="U105" s="2">
        <v>43881</v>
      </c>
      <c r="V105" t="s">
        <v>28</v>
      </c>
      <c r="W105" t="s">
        <v>53</v>
      </c>
      <c r="X105" t="str">
        <f t="shared" si="16"/>
        <v>name@company/org</v>
      </c>
      <c r="Y105" t="str">
        <f t="shared" si="17"/>
        <v>name@company.org</v>
      </c>
      <c r="Z105" t="str">
        <f t="shared" si="9"/>
        <v>123-456-7890</v>
      </c>
    </row>
    <row r="106" spans="1:26" x14ac:dyDescent="0.25">
      <c r="A106" t="s">
        <v>22</v>
      </c>
      <c r="B106">
        <v>30</v>
      </c>
      <c r="C106">
        <v>60000</v>
      </c>
      <c r="D106" t="s">
        <v>11</v>
      </c>
      <c r="E106" t="s">
        <v>33</v>
      </c>
      <c r="F106" t="s">
        <v>37</v>
      </c>
      <c r="G106" s="1">
        <v>43195</v>
      </c>
      <c r="H106" t="s">
        <v>14</v>
      </c>
      <c r="I106" t="s">
        <v>53</v>
      </c>
      <c r="J106" t="s">
        <v>25</v>
      </c>
      <c r="M106" t="str">
        <f t="shared" si="10"/>
        <v>Hannah</v>
      </c>
      <c r="N106">
        <v>30</v>
      </c>
      <c r="O106">
        <f t="shared" si="11"/>
        <v>30</v>
      </c>
      <c r="P106">
        <v>60000</v>
      </c>
      <c r="Q106">
        <f t="shared" si="12"/>
        <v>60000</v>
      </c>
      <c r="R106" t="str">
        <f t="shared" si="13"/>
        <v>Male</v>
      </c>
      <c r="S106" t="str">
        <f t="shared" si="14"/>
        <v>Marketing</v>
      </c>
      <c r="T106" t="str">
        <f t="shared" si="15"/>
        <v>Assistant</v>
      </c>
      <c r="U106" s="2">
        <v>43195</v>
      </c>
      <c r="V106" t="s">
        <v>14</v>
      </c>
      <c r="W106" t="s">
        <v>53</v>
      </c>
      <c r="X106" t="str">
        <f t="shared" si="16"/>
        <v>name@company/org</v>
      </c>
      <c r="Y106" t="str">
        <f t="shared" si="17"/>
        <v>name@company.org</v>
      </c>
      <c r="Z106" t="str">
        <f t="shared" si="9"/>
        <v>098-765-4321</v>
      </c>
    </row>
    <row r="107" spans="1:26" x14ac:dyDescent="0.25">
      <c r="A107" t="s">
        <v>26</v>
      </c>
      <c r="B107">
        <v>50</v>
      </c>
      <c r="C107">
        <v>65000</v>
      </c>
      <c r="D107" t="s">
        <v>32</v>
      </c>
      <c r="E107" t="s">
        <v>27</v>
      </c>
      <c r="F107" t="s">
        <v>13</v>
      </c>
      <c r="G107" s="2">
        <v>43549</v>
      </c>
      <c r="H107" t="s">
        <v>28</v>
      </c>
      <c r="I107" t="s">
        <v>53</v>
      </c>
      <c r="J107" t="s">
        <v>25</v>
      </c>
      <c r="M107" t="str">
        <f t="shared" si="10"/>
        <v>Eve</v>
      </c>
      <c r="N107">
        <v>50</v>
      </c>
      <c r="O107">
        <f t="shared" si="11"/>
        <v>50</v>
      </c>
      <c r="P107">
        <v>65000</v>
      </c>
      <c r="Q107">
        <f t="shared" si="12"/>
        <v>65000</v>
      </c>
      <c r="R107" t="str">
        <f t="shared" si="13"/>
        <v>Other</v>
      </c>
      <c r="S107" t="str">
        <f t="shared" si="14"/>
        <v>IT</v>
      </c>
      <c r="T107" t="str">
        <f t="shared" si="15"/>
        <v>Manager</v>
      </c>
      <c r="U107" s="2">
        <v>43549</v>
      </c>
      <c r="V107" t="s">
        <v>28</v>
      </c>
      <c r="W107" t="s">
        <v>53</v>
      </c>
      <c r="X107" t="str">
        <f t="shared" si="16"/>
        <v>name@company/org</v>
      </c>
      <c r="Y107" t="str">
        <f t="shared" si="17"/>
        <v>name@company.org</v>
      </c>
      <c r="Z107" t="str">
        <f t="shared" si="9"/>
        <v>098-765-4321</v>
      </c>
    </row>
    <row r="108" spans="1:26" x14ac:dyDescent="0.25">
      <c r="A108" t="s">
        <v>34</v>
      </c>
      <c r="B108" t="s">
        <v>15</v>
      </c>
      <c r="C108">
        <v>70000</v>
      </c>
      <c r="D108" t="s">
        <v>11</v>
      </c>
      <c r="E108" t="s">
        <v>18</v>
      </c>
      <c r="F108" t="s">
        <v>35</v>
      </c>
      <c r="G108" s="2">
        <v>43549</v>
      </c>
      <c r="H108" t="s">
        <v>20</v>
      </c>
      <c r="J108" t="s">
        <v>21</v>
      </c>
      <c r="M108" t="str">
        <f t="shared" si="10"/>
        <v>Charlie</v>
      </c>
      <c r="N108" t="s">
        <v>15</v>
      </c>
      <c r="O108">
        <f t="shared" si="11"/>
        <v>35</v>
      </c>
      <c r="P108">
        <v>70000</v>
      </c>
      <c r="Q108">
        <f t="shared" si="12"/>
        <v>70000</v>
      </c>
      <c r="R108" t="str">
        <f t="shared" si="13"/>
        <v>Male</v>
      </c>
      <c r="S108" t="str">
        <f t="shared" si="14"/>
        <v>Finance</v>
      </c>
      <c r="T108" t="str">
        <f t="shared" si="15"/>
        <v>Clerk</v>
      </c>
      <c r="U108" s="2">
        <v>43549</v>
      </c>
      <c r="V108" t="s">
        <v>20</v>
      </c>
      <c r="X108" t="str">
        <f t="shared" si="16"/>
        <v>Email not provided</v>
      </c>
      <c r="Y108" t="str">
        <f t="shared" si="17"/>
        <v>Email not provided</v>
      </c>
      <c r="Z108" t="str">
        <f t="shared" si="9"/>
        <v>123-456-7890</v>
      </c>
    </row>
    <row r="109" spans="1:26" x14ac:dyDescent="0.25">
      <c r="A109" t="s">
        <v>22</v>
      </c>
      <c r="B109">
        <v>25</v>
      </c>
      <c r="C109">
        <v>70000</v>
      </c>
      <c r="D109" t="s">
        <v>32</v>
      </c>
      <c r="E109" t="s">
        <v>18</v>
      </c>
      <c r="F109" t="s">
        <v>38</v>
      </c>
      <c r="G109" s="2">
        <v>43845</v>
      </c>
      <c r="H109" t="s">
        <v>20</v>
      </c>
      <c r="I109" t="s">
        <v>52</v>
      </c>
      <c r="J109" t="s">
        <v>15</v>
      </c>
      <c r="M109" t="str">
        <f t="shared" si="10"/>
        <v>Hannah</v>
      </c>
      <c r="N109">
        <v>25</v>
      </c>
      <c r="O109">
        <f t="shared" si="11"/>
        <v>25</v>
      </c>
      <c r="P109">
        <v>70000</v>
      </c>
      <c r="Q109">
        <f t="shared" si="12"/>
        <v>70000</v>
      </c>
      <c r="R109" t="str">
        <f t="shared" si="13"/>
        <v>Other</v>
      </c>
      <c r="S109" t="str">
        <f t="shared" si="14"/>
        <v>Finance</v>
      </c>
      <c r="T109" t="str">
        <f t="shared" si="15"/>
        <v>Analyst</v>
      </c>
      <c r="U109" s="2">
        <v>43845</v>
      </c>
      <c r="V109" t="s">
        <v>20</v>
      </c>
      <c r="W109" t="s">
        <v>52</v>
      </c>
      <c r="X109" t="str">
        <f t="shared" si="16"/>
        <v>user@domain/com</v>
      </c>
      <c r="Y109" t="str">
        <f t="shared" si="17"/>
        <v>user@domain.com</v>
      </c>
      <c r="Z109" t="str">
        <f t="shared" si="9"/>
        <v>Phone not provided</v>
      </c>
    </row>
    <row r="110" spans="1:26" x14ac:dyDescent="0.25">
      <c r="A110" t="s">
        <v>40</v>
      </c>
      <c r="B110">
        <v>30</v>
      </c>
      <c r="C110" t="s">
        <v>30</v>
      </c>
      <c r="D110" t="s">
        <v>11</v>
      </c>
      <c r="E110" t="s">
        <v>12</v>
      </c>
      <c r="F110" t="s">
        <v>35</v>
      </c>
      <c r="G110" s="2">
        <v>43800</v>
      </c>
      <c r="H110" t="s">
        <v>28</v>
      </c>
      <c r="I110" t="s">
        <v>15</v>
      </c>
      <c r="J110" t="s">
        <v>29</v>
      </c>
      <c r="M110" t="str">
        <f t="shared" si="10"/>
        <v>Frank</v>
      </c>
      <c r="N110">
        <v>30</v>
      </c>
      <c r="O110">
        <f t="shared" si="11"/>
        <v>30</v>
      </c>
      <c r="P110" t="s">
        <v>30</v>
      </c>
      <c r="Q110">
        <f t="shared" si="12"/>
        <v>60000</v>
      </c>
      <c r="R110" t="str">
        <f t="shared" si="13"/>
        <v>Male</v>
      </c>
      <c r="S110" t="str">
        <f t="shared" si="14"/>
        <v>HR</v>
      </c>
      <c r="T110" t="str">
        <f t="shared" si="15"/>
        <v>Clerk</v>
      </c>
      <c r="U110" s="2">
        <v>43800</v>
      </c>
      <c r="V110" t="s">
        <v>28</v>
      </c>
      <c r="W110" t="s">
        <v>15</v>
      </c>
      <c r="X110" t="str">
        <f t="shared" si="16"/>
        <v>Email not provided</v>
      </c>
      <c r="Y110" t="str">
        <f t="shared" si="17"/>
        <v>Email not provided</v>
      </c>
      <c r="Z110" t="str">
        <f t="shared" si="9"/>
        <v>Phone not provided</v>
      </c>
    </row>
    <row r="111" spans="1:26" x14ac:dyDescent="0.25">
      <c r="A111" t="s">
        <v>34</v>
      </c>
      <c r="B111">
        <v>50</v>
      </c>
      <c r="C111">
        <v>60000</v>
      </c>
      <c r="D111" t="s">
        <v>32</v>
      </c>
      <c r="E111" t="s">
        <v>12</v>
      </c>
      <c r="F111" t="s">
        <v>35</v>
      </c>
      <c r="G111" s="2">
        <v>43800</v>
      </c>
      <c r="H111" t="s">
        <v>28</v>
      </c>
      <c r="I111" t="s">
        <v>51</v>
      </c>
      <c r="J111" t="s">
        <v>39</v>
      </c>
      <c r="M111" t="str">
        <f t="shared" si="10"/>
        <v>Charlie</v>
      </c>
      <c r="N111">
        <v>50</v>
      </c>
      <c r="O111">
        <f t="shared" si="11"/>
        <v>50</v>
      </c>
      <c r="P111">
        <v>60000</v>
      </c>
      <c r="Q111">
        <f t="shared" si="12"/>
        <v>60000</v>
      </c>
      <c r="R111" t="str">
        <f t="shared" si="13"/>
        <v>Other</v>
      </c>
      <c r="S111" t="str">
        <f t="shared" si="14"/>
        <v>HR</v>
      </c>
      <c r="T111" t="str">
        <f t="shared" si="15"/>
        <v>Clerk</v>
      </c>
      <c r="U111" s="2">
        <v>43800</v>
      </c>
      <c r="V111" t="s">
        <v>28</v>
      </c>
      <c r="W111" t="s">
        <v>51</v>
      </c>
      <c r="X111" t="str">
        <f t="shared" si="16"/>
        <v>email@example/com</v>
      </c>
      <c r="Y111" t="str">
        <f t="shared" si="17"/>
        <v>email@example.com</v>
      </c>
      <c r="Z111" t="str">
        <f t="shared" si="9"/>
        <v>555-555-5555</v>
      </c>
    </row>
    <row r="112" spans="1:26" x14ac:dyDescent="0.25">
      <c r="A112" t="s">
        <v>42</v>
      </c>
      <c r="B112">
        <v>50</v>
      </c>
      <c r="C112">
        <v>55000</v>
      </c>
      <c r="D112" t="s">
        <v>17</v>
      </c>
      <c r="E112" t="s">
        <v>23</v>
      </c>
      <c r="F112" t="s">
        <v>35</v>
      </c>
      <c r="G112" s="2">
        <v>43845</v>
      </c>
      <c r="H112" t="s">
        <v>28</v>
      </c>
      <c r="I112" t="s">
        <v>15</v>
      </c>
      <c r="J112" t="s">
        <v>21</v>
      </c>
      <c r="M112" t="str">
        <f t="shared" si="10"/>
        <v>Alice</v>
      </c>
      <c r="N112">
        <v>50</v>
      </c>
      <c r="O112">
        <f t="shared" si="11"/>
        <v>50</v>
      </c>
      <c r="P112">
        <v>55000</v>
      </c>
      <c r="Q112">
        <f t="shared" si="12"/>
        <v>55000</v>
      </c>
      <c r="R112" t="str">
        <f t="shared" si="13"/>
        <v>Female</v>
      </c>
      <c r="S112" t="str">
        <f t="shared" si="14"/>
        <v>Sales</v>
      </c>
      <c r="T112" t="str">
        <f t="shared" si="15"/>
        <v>Clerk</v>
      </c>
      <c r="U112" s="2">
        <v>43845</v>
      </c>
      <c r="V112" t="s">
        <v>28</v>
      </c>
      <c r="W112" t="s">
        <v>15</v>
      </c>
      <c r="X112" t="str">
        <f t="shared" si="16"/>
        <v>Email not provided</v>
      </c>
      <c r="Y112" t="str">
        <f t="shared" si="17"/>
        <v>Email not provided</v>
      </c>
      <c r="Z112" t="str">
        <f t="shared" si="9"/>
        <v>123-456-7890</v>
      </c>
    </row>
    <row r="113" spans="1:26" x14ac:dyDescent="0.25">
      <c r="A113" t="s">
        <v>34</v>
      </c>
      <c r="B113">
        <v>35</v>
      </c>
      <c r="C113" t="s">
        <v>30</v>
      </c>
      <c r="D113" t="s">
        <v>32</v>
      </c>
      <c r="E113" t="s">
        <v>27</v>
      </c>
      <c r="F113" t="s">
        <v>13</v>
      </c>
      <c r="G113" s="2">
        <v>43800</v>
      </c>
      <c r="H113" t="s">
        <v>20</v>
      </c>
      <c r="I113" t="s">
        <v>52</v>
      </c>
      <c r="J113" t="s">
        <v>29</v>
      </c>
      <c r="M113" t="str">
        <f t="shared" si="10"/>
        <v>Charlie</v>
      </c>
      <c r="N113">
        <v>35</v>
      </c>
      <c r="O113">
        <f t="shared" si="11"/>
        <v>35</v>
      </c>
      <c r="P113" t="s">
        <v>30</v>
      </c>
      <c r="Q113">
        <f t="shared" si="12"/>
        <v>60000</v>
      </c>
      <c r="R113" t="str">
        <f t="shared" si="13"/>
        <v>Other</v>
      </c>
      <c r="S113" t="str">
        <f t="shared" si="14"/>
        <v>IT</v>
      </c>
      <c r="T113" t="str">
        <f t="shared" si="15"/>
        <v>Manager</v>
      </c>
      <c r="U113" s="2">
        <v>43800</v>
      </c>
      <c r="V113" t="s">
        <v>20</v>
      </c>
      <c r="W113" t="s">
        <v>52</v>
      </c>
      <c r="X113" t="str">
        <f t="shared" si="16"/>
        <v>user@domain/com</v>
      </c>
      <c r="Y113" t="str">
        <f t="shared" si="17"/>
        <v>user@domain.com</v>
      </c>
      <c r="Z113" t="str">
        <f t="shared" si="9"/>
        <v>Phone not provided</v>
      </c>
    </row>
    <row r="114" spans="1:26" x14ac:dyDescent="0.25">
      <c r="A114" t="s">
        <v>26</v>
      </c>
      <c r="B114" t="s">
        <v>15</v>
      </c>
      <c r="C114">
        <v>70000</v>
      </c>
      <c r="D114" t="s">
        <v>11</v>
      </c>
      <c r="E114" t="s">
        <v>12</v>
      </c>
      <c r="F114" t="s">
        <v>13</v>
      </c>
      <c r="G114" s="2">
        <v>43881</v>
      </c>
      <c r="H114" t="s">
        <v>36</v>
      </c>
      <c r="I114" t="s">
        <v>52</v>
      </c>
      <c r="J114" t="s">
        <v>29</v>
      </c>
      <c r="M114" t="str">
        <f t="shared" si="10"/>
        <v>Eve</v>
      </c>
      <c r="N114" t="s">
        <v>15</v>
      </c>
      <c r="O114">
        <f t="shared" si="11"/>
        <v>35</v>
      </c>
      <c r="P114">
        <v>70000</v>
      </c>
      <c r="Q114">
        <f t="shared" si="12"/>
        <v>70000</v>
      </c>
      <c r="R114" t="str">
        <f t="shared" si="13"/>
        <v>Male</v>
      </c>
      <c r="S114" t="str">
        <f t="shared" si="14"/>
        <v>HR</v>
      </c>
      <c r="T114" t="str">
        <f t="shared" si="15"/>
        <v>Manager</v>
      </c>
      <c r="U114" s="2">
        <v>43881</v>
      </c>
      <c r="V114" t="s">
        <v>36</v>
      </c>
      <c r="W114" t="s">
        <v>52</v>
      </c>
      <c r="X114" t="str">
        <f t="shared" si="16"/>
        <v>user@domain/com</v>
      </c>
      <c r="Y114" t="str">
        <f t="shared" si="17"/>
        <v>user@domain.com</v>
      </c>
      <c r="Z114" t="str">
        <f t="shared" si="9"/>
        <v>Phone not provided</v>
      </c>
    </row>
    <row r="115" spans="1:26" x14ac:dyDescent="0.25">
      <c r="A115" t="s">
        <v>34</v>
      </c>
      <c r="B115">
        <v>25</v>
      </c>
      <c r="C115">
        <v>65000</v>
      </c>
      <c r="D115" t="s">
        <v>17</v>
      </c>
      <c r="E115" t="s">
        <v>12</v>
      </c>
      <c r="F115" t="s">
        <v>38</v>
      </c>
      <c r="G115" s="2">
        <v>43800</v>
      </c>
      <c r="H115" t="s">
        <v>28</v>
      </c>
      <c r="J115" t="s">
        <v>25</v>
      </c>
      <c r="M115" t="str">
        <f t="shared" si="10"/>
        <v>Charlie</v>
      </c>
      <c r="N115">
        <v>25</v>
      </c>
      <c r="O115">
        <f t="shared" si="11"/>
        <v>25</v>
      </c>
      <c r="P115">
        <v>65000</v>
      </c>
      <c r="Q115">
        <f t="shared" si="12"/>
        <v>65000</v>
      </c>
      <c r="R115" t="str">
        <f t="shared" si="13"/>
        <v>Female</v>
      </c>
      <c r="S115" t="str">
        <f t="shared" si="14"/>
        <v>HR</v>
      </c>
      <c r="T115" t="str">
        <f t="shared" si="15"/>
        <v>Analyst</v>
      </c>
      <c r="U115" s="2">
        <v>43800</v>
      </c>
      <c r="V115" t="s">
        <v>28</v>
      </c>
      <c r="X115" t="str">
        <f t="shared" si="16"/>
        <v>Email not provided</v>
      </c>
      <c r="Y115" t="str">
        <f t="shared" si="17"/>
        <v>Email not provided</v>
      </c>
      <c r="Z115" t="str">
        <f t="shared" si="9"/>
        <v>098-765-4321</v>
      </c>
    </row>
    <row r="116" spans="1:26" x14ac:dyDescent="0.25">
      <c r="A116" t="s">
        <v>42</v>
      </c>
      <c r="B116">
        <v>40</v>
      </c>
      <c r="C116">
        <v>70000</v>
      </c>
      <c r="D116" t="s">
        <v>32</v>
      </c>
      <c r="E116" t="s">
        <v>27</v>
      </c>
      <c r="F116" t="s">
        <v>19</v>
      </c>
      <c r="G116" s="2">
        <v>43800</v>
      </c>
      <c r="H116" t="s">
        <v>14</v>
      </c>
      <c r="I116" t="s">
        <v>53</v>
      </c>
      <c r="J116" t="s">
        <v>39</v>
      </c>
      <c r="M116" t="str">
        <f t="shared" si="10"/>
        <v>Alice</v>
      </c>
      <c r="N116">
        <v>40</v>
      </c>
      <c r="O116">
        <f t="shared" si="11"/>
        <v>40</v>
      </c>
      <c r="P116">
        <v>70000</v>
      </c>
      <c r="Q116">
        <f t="shared" si="12"/>
        <v>70000</v>
      </c>
      <c r="R116" t="str">
        <f t="shared" si="13"/>
        <v>Other</v>
      </c>
      <c r="S116" t="str">
        <f t="shared" si="14"/>
        <v>IT</v>
      </c>
      <c r="T116" t="str">
        <f t="shared" si="15"/>
        <v>Director</v>
      </c>
      <c r="U116" s="2">
        <v>43800</v>
      </c>
      <c r="V116" t="s">
        <v>14</v>
      </c>
      <c r="W116" t="s">
        <v>53</v>
      </c>
      <c r="X116" t="str">
        <f t="shared" si="16"/>
        <v>name@company/org</v>
      </c>
      <c r="Y116" t="str">
        <f t="shared" si="17"/>
        <v>name@company.org</v>
      </c>
      <c r="Z116" t="str">
        <f t="shared" si="9"/>
        <v>555-555-5555</v>
      </c>
    </row>
    <row r="117" spans="1:26" x14ac:dyDescent="0.25">
      <c r="A117" t="s">
        <v>26</v>
      </c>
      <c r="B117">
        <v>35</v>
      </c>
      <c r="C117">
        <v>65000</v>
      </c>
      <c r="D117" t="s">
        <v>32</v>
      </c>
      <c r="E117" t="s">
        <v>23</v>
      </c>
      <c r="F117" t="s">
        <v>19</v>
      </c>
      <c r="G117" s="2">
        <v>43845</v>
      </c>
      <c r="H117" t="s">
        <v>20</v>
      </c>
      <c r="I117" t="s">
        <v>53</v>
      </c>
      <c r="J117" t="s">
        <v>21</v>
      </c>
      <c r="M117" t="str">
        <f t="shared" si="10"/>
        <v>Eve</v>
      </c>
      <c r="N117">
        <v>35</v>
      </c>
      <c r="O117">
        <f t="shared" si="11"/>
        <v>35</v>
      </c>
      <c r="P117">
        <v>65000</v>
      </c>
      <c r="Q117">
        <f t="shared" si="12"/>
        <v>65000</v>
      </c>
      <c r="R117" t="str">
        <f t="shared" si="13"/>
        <v>Other</v>
      </c>
      <c r="S117" t="str">
        <f t="shared" si="14"/>
        <v>Sales</v>
      </c>
      <c r="T117" t="str">
        <f t="shared" si="15"/>
        <v>Director</v>
      </c>
      <c r="U117" s="2">
        <v>43845</v>
      </c>
      <c r="V117" t="s">
        <v>20</v>
      </c>
      <c r="W117" t="s">
        <v>53</v>
      </c>
      <c r="X117" t="str">
        <f t="shared" si="16"/>
        <v>name@company/org</v>
      </c>
      <c r="Y117" t="str">
        <f t="shared" si="17"/>
        <v>name@company.org</v>
      </c>
      <c r="Z117" t="str">
        <f t="shared" si="9"/>
        <v>123-456-7890</v>
      </c>
    </row>
    <row r="118" spans="1:26" x14ac:dyDescent="0.25">
      <c r="A118" t="s">
        <v>31</v>
      </c>
      <c r="B118">
        <v>30</v>
      </c>
      <c r="C118" t="s">
        <v>30</v>
      </c>
      <c r="D118" t="s">
        <v>32</v>
      </c>
      <c r="E118" t="s">
        <v>12</v>
      </c>
      <c r="F118" t="s">
        <v>19</v>
      </c>
      <c r="G118" s="1">
        <v>43195</v>
      </c>
      <c r="H118" t="s">
        <v>24</v>
      </c>
      <c r="I118" t="s">
        <v>52</v>
      </c>
      <c r="J118" t="s">
        <v>25</v>
      </c>
      <c r="M118" t="str">
        <f t="shared" si="10"/>
        <v>Jack</v>
      </c>
      <c r="N118">
        <v>30</v>
      </c>
      <c r="O118">
        <f t="shared" si="11"/>
        <v>30</v>
      </c>
      <c r="P118" t="s">
        <v>30</v>
      </c>
      <c r="Q118">
        <f t="shared" si="12"/>
        <v>60000</v>
      </c>
      <c r="R118" t="str">
        <f t="shared" si="13"/>
        <v>Other</v>
      </c>
      <c r="S118" t="str">
        <f t="shared" si="14"/>
        <v>HR</v>
      </c>
      <c r="T118" t="str">
        <f t="shared" si="15"/>
        <v>Director</v>
      </c>
      <c r="U118" s="2">
        <v>43195</v>
      </c>
      <c r="V118" t="s">
        <v>24</v>
      </c>
      <c r="W118" t="s">
        <v>52</v>
      </c>
      <c r="X118" t="str">
        <f t="shared" si="16"/>
        <v>user@domain/com</v>
      </c>
      <c r="Y118" t="str">
        <f t="shared" si="17"/>
        <v>user@domain.com</v>
      </c>
      <c r="Z118" t="str">
        <f t="shared" si="9"/>
        <v>098-765-4321</v>
      </c>
    </row>
    <row r="119" spans="1:26" x14ac:dyDescent="0.25">
      <c r="A119" t="s">
        <v>10</v>
      </c>
      <c r="B119">
        <v>30</v>
      </c>
      <c r="C119">
        <v>60000</v>
      </c>
      <c r="D119" t="s">
        <v>32</v>
      </c>
      <c r="E119" t="s">
        <v>23</v>
      </c>
      <c r="F119" t="s">
        <v>38</v>
      </c>
      <c r="G119" s="2">
        <v>43800</v>
      </c>
      <c r="H119" t="s">
        <v>24</v>
      </c>
      <c r="J119" t="s">
        <v>25</v>
      </c>
      <c r="M119" t="str">
        <f t="shared" si="10"/>
        <v>Grace</v>
      </c>
      <c r="N119">
        <v>30</v>
      </c>
      <c r="O119">
        <f t="shared" si="11"/>
        <v>30</v>
      </c>
      <c r="P119">
        <v>60000</v>
      </c>
      <c r="Q119">
        <f t="shared" si="12"/>
        <v>60000</v>
      </c>
      <c r="R119" t="str">
        <f t="shared" si="13"/>
        <v>Other</v>
      </c>
      <c r="S119" t="str">
        <f t="shared" si="14"/>
        <v>Sales</v>
      </c>
      <c r="T119" t="str">
        <f t="shared" si="15"/>
        <v>Analyst</v>
      </c>
      <c r="U119" s="2">
        <v>43800</v>
      </c>
      <c r="V119" t="s">
        <v>24</v>
      </c>
      <c r="X119" t="str">
        <f t="shared" si="16"/>
        <v>Email not provided</v>
      </c>
      <c r="Y119" t="str">
        <f t="shared" si="17"/>
        <v>Email not provided</v>
      </c>
      <c r="Z119" t="str">
        <f t="shared" si="9"/>
        <v>098-765-4321</v>
      </c>
    </row>
    <row r="120" spans="1:26" x14ac:dyDescent="0.25">
      <c r="A120" t="s">
        <v>10</v>
      </c>
      <c r="B120">
        <v>35</v>
      </c>
      <c r="C120">
        <v>70000</v>
      </c>
      <c r="D120" t="s">
        <v>32</v>
      </c>
      <c r="E120" t="s">
        <v>33</v>
      </c>
      <c r="F120" t="s">
        <v>19</v>
      </c>
      <c r="G120" s="2">
        <v>43800</v>
      </c>
      <c r="H120" t="s">
        <v>14</v>
      </c>
      <c r="J120" t="s">
        <v>15</v>
      </c>
      <c r="M120" t="str">
        <f t="shared" si="10"/>
        <v>Grace</v>
      </c>
      <c r="N120">
        <v>35</v>
      </c>
      <c r="O120">
        <f t="shared" si="11"/>
        <v>35</v>
      </c>
      <c r="P120">
        <v>70000</v>
      </c>
      <c r="Q120">
        <f t="shared" si="12"/>
        <v>70000</v>
      </c>
      <c r="R120" t="str">
        <f t="shared" si="13"/>
        <v>Other</v>
      </c>
      <c r="S120" t="str">
        <f t="shared" si="14"/>
        <v>Marketing</v>
      </c>
      <c r="T120" t="str">
        <f t="shared" si="15"/>
        <v>Director</v>
      </c>
      <c r="U120" s="2">
        <v>43800</v>
      </c>
      <c r="V120" t="s">
        <v>14</v>
      </c>
      <c r="X120" t="str">
        <f t="shared" si="16"/>
        <v>Email not provided</v>
      </c>
      <c r="Y120" t="str">
        <f t="shared" si="17"/>
        <v>Email not provided</v>
      </c>
      <c r="Z120" t="str">
        <f t="shared" si="9"/>
        <v>Phone not provided</v>
      </c>
    </row>
    <row r="121" spans="1:26" x14ac:dyDescent="0.25">
      <c r="A121" t="s">
        <v>43</v>
      </c>
      <c r="B121">
        <v>50</v>
      </c>
      <c r="C121">
        <v>65000</v>
      </c>
      <c r="D121" t="s">
        <v>17</v>
      </c>
      <c r="E121" t="s">
        <v>23</v>
      </c>
      <c r="F121" t="s">
        <v>19</v>
      </c>
      <c r="G121" s="1">
        <v>43195</v>
      </c>
      <c r="H121" t="s">
        <v>36</v>
      </c>
      <c r="I121" t="s">
        <v>51</v>
      </c>
      <c r="J121" t="s">
        <v>29</v>
      </c>
      <c r="M121" t="str">
        <f t="shared" si="10"/>
        <v>Ivy</v>
      </c>
      <c r="N121">
        <v>50</v>
      </c>
      <c r="O121">
        <f t="shared" si="11"/>
        <v>50</v>
      </c>
      <c r="P121">
        <v>65000</v>
      </c>
      <c r="Q121">
        <f t="shared" si="12"/>
        <v>65000</v>
      </c>
      <c r="R121" t="str">
        <f t="shared" si="13"/>
        <v>Female</v>
      </c>
      <c r="S121" t="str">
        <f t="shared" si="14"/>
        <v>Sales</v>
      </c>
      <c r="T121" t="str">
        <f t="shared" si="15"/>
        <v>Director</v>
      </c>
      <c r="U121" s="2">
        <v>43195</v>
      </c>
      <c r="V121" t="s">
        <v>36</v>
      </c>
      <c r="W121" t="s">
        <v>51</v>
      </c>
      <c r="X121" t="str">
        <f t="shared" si="16"/>
        <v>email@example/com</v>
      </c>
      <c r="Y121" t="str">
        <f t="shared" si="17"/>
        <v>email@example.com</v>
      </c>
      <c r="Z121" t="str">
        <f t="shared" si="9"/>
        <v>Phone not provided</v>
      </c>
    </row>
    <row r="122" spans="1:26" x14ac:dyDescent="0.25">
      <c r="A122" t="s">
        <v>31</v>
      </c>
      <c r="B122">
        <v>30</v>
      </c>
      <c r="C122">
        <v>60000</v>
      </c>
      <c r="D122" t="s">
        <v>17</v>
      </c>
      <c r="E122" t="s">
        <v>18</v>
      </c>
      <c r="F122" t="s">
        <v>35</v>
      </c>
      <c r="G122" s="2">
        <v>43845</v>
      </c>
      <c r="H122" t="s">
        <v>28</v>
      </c>
      <c r="I122" t="s">
        <v>53</v>
      </c>
      <c r="J122" t="s">
        <v>21</v>
      </c>
      <c r="M122" t="str">
        <f t="shared" si="10"/>
        <v>Jack</v>
      </c>
      <c r="N122">
        <v>30</v>
      </c>
      <c r="O122">
        <f t="shared" si="11"/>
        <v>30</v>
      </c>
      <c r="P122">
        <v>60000</v>
      </c>
      <c r="Q122">
        <f t="shared" si="12"/>
        <v>60000</v>
      </c>
      <c r="R122" t="str">
        <f t="shared" si="13"/>
        <v>Female</v>
      </c>
      <c r="S122" t="str">
        <f t="shared" si="14"/>
        <v>Finance</v>
      </c>
      <c r="T122" t="str">
        <f t="shared" si="15"/>
        <v>Clerk</v>
      </c>
      <c r="U122" s="2">
        <v>43845</v>
      </c>
      <c r="V122" t="s">
        <v>28</v>
      </c>
      <c r="W122" t="s">
        <v>53</v>
      </c>
      <c r="X122" t="str">
        <f t="shared" si="16"/>
        <v>name@company/org</v>
      </c>
      <c r="Y122" t="str">
        <f t="shared" si="17"/>
        <v>name@company.org</v>
      </c>
      <c r="Z122" t="str">
        <f t="shared" si="9"/>
        <v>123-456-7890</v>
      </c>
    </row>
    <row r="123" spans="1:26" x14ac:dyDescent="0.25">
      <c r="A123" t="s">
        <v>31</v>
      </c>
      <c r="B123" t="s">
        <v>15</v>
      </c>
      <c r="C123">
        <v>55000</v>
      </c>
      <c r="D123" t="s">
        <v>17</v>
      </c>
      <c r="E123" t="s">
        <v>18</v>
      </c>
      <c r="F123" t="s">
        <v>13</v>
      </c>
      <c r="G123" s="1">
        <v>43195</v>
      </c>
      <c r="H123" t="s">
        <v>20</v>
      </c>
      <c r="I123" t="s">
        <v>52</v>
      </c>
      <c r="J123" t="s">
        <v>21</v>
      </c>
      <c r="M123" t="str">
        <f t="shared" si="10"/>
        <v>Jack</v>
      </c>
      <c r="N123" t="s">
        <v>15</v>
      </c>
      <c r="O123">
        <f t="shared" si="11"/>
        <v>35</v>
      </c>
      <c r="P123">
        <v>55000</v>
      </c>
      <c r="Q123">
        <f t="shared" si="12"/>
        <v>55000</v>
      </c>
      <c r="R123" t="str">
        <f t="shared" si="13"/>
        <v>Female</v>
      </c>
      <c r="S123" t="str">
        <f t="shared" si="14"/>
        <v>Finance</v>
      </c>
      <c r="T123" t="str">
        <f t="shared" si="15"/>
        <v>Manager</v>
      </c>
      <c r="U123" s="2">
        <v>43195</v>
      </c>
      <c r="V123" t="s">
        <v>20</v>
      </c>
      <c r="W123" t="s">
        <v>52</v>
      </c>
      <c r="X123" t="str">
        <f t="shared" si="16"/>
        <v>user@domain/com</v>
      </c>
      <c r="Y123" t="str">
        <f t="shared" si="17"/>
        <v>user@domain.com</v>
      </c>
      <c r="Z123" t="str">
        <f t="shared" si="9"/>
        <v>123-456-7890</v>
      </c>
    </row>
    <row r="124" spans="1:26" x14ac:dyDescent="0.25">
      <c r="A124" t="s">
        <v>34</v>
      </c>
      <c r="B124">
        <v>25</v>
      </c>
      <c r="C124">
        <v>65000</v>
      </c>
      <c r="D124" t="s">
        <v>17</v>
      </c>
      <c r="E124" t="s">
        <v>23</v>
      </c>
      <c r="F124" t="s">
        <v>13</v>
      </c>
      <c r="G124" s="2">
        <v>43845</v>
      </c>
      <c r="H124" t="s">
        <v>28</v>
      </c>
      <c r="I124" t="s">
        <v>15</v>
      </c>
      <c r="J124" t="s">
        <v>21</v>
      </c>
      <c r="M124" t="str">
        <f t="shared" si="10"/>
        <v>Charlie</v>
      </c>
      <c r="N124">
        <v>25</v>
      </c>
      <c r="O124">
        <f t="shared" si="11"/>
        <v>25</v>
      </c>
      <c r="P124">
        <v>65000</v>
      </c>
      <c r="Q124">
        <f t="shared" si="12"/>
        <v>65000</v>
      </c>
      <c r="R124" t="str">
        <f t="shared" si="13"/>
        <v>Female</v>
      </c>
      <c r="S124" t="str">
        <f t="shared" si="14"/>
        <v>Sales</v>
      </c>
      <c r="T124" t="str">
        <f t="shared" si="15"/>
        <v>Manager</v>
      </c>
      <c r="U124" s="2">
        <v>43845</v>
      </c>
      <c r="V124" t="s">
        <v>28</v>
      </c>
      <c r="W124" t="s">
        <v>15</v>
      </c>
      <c r="X124" t="str">
        <f t="shared" si="16"/>
        <v>Email not provided</v>
      </c>
      <c r="Y124" t="str">
        <f t="shared" si="17"/>
        <v>Email not provided</v>
      </c>
      <c r="Z124" t="str">
        <f t="shared" si="9"/>
        <v>123-456-7890</v>
      </c>
    </row>
    <row r="125" spans="1:26" x14ac:dyDescent="0.25">
      <c r="A125" t="s">
        <v>10</v>
      </c>
      <c r="B125" t="s">
        <v>15</v>
      </c>
      <c r="C125" t="s">
        <v>30</v>
      </c>
      <c r="D125" t="s">
        <v>11</v>
      </c>
      <c r="E125" t="s">
        <v>18</v>
      </c>
      <c r="F125" t="s">
        <v>35</v>
      </c>
      <c r="G125" s="2">
        <v>43881</v>
      </c>
      <c r="H125" t="s">
        <v>20</v>
      </c>
      <c r="I125" t="s">
        <v>53</v>
      </c>
      <c r="J125" t="s">
        <v>25</v>
      </c>
      <c r="M125" t="str">
        <f t="shared" si="10"/>
        <v>Grace</v>
      </c>
      <c r="N125" t="s">
        <v>15</v>
      </c>
      <c r="O125">
        <f t="shared" si="11"/>
        <v>35</v>
      </c>
      <c r="P125" t="s">
        <v>30</v>
      </c>
      <c r="Q125">
        <f t="shared" si="12"/>
        <v>60000</v>
      </c>
      <c r="R125" t="str">
        <f t="shared" si="13"/>
        <v>Male</v>
      </c>
      <c r="S125" t="str">
        <f t="shared" si="14"/>
        <v>Finance</v>
      </c>
      <c r="T125" t="str">
        <f t="shared" si="15"/>
        <v>Clerk</v>
      </c>
      <c r="U125" s="2">
        <v>43881</v>
      </c>
      <c r="V125" t="s">
        <v>20</v>
      </c>
      <c r="W125" t="s">
        <v>53</v>
      </c>
      <c r="X125" t="str">
        <f t="shared" si="16"/>
        <v>name@company/org</v>
      </c>
      <c r="Y125" t="str">
        <f t="shared" si="17"/>
        <v>name@company.org</v>
      </c>
      <c r="Z125" t="str">
        <f t="shared" si="9"/>
        <v>098-765-4321</v>
      </c>
    </row>
    <row r="126" spans="1:26" x14ac:dyDescent="0.25">
      <c r="A126" t="s">
        <v>42</v>
      </c>
      <c r="B126">
        <v>30</v>
      </c>
      <c r="C126">
        <v>55000</v>
      </c>
      <c r="D126" t="s">
        <v>17</v>
      </c>
      <c r="E126" t="s">
        <v>33</v>
      </c>
      <c r="F126" t="s">
        <v>35</v>
      </c>
      <c r="G126" s="2">
        <v>43845</v>
      </c>
      <c r="H126" t="s">
        <v>24</v>
      </c>
      <c r="I126" t="s">
        <v>51</v>
      </c>
      <c r="J126" t="s">
        <v>15</v>
      </c>
      <c r="M126" t="str">
        <f t="shared" si="10"/>
        <v>Alice</v>
      </c>
      <c r="N126">
        <v>30</v>
      </c>
      <c r="O126">
        <f t="shared" si="11"/>
        <v>30</v>
      </c>
      <c r="P126">
        <v>55000</v>
      </c>
      <c r="Q126">
        <f t="shared" si="12"/>
        <v>55000</v>
      </c>
      <c r="R126" t="str">
        <f t="shared" si="13"/>
        <v>Female</v>
      </c>
      <c r="S126" t="str">
        <f t="shared" si="14"/>
        <v>Marketing</v>
      </c>
      <c r="T126" t="str">
        <f t="shared" si="15"/>
        <v>Clerk</v>
      </c>
      <c r="U126" s="2">
        <v>43845</v>
      </c>
      <c r="V126" t="s">
        <v>24</v>
      </c>
      <c r="W126" t="s">
        <v>51</v>
      </c>
      <c r="X126" t="str">
        <f t="shared" si="16"/>
        <v>email@example/com</v>
      </c>
      <c r="Y126" t="str">
        <f t="shared" si="17"/>
        <v>email@example.com</v>
      </c>
      <c r="Z126" t="str">
        <f t="shared" si="9"/>
        <v>Phone not provided</v>
      </c>
    </row>
    <row r="127" spans="1:26" x14ac:dyDescent="0.25">
      <c r="A127" t="s">
        <v>16</v>
      </c>
      <c r="B127">
        <v>40</v>
      </c>
      <c r="C127">
        <v>55000</v>
      </c>
      <c r="D127" t="s">
        <v>32</v>
      </c>
      <c r="E127" t="s">
        <v>27</v>
      </c>
      <c r="F127" t="s">
        <v>35</v>
      </c>
      <c r="G127" s="2">
        <v>43881</v>
      </c>
      <c r="H127" t="s">
        <v>28</v>
      </c>
      <c r="J127" t="s">
        <v>39</v>
      </c>
      <c r="M127" t="str">
        <f t="shared" si="10"/>
        <v>David</v>
      </c>
      <c r="N127">
        <v>40</v>
      </c>
      <c r="O127">
        <f t="shared" si="11"/>
        <v>40</v>
      </c>
      <c r="P127">
        <v>55000</v>
      </c>
      <c r="Q127">
        <f t="shared" si="12"/>
        <v>55000</v>
      </c>
      <c r="R127" t="str">
        <f t="shared" si="13"/>
        <v>Other</v>
      </c>
      <c r="S127" t="str">
        <f t="shared" si="14"/>
        <v>IT</v>
      </c>
      <c r="T127" t="str">
        <f t="shared" si="15"/>
        <v>Clerk</v>
      </c>
      <c r="U127" s="2">
        <v>43881</v>
      </c>
      <c r="V127" t="s">
        <v>28</v>
      </c>
      <c r="X127" t="str">
        <f t="shared" si="16"/>
        <v>Email not provided</v>
      </c>
      <c r="Y127" t="str">
        <f t="shared" si="17"/>
        <v>Email not provided</v>
      </c>
      <c r="Z127" t="str">
        <f t="shared" si="9"/>
        <v>555-555-5555</v>
      </c>
    </row>
    <row r="128" spans="1:26" x14ac:dyDescent="0.25">
      <c r="A128" t="s">
        <v>16</v>
      </c>
      <c r="B128">
        <v>25</v>
      </c>
      <c r="C128">
        <v>50000</v>
      </c>
      <c r="D128" t="s">
        <v>32</v>
      </c>
      <c r="E128" t="s">
        <v>18</v>
      </c>
      <c r="F128" t="s">
        <v>13</v>
      </c>
      <c r="G128" s="2">
        <v>43881</v>
      </c>
      <c r="H128" t="s">
        <v>14</v>
      </c>
      <c r="I128" t="s">
        <v>52</v>
      </c>
      <c r="J128" t="s">
        <v>25</v>
      </c>
      <c r="M128" t="str">
        <f t="shared" si="10"/>
        <v>David</v>
      </c>
      <c r="N128">
        <v>25</v>
      </c>
      <c r="O128">
        <f t="shared" si="11"/>
        <v>25</v>
      </c>
      <c r="P128">
        <v>50000</v>
      </c>
      <c r="Q128">
        <f t="shared" si="12"/>
        <v>50000</v>
      </c>
      <c r="R128" t="str">
        <f t="shared" si="13"/>
        <v>Other</v>
      </c>
      <c r="S128" t="str">
        <f t="shared" si="14"/>
        <v>Finance</v>
      </c>
      <c r="T128" t="str">
        <f t="shared" si="15"/>
        <v>Manager</v>
      </c>
      <c r="U128" s="2">
        <v>43881</v>
      </c>
      <c r="V128" t="s">
        <v>14</v>
      </c>
      <c r="W128" t="s">
        <v>52</v>
      </c>
      <c r="X128" t="str">
        <f t="shared" si="16"/>
        <v>user@domain/com</v>
      </c>
      <c r="Y128" t="str">
        <f t="shared" si="17"/>
        <v>user@domain.com</v>
      </c>
      <c r="Z128" t="str">
        <f t="shared" si="9"/>
        <v>098-765-4321</v>
      </c>
    </row>
    <row r="129" spans="1:26" x14ac:dyDescent="0.25">
      <c r="A129" t="s">
        <v>26</v>
      </c>
      <c r="B129">
        <v>25</v>
      </c>
      <c r="C129">
        <v>70000</v>
      </c>
      <c r="D129" t="s">
        <v>17</v>
      </c>
      <c r="E129" t="s">
        <v>18</v>
      </c>
      <c r="F129" t="s">
        <v>19</v>
      </c>
      <c r="G129" s="2">
        <v>43845</v>
      </c>
      <c r="H129" t="s">
        <v>36</v>
      </c>
      <c r="I129" t="s">
        <v>53</v>
      </c>
      <c r="J129" t="s">
        <v>39</v>
      </c>
      <c r="M129" t="str">
        <f t="shared" si="10"/>
        <v>Eve</v>
      </c>
      <c r="N129">
        <v>25</v>
      </c>
      <c r="O129">
        <f t="shared" si="11"/>
        <v>25</v>
      </c>
      <c r="P129">
        <v>70000</v>
      </c>
      <c r="Q129">
        <f t="shared" si="12"/>
        <v>70000</v>
      </c>
      <c r="R129" t="str">
        <f t="shared" si="13"/>
        <v>Female</v>
      </c>
      <c r="S129" t="str">
        <f t="shared" si="14"/>
        <v>Finance</v>
      </c>
      <c r="T129" t="str">
        <f t="shared" si="15"/>
        <v>Director</v>
      </c>
      <c r="U129" s="2">
        <v>43845</v>
      </c>
      <c r="V129" t="s">
        <v>36</v>
      </c>
      <c r="W129" t="s">
        <v>53</v>
      </c>
      <c r="X129" t="str">
        <f t="shared" si="16"/>
        <v>name@company/org</v>
      </c>
      <c r="Y129" t="str">
        <f t="shared" si="17"/>
        <v>name@company.org</v>
      </c>
      <c r="Z129" t="str">
        <f t="shared" si="9"/>
        <v>555-555-5555</v>
      </c>
    </row>
    <row r="130" spans="1:26" x14ac:dyDescent="0.25">
      <c r="A130" t="s">
        <v>10</v>
      </c>
      <c r="B130">
        <v>35</v>
      </c>
      <c r="C130">
        <v>65000</v>
      </c>
      <c r="D130" t="s">
        <v>32</v>
      </c>
      <c r="E130" t="s">
        <v>23</v>
      </c>
      <c r="F130" t="s">
        <v>35</v>
      </c>
      <c r="G130" s="2">
        <v>43549</v>
      </c>
      <c r="H130" t="s">
        <v>14</v>
      </c>
      <c r="I130" t="s">
        <v>15</v>
      </c>
      <c r="J130" t="s">
        <v>15</v>
      </c>
      <c r="M130" t="str">
        <f t="shared" si="10"/>
        <v>Grace</v>
      </c>
      <c r="N130">
        <v>35</v>
      </c>
      <c r="O130">
        <f t="shared" si="11"/>
        <v>35</v>
      </c>
      <c r="P130">
        <v>65000</v>
      </c>
      <c r="Q130">
        <f t="shared" si="12"/>
        <v>65000</v>
      </c>
      <c r="R130" t="str">
        <f t="shared" si="13"/>
        <v>Other</v>
      </c>
      <c r="S130" t="str">
        <f t="shared" si="14"/>
        <v>Sales</v>
      </c>
      <c r="T130" t="str">
        <f t="shared" si="15"/>
        <v>Clerk</v>
      </c>
      <c r="U130" s="2">
        <v>43549</v>
      </c>
      <c r="V130" t="s">
        <v>14</v>
      </c>
      <c r="W130" t="s">
        <v>15</v>
      </c>
      <c r="X130" t="str">
        <f t="shared" si="16"/>
        <v>Email not provided</v>
      </c>
      <c r="Y130" t="str">
        <f t="shared" si="17"/>
        <v>Email not provided</v>
      </c>
      <c r="Z130" t="str">
        <f t="shared" ref="Z130:Z193" si="18">IF(OR(TRIM(J130)="", LOWER(J130)="nan"), "Phone not provided", TRIM(J130))</f>
        <v>Phone not provided</v>
      </c>
    </row>
    <row r="131" spans="1:26" x14ac:dyDescent="0.25">
      <c r="A131" t="s">
        <v>10</v>
      </c>
      <c r="B131">
        <v>35</v>
      </c>
      <c r="C131">
        <v>55000</v>
      </c>
      <c r="D131" t="s">
        <v>17</v>
      </c>
      <c r="E131" t="s">
        <v>33</v>
      </c>
      <c r="F131" t="s">
        <v>38</v>
      </c>
      <c r="G131" s="2">
        <v>43845</v>
      </c>
      <c r="H131" t="s">
        <v>36</v>
      </c>
      <c r="I131" t="s">
        <v>51</v>
      </c>
      <c r="J131" t="s">
        <v>29</v>
      </c>
      <c r="M131" t="str">
        <f t="shared" ref="M131:M194" si="19">PROPER(TRIM(CLEAN(A131:A1130)))</f>
        <v>Grace</v>
      </c>
      <c r="N131">
        <v>35</v>
      </c>
      <c r="O131">
        <f t="shared" ref="O131:O194" si="20">IF(ISNUMBER(N131),N131,MEDIAN($N$2:$N$1001))</f>
        <v>35</v>
      </c>
      <c r="P131">
        <v>55000</v>
      </c>
      <c r="Q131">
        <f t="shared" ref="Q131:Q194" si="21">IF(ISNUMBER(P131),P131,MEDIAN(P131:P1130))</f>
        <v>55000</v>
      </c>
      <c r="R131" t="str">
        <f t="shared" ref="R131:R194" si="22">PROPER(TRIM(CLEAN(D131:D1130)))</f>
        <v>Female</v>
      </c>
      <c r="S131" t="str">
        <f t="shared" ref="S131:S194" si="23">TRIM(CLEAN(E131:E1130))</f>
        <v>Marketing</v>
      </c>
      <c r="T131" t="str">
        <f t="shared" ref="T131:T194" si="24">TRIM(CLEAN(F131:F1130))</f>
        <v>Analyst</v>
      </c>
      <c r="U131" s="2">
        <v>43845</v>
      </c>
      <c r="V131" t="s">
        <v>36</v>
      </c>
      <c r="W131" t="s">
        <v>51</v>
      </c>
      <c r="X131" t="str">
        <f t="shared" ref="X131:X194" si="25">IF(
   OR(TRIM(W131)="",LOWER(W131)="nan"),
   "Email not provided",
   W131
)</f>
        <v>email@example/com</v>
      </c>
      <c r="Y131" t="str">
        <f t="shared" ref="Y131:Y194" si="26">SUBSTITUTE(X131,"/",".")</f>
        <v>email@example.com</v>
      </c>
      <c r="Z131" t="str">
        <f t="shared" si="18"/>
        <v>Phone not provided</v>
      </c>
    </row>
    <row r="132" spans="1:26" x14ac:dyDescent="0.25">
      <c r="A132" t="s">
        <v>16</v>
      </c>
      <c r="B132">
        <v>40</v>
      </c>
      <c r="C132">
        <v>50000</v>
      </c>
      <c r="D132" t="s">
        <v>32</v>
      </c>
      <c r="E132" t="s">
        <v>27</v>
      </c>
      <c r="F132" t="s">
        <v>35</v>
      </c>
      <c r="G132" s="2">
        <v>43800</v>
      </c>
      <c r="H132" t="s">
        <v>28</v>
      </c>
      <c r="I132" t="s">
        <v>51</v>
      </c>
      <c r="J132" t="s">
        <v>21</v>
      </c>
      <c r="M132" t="str">
        <f t="shared" si="19"/>
        <v>David</v>
      </c>
      <c r="N132">
        <v>40</v>
      </c>
      <c r="O132">
        <f t="shared" si="20"/>
        <v>40</v>
      </c>
      <c r="P132">
        <v>50000</v>
      </c>
      <c r="Q132">
        <f t="shared" si="21"/>
        <v>50000</v>
      </c>
      <c r="R132" t="str">
        <f t="shared" si="22"/>
        <v>Other</v>
      </c>
      <c r="S132" t="str">
        <f t="shared" si="23"/>
        <v>IT</v>
      </c>
      <c r="T132" t="str">
        <f t="shared" si="24"/>
        <v>Clerk</v>
      </c>
      <c r="U132" s="2">
        <v>43800</v>
      </c>
      <c r="V132" t="s">
        <v>28</v>
      </c>
      <c r="W132" t="s">
        <v>51</v>
      </c>
      <c r="X132" t="str">
        <f t="shared" si="25"/>
        <v>email@example/com</v>
      </c>
      <c r="Y132" t="str">
        <f t="shared" si="26"/>
        <v>email@example.com</v>
      </c>
      <c r="Z132" t="str">
        <f t="shared" si="18"/>
        <v>123-456-7890</v>
      </c>
    </row>
    <row r="133" spans="1:26" x14ac:dyDescent="0.25">
      <c r="A133" t="s">
        <v>10</v>
      </c>
      <c r="B133">
        <v>50</v>
      </c>
      <c r="C133" t="s">
        <v>30</v>
      </c>
      <c r="D133" t="s">
        <v>11</v>
      </c>
      <c r="E133" t="s">
        <v>23</v>
      </c>
      <c r="F133" t="s">
        <v>37</v>
      </c>
      <c r="G133" s="2">
        <v>43800</v>
      </c>
      <c r="H133" t="s">
        <v>28</v>
      </c>
      <c r="I133" t="s">
        <v>53</v>
      </c>
      <c r="J133" t="s">
        <v>39</v>
      </c>
      <c r="M133" t="str">
        <f t="shared" si="19"/>
        <v>Grace</v>
      </c>
      <c r="N133">
        <v>50</v>
      </c>
      <c r="O133">
        <f t="shared" si="20"/>
        <v>50</v>
      </c>
      <c r="P133" t="s">
        <v>30</v>
      </c>
      <c r="Q133">
        <f t="shared" si="21"/>
        <v>60000</v>
      </c>
      <c r="R133" t="str">
        <f t="shared" si="22"/>
        <v>Male</v>
      </c>
      <c r="S133" t="str">
        <f t="shared" si="23"/>
        <v>Sales</v>
      </c>
      <c r="T133" t="str">
        <f t="shared" si="24"/>
        <v>Assistant</v>
      </c>
      <c r="U133" s="2">
        <v>43800</v>
      </c>
      <c r="V133" t="s">
        <v>28</v>
      </c>
      <c r="W133" t="s">
        <v>53</v>
      </c>
      <c r="X133" t="str">
        <f t="shared" si="25"/>
        <v>name@company/org</v>
      </c>
      <c r="Y133" t="str">
        <f t="shared" si="26"/>
        <v>name@company.org</v>
      </c>
      <c r="Z133" t="str">
        <f t="shared" si="18"/>
        <v>555-555-5555</v>
      </c>
    </row>
    <row r="134" spans="1:26" x14ac:dyDescent="0.25">
      <c r="A134" t="s">
        <v>34</v>
      </c>
      <c r="B134">
        <v>25</v>
      </c>
      <c r="C134">
        <v>60000</v>
      </c>
      <c r="D134" t="s">
        <v>11</v>
      </c>
      <c r="E134" t="s">
        <v>23</v>
      </c>
      <c r="F134" t="s">
        <v>35</v>
      </c>
      <c r="G134" s="2">
        <v>43549</v>
      </c>
      <c r="H134" t="s">
        <v>36</v>
      </c>
      <c r="I134" t="s">
        <v>15</v>
      </c>
      <c r="J134" t="s">
        <v>25</v>
      </c>
      <c r="M134" t="str">
        <f t="shared" si="19"/>
        <v>Charlie</v>
      </c>
      <c r="N134">
        <v>25</v>
      </c>
      <c r="O134">
        <f t="shared" si="20"/>
        <v>25</v>
      </c>
      <c r="P134">
        <v>60000</v>
      </c>
      <c r="Q134">
        <f t="shared" si="21"/>
        <v>60000</v>
      </c>
      <c r="R134" t="str">
        <f t="shared" si="22"/>
        <v>Male</v>
      </c>
      <c r="S134" t="str">
        <f t="shared" si="23"/>
        <v>Sales</v>
      </c>
      <c r="T134" t="str">
        <f t="shared" si="24"/>
        <v>Clerk</v>
      </c>
      <c r="U134" s="2">
        <v>43549</v>
      </c>
      <c r="V134" t="s">
        <v>36</v>
      </c>
      <c r="W134" t="s">
        <v>15</v>
      </c>
      <c r="X134" t="str">
        <f t="shared" si="25"/>
        <v>Email not provided</v>
      </c>
      <c r="Y134" t="str">
        <f t="shared" si="26"/>
        <v>Email not provided</v>
      </c>
      <c r="Z134" t="str">
        <f t="shared" si="18"/>
        <v>098-765-4321</v>
      </c>
    </row>
    <row r="135" spans="1:26" x14ac:dyDescent="0.25">
      <c r="A135" t="s">
        <v>40</v>
      </c>
      <c r="B135">
        <v>40</v>
      </c>
      <c r="C135">
        <v>65000</v>
      </c>
      <c r="D135" t="s">
        <v>17</v>
      </c>
      <c r="E135" t="s">
        <v>33</v>
      </c>
      <c r="F135" t="s">
        <v>13</v>
      </c>
      <c r="G135" s="2">
        <v>43881</v>
      </c>
      <c r="H135" t="s">
        <v>24</v>
      </c>
      <c r="I135" t="s">
        <v>51</v>
      </c>
      <c r="J135" t="s">
        <v>39</v>
      </c>
      <c r="M135" t="str">
        <f t="shared" si="19"/>
        <v>Frank</v>
      </c>
      <c r="N135">
        <v>40</v>
      </c>
      <c r="O135">
        <f t="shared" si="20"/>
        <v>40</v>
      </c>
      <c r="P135">
        <v>65000</v>
      </c>
      <c r="Q135">
        <f t="shared" si="21"/>
        <v>65000</v>
      </c>
      <c r="R135" t="str">
        <f t="shared" si="22"/>
        <v>Female</v>
      </c>
      <c r="S135" t="str">
        <f t="shared" si="23"/>
        <v>Marketing</v>
      </c>
      <c r="T135" t="str">
        <f t="shared" si="24"/>
        <v>Manager</v>
      </c>
      <c r="U135" s="2">
        <v>43881</v>
      </c>
      <c r="V135" t="s">
        <v>24</v>
      </c>
      <c r="W135" t="s">
        <v>51</v>
      </c>
      <c r="X135" t="str">
        <f t="shared" si="25"/>
        <v>email@example/com</v>
      </c>
      <c r="Y135" t="str">
        <f t="shared" si="26"/>
        <v>email@example.com</v>
      </c>
      <c r="Z135" t="str">
        <f t="shared" si="18"/>
        <v>555-555-5555</v>
      </c>
    </row>
    <row r="136" spans="1:26" x14ac:dyDescent="0.25">
      <c r="A136" t="s">
        <v>41</v>
      </c>
      <c r="B136">
        <v>35</v>
      </c>
      <c r="C136">
        <v>55000</v>
      </c>
      <c r="D136" t="s">
        <v>17</v>
      </c>
      <c r="E136" t="s">
        <v>27</v>
      </c>
      <c r="F136" t="s">
        <v>35</v>
      </c>
      <c r="G136" s="2">
        <v>43549</v>
      </c>
      <c r="H136" t="s">
        <v>20</v>
      </c>
      <c r="I136" t="s">
        <v>52</v>
      </c>
      <c r="J136" t="s">
        <v>29</v>
      </c>
      <c r="M136" t="str">
        <f t="shared" si="19"/>
        <v>Bob</v>
      </c>
      <c r="N136">
        <v>35</v>
      </c>
      <c r="O136">
        <f t="shared" si="20"/>
        <v>35</v>
      </c>
      <c r="P136">
        <v>55000</v>
      </c>
      <c r="Q136">
        <f t="shared" si="21"/>
        <v>55000</v>
      </c>
      <c r="R136" t="str">
        <f t="shared" si="22"/>
        <v>Female</v>
      </c>
      <c r="S136" t="str">
        <f t="shared" si="23"/>
        <v>IT</v>
      </c>
      <c r="T136" t="str">
        <f t="shared" si="24"/>
        <v>Clerk</v>
      </c>
      <c r="U136" s="2">
        <v>43549</v>
      </c>
      <c r="V136" t="s">
        <v>20</v>
      </c>
      <c r="W136" t="s">
        <v>52</v>
      </c>
      <c r="X136" t="str">
        <f t="shared" si="25"/>
        <v>user@domain/com</v>
      </c>
      <c r="Y136" t="str">
        <f t="shared" si="26"/>
        <v>user@domain.com</v>
      </c>
      <c r="Z136" t="str">
        <f t="shared" si="18"/>
        <v>Phone not provided</v>
      </c>
    </row>
    <row r="137" spans="1:26" x14ac:dyDescent="0.25">
      <c r="A137" t="s">
        <v>31</v>
      </c>
      <c r="B137">
        <v>35</v>
      </c>
      <c r="C137">
        <v>70000</v>
      </c>
      <c r="D137" t="s">
        <v>17</v>
      </c>
      <c r="E137" t="s">
        <v>33</v>
      </c>
      <c r="F137" t="s">
        <v>37</v>
      </c>
      <c r="G137" s="2">
        <v>43800</v>
      </c>
      <c r="H137" t="s">
        <v>14</v>
      </c>
      <c r="I137" t="s">
        <v>51</v>
      </c>
      <c r="J137" t="s">
        <v>21</v>
      </c>
      <c r="M137" t="str">
        <f t="shared" si="19"/>
        <v>Jack</v>
      </c>
      <c r="N137">
        <v>35</v>
      </c>
      <c r="O137">
        <f t="shared" si="20"/>
        <v>35</v>
      </c>
      <c r="P137">
        <v>70000</v>
      </c>
      <c r="Q137">
        <f t="shared" si="21"/>
        <v>70000</v>
      </c>
      <c r="R137" t="str">
        <f t="shared" si="22"/>
        <v>Female</v>
      </c>
      <c r="S137" t="str">
        <f t="shared" si="23"/>
        <v>Marketing</v>
      </c>
      <c r="T137" t="str">
        <f t="shared" si="24"/>
        <v>Assistant</v>
      </c>
      <c r="U137" s="2">
        <v>43800</v>
      </c>
      <c r="V137" t="s">
        <v>14</v>
      </c>
      <c r="W137" t="s">
        <v>51</v>
      </c>
      <c r="X137" t="str">
        <f t="shared" si="25"/>
        <v>email@example/com</v>
      </c>
      <c r="Y137" t="str">
        <f t="shared" si="26"/>
        <v>email@example.com</v>
      </c>
      <c r="Z137" t="str">
        <f t="shared" si="18"/>
        <v>123-456-7890</v>
      </c>
    </row>
    <row r="138" spans="1:26" x14ac:dyDescent="0.25">
      <c r="A138" t="s">
        <v>43</v>
      </c>
      <c r="B138">
        <v>25</v>
      </c>
      <c r="C138">
        <v>50000</v>
      </c>
      <c r="D138" t="s">
        <v>32</v>
      </c>
      <c r="E138" t="s">
        <v>27</v>
      </c>
      <c r="F138" t="s">
        <v>38</v>
      </c>
      <c r="G138" s="2">
        <v>43549</v>
      </c>
      <c r="H138" t="s">
        <v>14</v>
      </c>
      <c r="I138" t="s">
        <v>15</v>
      </c>
      <c r="J138" t="s">
        <v>39</v>
      </c>
      <c r="M138" t="str">
        <f t="shared" si="19"/>
        <v>Ivy</v>
      </c>
      <c r="N138">
        <v>25</v>
      </c>
      <c r="O138">
        <f t="shared" si="20"/>
        <v>25</v>
      </c>
      <c r="P138">
        <v>50000</v>
      </c>
      <c r="Q138">
        <f t="shared" si="21"/>
        <v>50000</v>
      </c>
      <c r="R138" t="str">
        <f t="shared" si="22"/>
        <v>Other</v>
      </c>
      <c r="S138" t="str">
        <f t="shared" si="23"/>
        <v>IT</v>
      </c>
      <c r="T138" t="str">
        <f t="shared" si="24"/>
        <v>Analyst</v>
      </c>
      <c r="U138" s="2">
        <v>43549</v>
      </c>
      <c r="V138" t="s">
        <v>14</v>
      </c>
      <c r="W138" t="s">
        <v>15</v>
      </c>
      <c r="X138" t="str">
        <f t="shared" si="25"/>
        <v>Email not provided</v>
      </c>
      <c r="Y138" t="str">
        <f t="shared" si="26"/>
        <v>Email not provided</v>
      </c>
      <c r="Z138" t="str">
        <f t="shared" si="18"/>
        <v>555-555-5555</v>
      </c>
    </row>
    <row r="139" spans="1:26" x14ac:dyDescent="0.25">
      <c r="A139" t="s">
        <v>26</v>
      </c>
      <c r="B139" t="s">
        <v>15</v>
      </c>
      <c r="C139">
        <v>55000</v>
      </c>
      <c r="D139" t="s">
        <v>17</v>
      </c>
      <c r="E139" t="s">
        <v>33</v>
      </c>
      <c r="F139" t="s">
        <v>19</v>
      </c>
      <c r="G139" s="2">
        <v>43845</v>
      </c>
      <c r="H139" t="s">
        <v>14</v>
      </c>
      <c r="J139" t="s">
        <v>29</v>
      </c>
      <c r="M139" t="str">
        <f t="shared" si="19"/>
        <v>Eve</v>
      </c>
      <c r="N139" t="s">
        <v>15</v>
      </c>
      <c r="O139">
        <f t="shared" si="20"/>
        <v>35</v>
      </c>
      <c r="P139">
        <v>55000</v>
      </c>
      <c r="Q139">
        <f t="shared" si="21"/>
        <v>55000</v>
      </c>
      <c r="R139" t="str">
        <f t="shared" si="22"/>
        <v>Female</v>
      </c>
      <c r="S139" t="str">
        <f t="shared" si="23"/>
        <v>Marketing</v>
      </c>
      <c r="T139" t="str">
        <f t="shared" si="24"/>
        <v>Director</v>
      </c>
      <c r="U139" s="2">
        <v>43845</v>
      </c>
      <c r="V139" t="s">
        <v>14</v>
      </c>
      <c r="X139" t="str">
        <f t="shared" si="25"/>
        <v>Email not provided</v>
      </c>
      <c r="Y139" t="str">
        <f t="shared" si="26"/>
        <v>Email not provided</v>
      </c>
      <c r="Z139" t="str">
        <f t="shared" si="18"/>
        <v>Phone not provided</v>
      </c>
    </row>
    <row r="140" spans="1:26" x14ac:dyDescent="0.25">
      <c r="A140" t="s">
        <v>40</v>
      </c>
      <c r="B140">
        <v>30</v>
      </c>
      <c r="C140">
        <v>70000</v>
      </c>
      <c r="D140" t="s">
        <v>11</v>
      </c>
      <c r="E140" t="s">
        <v>23</v>
      </c>
      <c r="F140" t="s">
        <v>35</v>
      </c>
      <c r="G140" s="2">
        <v>43549</v>
      </c>
      <c r="H140" t="s">
        <v>28</v>
      </c>
      <c r="J140" t="s">
        <v>25</v>
      </c>
      <c r="M140" t="str">
        <f t="shared" si="19"/>
        <v>Frank</v>
      </c>
      <c r="N140">
        <v>30</v>
      </c>
      <c r="O140">
        <f t="shared" si="20"/>
        <v>30</v>
      </c>
      <c r="P140">
        <v>70000</v>
      </c>
      <c r="Q140">
        <f t="shared" si="21"/>
        <v>70000</v>
      </c>
      <c r="R140" t="str">
        <f t="shared" si="22"/>
        <v>Male</v>
      </c>
      <c r="S140" t="str">
        <f t="shared" si="23"/>
        <v>Sales</v>
      </c>
      <c r="T140" t="str">
        <f t="shared" si="24"/>
        <v>Clerk</v>
      </c>
      <c r="U140" s="2">
        <v>43549</v>
      </c>
      <c r="V140" t="s">
        <v>28</v>
      </c>
      <c r="X140" t="str">
        <f t="shared" si="25"/>
        <v>Email not provided</v>
      </c>
      <c r="Y140" t="str">
        <f t="shared" si="26"/>
        <v>Email not provided</v>
      </c>
      <c r="Z140" t="str">
        <f t="shared" si="18"/>
        <v>098-765-4321</v>
      </c>
    </row>
    <row r="141" spans="1:26" x14ac:dyDescent="0.25">
      <c r="A141" t="s">
        <v>16</v>
      </c>
      <c r="B141">
        <v>35</v>
      </c>
      <c r="C141">
        <v>55000</v>
      </c>
      <c r="D141" t="s">
        <v>32</v>
      </c>
      <c r="E141" t="s">
        <v>23</v>
      </c>
      <c r="F141" t="s">
        <v>37</v>
      </c>
      <c r="G141" s="2">
        <v>43881</v>
      </c>
      <c r="H141" t="s">
        <v>14</v>
      </c>
      <c r="I141" t="s">
        <v>53</v>
      </c>
      <c r="J141" t="s">
        <v>15</v>
      </c>
      <c r="M141" t="str">
        <f t="shared" si="19"/>
        <v>David</v>
      </c>
      <c r="N141">
        <v>35</v>
      </c>
      <c r="O141">
        <f t="shared" si="20"/>
        <v>35</v>
      </c>
      <c r="P141">
        <v>55000</v>
      </c>
      <c r="Q141">
        <f t="shared" si="21"/>
        <v>55000</v>
      </c>
      <c r="R141" t="str">
        <f t="shared" si="22"/>
        <v>Other</v>
      </c>
      <c r="S141" t="str">
        <f t="shared" si="23"/>
        <v>Sales</v>
      </c>
      <c r="T141" t="str">
        <f t="shared" si="24"/>
        <v>Assistant</v>
      </c>
      <c r="U141" s="2">
        <v>43881</v>
      </c>
      <c r="V141" t="s">
        <v>14</v>
      </c>
      <c r="W141" t="s">
        <v>53</v>
      </c>
      <c r="X141" t="str">
        <f t="shared" si="25"/>
        <v>name@company/org</v>
      </c>
      <c r="Y141" t="str">
        <f t="shared" si="26"/>
        <v>name@company.org</v>
      </c>
      <c r="Z141" t="str">
        <f t="shared" si="18"/>
        <v>Phone not provided</v>
      </c>
    </row>
    <row r="142" spans="1:26" x14ac:dyDescent="0.25">
      <c r="A142" t="s">
        <v>31</v>
      </c>
      <c r="B142">
        <v>50</v>
      </c>
      <c r="C142">
        <v>65000</v>
      </c>
      <c r="D142" t="s">
        <v>17</v>
      </c>
      <c r="E142" t="s">
        <v>12</v>
      </c>
      <c r="F142" t="s">
        <v>37</v>
      </c>
      <c r="G142" s="2">
        <v>43845</v>
      </c>
      <c r="H142" t="s">
        <v>20</v>
      </c>
      <c r="I142" t="s">
        <v>15</v>
      </c>
      <c r="J142" t="s">
        <v>25</v>
      </c>
      <c r="M142" t="str">
        <f t="shared" si="19"/>
        <v>Jack</v>
      </c>
      <c r="N142">
        <v>50</v>
      </c>
      <c r="O142">
        <f t="shared" si="20"/>
        <v>50</v>
      </c>
      <c r="P142">
        <v>65000</v>
      </c>
      <c r="Q142">
        <f t="shared" si="21"/>
        <v>65000</v>
      </c>
      <c r="R142" t="str">
        <f t="shared" si="22"/>
        <v>Female</v>
      </c>
      <c r="S142" t="str">
        <f t="shared" si="23"/>
        <v>HR</v>
      </c>
      <c r="T142" t="str">
        <f t="shared" si="24"/>
        <v>Assistant</v>
      </c>
      <c r="U142" s="2">
        <v>43845</v>
      </c>
      <c r="V142" t="s">
        <v>20</v>
      </c>
      <c r="W142" t="s">
        <v>15</v>
      </c>
      <c r="X142" t="str">
        <f t="shared" si="25"/>
        <v>Email not provided</v>
      </c>
      <c r="Y142" t="str">
        <f t="shared" si="26"/>
        <v>Email not provided</v>
      </c>
      <c r="Z142" t="str">
        <f t="shared" si="18"/>
        <v>098-765-4321</v>
      </c>
    </row>
    <row r="143" spans="1:26" x14ac:dyDescent="0.25">
      <c r="A143" t="s">
        <v>10</v>
      </c>
      <c r="B143">
        <v>50</v>
      </c>
      <c r="C143">
        <v>65000</v>
      </c>
      <c r="D143" t="s">
        <v>32</v>
      </c>
      <c r="E143" t="s">
        <v>18</v>
      </c>
      <c r="F143" t="s">
        <v>38</v>
      </c>
      <c r="G143" s="1">
        <v>43195</v>
      </c>
      <c r="H143" t="s">
        <v>20</v>
      </c>
      <c r="I143" t="s">
        <v>51</v>
      </c>
      <c r="J143" t="s">
        <v>21</v>
      </c>
      <c r="M143" t="str">
        <f t="shared" si="19"/>
        <v>Grace</v>
      </c>
      <c r="N143">
        <v>50</v>
      </c>
      <c r="O143">
        <f t="shared" si="20"/>
        <v>50</v>
      </c>
      <c r="P143">
        <v>65000</v>
      </c>
      <c r="Q143">
        <f t="shared" si="21"/>
        <v>65000</v>
      </c>
      <c r="R143" t="str">
        <f t="shared" si="22"/>
        <v>Other</v>
      </c>
      <c r="S143" t="str">
        <f t="shared" si="23"/>
        <v>Finance</v>
      </c>
      <c r="T143" t="str">
        <f t="shared" si="24"/>
        <v>Analyst</v>
      </c>
      <c r="U143" s="2">
        <v>43195</v>
      </c>
      <c r="V143" t="s">
        <v>20</v>
      </c>
      <c r="W143" t="s">
        <v>51</v>
      </c>
      <c r="X143" t="str">
        <f t="shared" si="25"/>
        <v>email@example/com</v>
      </c>
      <c r="Y143" t="str">
        <f t="shared" si="26"/>
        <v>email@example.com</v>
      </c>
      <c r="Z143" t="str">
        <f t="shared" si="18"/>
        <v>123-456-7890</v>
      </c>
    </row>
    <row r="144" spans="1:26" x14ac:dyDescent="0.25">
      <c r="A144" t="s">
        <v>43</v>
      </c>
      <c r="B144">
        <v>35</v>
      </c>
      <c r="C144">
        <v>65000</v>
      </c>
      <c r="D144" t="s">
        <v>32</v>
      </c>
      <c r="E144" t="s">
        <v>33</v>
      </c>
      <c r="F144" t="s">
        <v>13</v>
      </c>
      <c r="G144" s="2">
        <v>43800</v>
      </c>
      <c r="H144" t="s">
        <v>36</v>
      </c>
      <c r="I144" t="s">
        <v>51</v>
      </c>
      <c r="J144" t="s">
        <v>25</v>
      </c>
      <c r="M144" t="str">
        <f t="shared" si="19"/>
        <v>Ivy</v>
      </c>
      <c r="N144">
        <v>35</v>
      </c>
      <c r="O144">
        <f t="shared" si="20"/>
        <v>35</v>
      </c>
      <c r="P144">
        <v>65000</v>
      </c>
      <c r="Q144">
        <f t="shared" si="21"/>
        <v>65000</v>
      </c>
      <c r="R144" t="str">
        <f t="shared" si="22"/>
        <v>Other</v>
      </c>
      <c r="S144" t="str">
        <f t="shared" si="23"/>
        <v>Marketing</v>
      </c>
      <c r="T144" t="str">
        <f t="shared" si="24"/>
        <v>Manager</v>
      </c>
      <c r="U144" s="2">
        <v>43800</v>
      </c>
      <c r="V144" t="s">
        <v>36</v>
      </c>
      <c r="W144" t="s">
        <v>51</v>
      </c>
      <c r="X144" t="str">
        <f t="shared" si="25"/>
        <v>email@example/com</v>
      </c>
      <c r="Y144" t="str">
        <f t="shared" si="26"/>
        <v>email@example.com</v>
      </c>
      <c r="Z144" t="str">
        <f t="shared" si="18"/>
        <v>098-765-4321</v>
      </c>
    </row>
    <row r="145" spans="1:26" x14ac:dyDescent="0.25">
      <c r="A145" t="s">
        <v>10</v>
      </c>
      <c r="B145" t="s">
        <v>15</v>
      </c>
      <c r="C145" t="s">
        <v>30</v>
      </c>
      <c r="D145" t="s">
        <v>17</v>
      </c>
      <c r="E145" t="s">
        <v>12</v>
      </c>
      <c r="F145" t="s">
        <v>35</v>
      </c>
      <c r="G145" s="2">
        <v>43800</v>
      </c>
      <c r="H145" t="s">
        <v>28</v>
      </c>
      <c r="J145" t="s">
        <v>25</v>
      </c>
      <c r="M145" t="str">
        <f t="shared" si="19"/>
        <v>Grace</v>
      </c>
      <c r="N145" t="s">
        <v>15</v>
      </c>
      <c r="O145">
        <f t="shared" si="20"/>
        <v>35</v>
      </c>
      <c r="P145" t="s">
        <v>30</v>
      </c>
      <c r="Q145">
        <f t="shared" si="21"/>
        <v>60000</v>
      </c>
      <c r="R145" t="str">
        <f t="shared" si="22"/>
        <v>Female</v>
      </c>
      <c r="S145" t="str">
        <f t="shared" si="23"/>
        <v>HR</v>
      </c>
      <c r="T145" t="str">
        <f t="shared" si="24"/>
        <v>Clerk</v>
      </c>
      <c r="U145" s="2">
        <v>43800</v>
      </c>
      <c r="V145" t="s">
        <v>28</v>
      </c>
      <c r="X145" t="str">
        <f t="shared" si="25"/>
        <v>Email not provided</v>
      </c>
      <c r="Y145" t="str">
        <f t="shared" si="26"/>
        <v>Email not provided</v>
      </c>
      <c r="Z145" t="str">
        <f t="shared" si="18"/>
        <v>098-765-4321</v>
      </c>
    </row>
    <row r="146" spans="1:26" x14ac:dyDescent="0.25">
      <c r="A146" t="s">
        <v>42</v>
      </c>
      <c r="B146" t="s">
        <v>15</v>
      </c>
      <c r="C146" t="s">
        <v>30</v>
      </c>
      <c r="D146" t="s">
        <v>32</v>
      </c>
      <c r="E146" t="s">
        <v>18</v>
      </c>
      <c r="F146" t="s">
        <v>37</v>
      </c>
      <c r="G146" s="2">
        <v>43549</v>
      </c>
      <c r="H146" t="s">
        <v>20</v>
      </c>
      <c r="J146" t="s">
        <v>25</v>
      </c>
      <c r="M146" t="str">
        <f t="shared" si="19"/>
        <v>Alice</v>
      </c>
      <c r="N146" t="s">
        <v>15</v>
      </c>
      <c r="O146">
        <f t="shared" si="20"/>
        <v>35</v>
      </c>
      <c r="P146" t="s">
        <v>30</v>
      </c>
      <c r="Q146">
        <f t="shared" si="21"/>
        <v>60000</v>
      </c>
      <c r="R146" t="str">
        <f t="shared" si="22"/>
        <v>Other</v>
      </c>
      <c r="S146" t="str">
        <f t="shared" si="23"/>
        <v>Finance</v>
      </c>
      <c r="T146" t="str">
        <f t="shared" si="24"/>
        <v>Assistant</v>
      </c>
      <c r="U146" s="2">
        <v>43549</v>
      </c>
      <c r="V146" t="s">
        <v>20</v>
      </c>
      <c r="X146" t="str">
        <f t="shared" si="25"/>
        <v>Email not provided</v>
      </c>
      <c r="Y146" t="str">
        <f t="shared" si="26"/>
        <v>Email not provided</v>
      </c>
      <c r="Z146" t="str">
        <f t="shared" si="18"/>
        <v>098-765-4321</v>
      </c>
    </row>
    <row r="147" spans="1:26" x14ac:dyDescent="0.25">
      <c r="A147" t="s">
        <v>42</v>
      </c>
      <c r="B147">
        <v>40</v>
      </c>
      <c r="C147">
        <v>50000</v>
      </c>
      <c r="D147" t="s">
        <v>11</v>
      </c>
      <c r="E147" t="s">
        <v>33</v>
      </c>
      <c r="F147" t="s">
        <v>38</v>
      </c>
      <c r="G147" s="2">
        <v>43845</v>
      </c>
      <c r="H147" t="s">
        <v>24</v>
      </c>
      <c r="I147" t="s">
        <v>52</v>
      </c>
      <c r="J147" t="s">
        <v>25</v>
      </c>
      <c r="M147" t="str">
        <f t="shared" si="19"/>
        <v>Alice</v>
      </c>
      <c r="N147">
        <v>40</v>
      </c>
      <c r="O147">
        <f t="shared" si="20"/>
        <v>40</v>
      </c>
      <c r="P147">
        <v>50000</v>
      </c>
      <c r="Q147">
        <f t="shared" si="21"/>
        <v>50000</v>
      </c>
      <c r="R147" t="str">
        <f t="shared" si="22"/>
        <v>Male</v>
      </c>
      <c r="S147" t="str">
        <f t="shared" si="23"/>
        <v>Marketing</v>
      </c>
      <c r="T147" t="str">
        <f t="shared" si="24"/>
        <v>Analyst</v>
      </c>
      <c r="U147" s="2">
        <v>43845</v>
      </c>
      <c r="V147" t="s">
        <v>24</v>
      </c>
      <c r="W147" t="s">
        <v>52</v>
      </c>
      <c r="X147" t="str">
        <f t="shared" si="25"/>
        <v>user@domain/com</v>
      </c>
      <c r="Y147" t="str">
        <f t="shared" si="26"/>
        <v>user@domain.com</v>
      </c>
      <c r="Z147" t="str">
        <f t="shared" si="18"/>
        <v>098-765-4321</v>
      </c>
    </row>
    <row r="148" spans="1:26" x14ac:dyDescent="0.25">
      <c r="A148" t="s">
        <v>43</v>
      </c>
      <c r="B148">
        <v>50</v>
      </c>
      <c r="C148">
        <v>65000</v>
      </c>
      <c r="D148" t="s">
        <v>11</v>
      </c>
      <c r="E148" t="s">
        <v>27</v>
      </c>
      <c r="F148" t="s">
        <v>19</v>
      </c>
      <c r="G148" s="1">
        <v>43195</v>
      </c>
      <c r="H148" t="s">
        <v>28</v>
      </c>
      <c r="J148" t="s">
        <v>21</v>
      </c>
      <c r="M148" t="str">
        <f t="shared" si="19"/>
        <v>Ivy</v>
      </c>
      <c r="N148">
        <v>50</v>
      </c>
      <c r="O148">
        <f t="shared" si="20"/>
        <v>50</v>
      </c>
      <c r="P148">
        <v>65000</v>
      </c>
      <c r="Q148">
        <f t="shared" si="21"/>
        <v>65000</v>
      </c>
      <c r="R148" t="str">
        <f t="shared" si="22"/>
        <v>Male</v>
      </c>
      <c r="S148" t="str">
        <f t="shared" si="23"/>
        <v>IT</v>
      </c>
      <c r="T148" t="str">
        <f t="shared" si="24"/>
        <v>Director</v>
      </c>
      <c r="U148" s="2">
        <v>43195</v>
      </c>
      <c r="V148" t="s">
        <v>28</v>
      </c>
      <c r="X148" t="str">
        <f t="shared" si="25"/>
        <v>Email not provided</v>
      </c>
      <c r="Y148" t="str">
        <f t="shared" si="26"/>
        <v>Email not provided</v>
      </c>
      <c r="Z148" t="str">
        <f t="shared" si="18"/>
        <v>123-456-7890</v>
      </c>
    </row>
    <row r="149" spans="1:26" x14ac:dyDescent="0.25">
      <c r="A149" t="s">
        <v>43</v>
      </c>
      <c r="B149">
        <v>40</v>
      </c>
      <c r="C149">
        <v>70000</v>
      </c>
      <c r="D149" t="s">
        <v>32</v>
      </c>
      <c r="E149" t="s">
        <v>18</v>
      </c>
      <c r="F149" t="s">
        <v>37</v>
      </c>
      <c r="G149" s="2">
        <v>43845</v>
      </c>
      <c r="H149" t="s">
        <v>28</v>
      </c>
      <c r="I149" t="s">
        <v>52</v>
      </c>
      <c r="J149" t="s">
        <v>29</v>
      </c>
      <c r="M149" t="str">
        <f t="shared" si="19"/>
        <v>Ivy</v>
      </c>
      <c r="N149">
        <v>40</v>
      </c>
      <c r="O149">
        <f t="shared" si="20"/>
        <v>40</v>
      </c>
      <c r="P149">
        <v>70000</v>
      </c>
      <c r="Q149">
        <f t="shared" si="21"/>
        <v>70000</v>
      </c>
      <c r="R149" t="str">
        <f t="shared" si="22"/>
        <v>Other</v>
      </c>
      <c r="S149" t="str">
        <f t="shared" si="23"/>
        <v>Finance</v>
      </c>
      <c r="T149" t="str">
        <f t="shared" si="24"/>
        <v>Assistant</v>
      </c>
      <c r="U149" s="2">
        <v>43845</v>
      </c>
      <c r="V149" t="s">
        <v>28</v>
      </c>
      <c r="W149" t="s">
        <v>52</v>
      </c>
      <c r="X149" t="str">
        <f t="shared" si="25"/>
        <v>user@domain/com</v>
      </c>
      <c r="Y149" t="str">
        <f t="shared" si="26"/>
        <v>user@domain.com</v>
      </c>
      <c r="Z149" t="str">
        <f t="shared" si="18"/>
        <v>Phone not provided</v>
      </c>
    </row>
    <row r="150" spans="1:26" x14ac:dyDescent="0.25">
      <c r="A150" t="s">
        <v>16</v>
      </c>
      <c r="B150">
        <v>50</v>
      </c>
      <c r="C150">
        <v>55000</v>
      </c>
      <c r="D150" t="s">
        <v>17</v>
      </c>
      <c r="E150" t="s">
        <v>23</v>
      </c>
      <c r="F150" t="s">
        <v>38</v>
      </c>
      <c r="G150" s="2">
        <v>43800</v>
      </c>
      <c r="H150" t="s">
        <v>20</v>
      </c>
      <c r="I150" t="s">
        <v>51</v>
      </c>
      <c r="J150" t="s">
        <v>39</v>
      </c>
      <c r="M150" t="str">
        <f t="shared" si="19"/>
        <v>David</v>
      </c>
      <c r="N150">
        <v>50</v>
      </c>
      <c r="O150">
        <f t="shared" si="20"/>
        <v>50</v>
      </c>
      <c r="P150">
        <v>55000</v>
      </c>
      <c r="Q150">
        <f t="shared" si="21"/>
        <v>55000</v>
      </c>
      <c r="R150" t="str">
        <f t="shared" si="22"/>
        <v>Female</v>
      </c>
      <c r="S150" t="str">
        <f t="shared" si="23"/>
        <v>Sales</v>
      </c>
      <c r="T150" t="str">
        <f t="shared" si="24"/>
        <v>Analyst</v>
      </c>
      <c r="U150" s="2">
        <v>43800</v>
      </c>
      <c r="V150" t="s">
        <v>20</v>
      </c>
      <c r="W150" t="s">
        <v>51</v>
      </c>
      <c r="X150" t="str">
        <f t="shared" si="25"/>
        <v>email@example/com</v>
      </c>
      <c r="Y150" t="str">
        <f t="shared" si="26"/>
        <v>email@example.com</v>
      </c>
      <c r="Z150" t="str">
        <f t="shared" si="18"/>
        <v>555-555-5555</v>
      </c>
    </row>
    <row r="151" spans="1:26" x14ac:dyDescent="0.25">
      <c r="A151" t="s">
        <v>43</v>
      </c>
      <c r="B151">
        <v>30</v>
      </c>
      <c r="C151">
        <v>60000</v>
      </c>
      <c r="D151" t="s">
        <v>32</v>
      </c>
      <c r="E151" t="s">
        <v>12</v>
      </c>
      <c r="F151" t="s">
        <v>13</v>
      </c>
      <c r="G151" s="2">
        <v>43845</v>
      </c>
      <c r="H151" t="s">
        <v>24</v>
      </c>
      <c r="I151" t="s">
        <v>52</v>
      </c>
      <c r="J151" t="s">
        <v>15</v>
      </c>
      <c r="M151" t="str">
        <f t="shared" si="19"/>
        <v>Ivy</v>
      </c>
      <c r="N151">
        <v>30</v>
      </c>
      <c r="O151">
        <f t="shared" si="20"/>
        <v>30</v>
      </c>
      <c r="P151">
        <v>60000</v>
      </c>
      <c r="Q151">
        <f t="shared" si="21"/>
        <v>60000</v>
      </c>
      <c r="R151" t="str">
        <f t="shared" si="22"/>
        <v>Other</v>
      </c>
      <c r="S151" t="str">
        <f t="shared" si="23"/>
        <v>HR</v>
      </c>
      <c r="T151" t="str">
        <f t="shared" si="24"/>
        <v>Manager</v>
      </c>
      <c r="U151" s="2">
        <v>43845</v>
      </c>
      <c r="V151" t="s">
        <v>24</v>
      </c>
      <c r="W151" t="s">
        <v>52</v>
      </c>
      <c r="X151" t="str">
        <f t="shared" si="25"/>
        <v>user@domain/com</v>
      </c>
      <c r="Y151" t="str">
        <f t="shared" si="26"/>
        <v>user@domain.com</v>
      </c>
      <c r="Z151" t="str">
        <f t="shared" si="18"/>
        <v>Phone not provided</v>
      </c>
    </row>
    <row r="152" spans="1:26" x14ac:dyDescent="0.25">
      <c r="A152" t="s">
        <v>34</v>
      </c>
      <c r="B152">
        <v>30</v>
      </c>
      <c r="C152">
        <v>70000</v>
      </c>
      <c r="D152" t="s">
        <v>11</v>
      </c>
      <c r="E152" t="s">
        <v>18</v>
      </c>
      <c r="F152" t="s">
        <v>13</v>
      </c>
      <c r="G152" s="1">
        <v>43195</v>
      </c>
      <c r="H152" t="s">
        <v>36</v>
      </c>
      <c r="I152" t="s">
        <v>52</v>
      </c>
      <c r="J152" t="s">
        <v>39</v>
      </c>
      <c r="M152" t="str">
        <f t="shared" si="19"/>
        <v>Charlie</v>
      </c>
      <c r="N152">
        <v>30</v>
      </c>
      <c r="O152">
        <f t="shared" si="20"/>
        <v>30</v>
      </c>
      <c r="P152">
        <v>70000</v>
      </c>
      <c r="Q152">
        <f t="shared" si="21"/>
        <v>70000</v>
      </c>
      <c r="R152" t="str">
        <f t="shared" si="22"/>
        <v>Male</v>
      </c>
      <c r="S152" t="str">
        <f t="shared" si="23"/>
        <v>Finance</v>
      </c>
      <c r="T152" t="str">
        <f t="shared" si="24"/>
        <v>Manager</v>
      </c>
      <c r="U152" s="2">
        <v>43195</v>
      </c>
      <c r="V152" t="s">
        <v>36</v>
      </c>
      <c r="W152" t="s">
        <v>52</v>
      </c>
      <c r="X152" t="str">
        <f t="shared" si="25"/>
        <v>user@domain/com</v>
      </c>
      <c r="Y152" t="str">
        <f t="shared" si="26"/>
        <v>user@domain.com</v>
      </c>
      <c r="Z152" t="str">
        <f t="shared" si="18"/>
        <v>555-555-5555</v>
      </c>
    </row>
    <row r="153" spans="1:26" x14ac:dyDescent="0.25">
      <c r="A153" t="s">
        <v>10</v>
      </c>
      <c r="B153">
        <v>25</v>
      </c>
      <c r="C153" t="s">
        <v>30</v>
      </c>
      <c r="D153" t="s">
        <v>32</v>
      </c>
      <c r="E153" t="s">
        <v>18</v>
      </c>
      <c r="F153" t="s">
        <v>37</v>
      </c>
      <c r="G153" s="2">
        <v>43549</v>
      </c>
      <c r="H153" t="s">
        <v>20</v>
      </c>
      <c r="I153" t="s">
        <v>53</v>
      </c>
      <c r="J153" t="s">
        <v>39</v>
      </c>
      <c r="M153" t="str">
        <f t="shared" si="19"/>
        <v>Grace</v>
      </c>
      <c r="N153">
        <v>25</v>
      </c>
      <c r="O153">
        <f t="shared" si="20"/>
        <v>25</v>
      </c>
      <c r="P153" t="s">
        <v>30</v>
      </c>
      <c r="Q153">
        <f t="shared" si="21"/>
        <v>60000</v>
      </c>
      <c r="R153" t="str">
        <f t="shared" si="22"/>
        <v>Other</v>
      </c>
      <c r="S153" t="str">
        <f t="shared" si="23"/>
        <v>Finance</v>
      </c>
      <c r="T153" t="str">
        <f t="shared" si="24"/>
        <v>Assistant</v>
      </c>
      <c r="U153" s="2">
        <v>43549</v>
      </c>
      <c r="V153" t="s">
        <v>20</v>
      </c>
      <c r="W153" t="s">
        <v>53</v>
      </c>
      <c r="X153" t="str">
        <f t="shared" si="25"/>
        <v>name@company/org</v>
      </c>
      <c r="Y153" t="str">
        <f t="shared" si="26"/>
        <v>name@company.org</v>
      </c>
      <c r="Z153" t="str">
        <f t="shared" si="18"/>
        <v>555-555-5555</v>
      </c>
    </row>
    <row r="154" spans="1:26" x14ac:dyDescent="0.25">
      <c r="A154" t="s">
        <v>40</v>
      </c>
      <c r="B154">
        <v>40</v>
      </c>
      <c r="C154" t="s">
        <v>30</v>
      </c>
      <c r="D154" t="s">
        <v>32</v>
      </c>
      <c r="E154" t="s">
        <v>23</v>
      </c>
      <c r="F154" t="s">
        <v>37</v>
      </c>
      <c r="G154" s="2">
        <v>43881</v>
      </c>
      <c r="H154" t="s">
        <v>24</v>
      </c>
      <c r="J154" t="s">
        <v>15</v>
      </c>
      <c r="M154" t="str">
        <f t="shared" si="19"/>
        <v>Frank</v>
      </c>
      <c r="N154">
        <v>40</v>
      </c>
      <c r="O154">
        <f t="shared" si="20"/>
        <v>40</v>
      </c>
      <c r="P154" t="s">
        <v>30</v>
      </c>
      <c r="Q154">
        <f t="shared" si="21"/>
        <v>60000</v>
      </c>
      <c r="R154" t="str">
        <f t="shared" si="22"/>
        <v>Other</v>
      </c>
      <c r="S154" t="str">
        <f t="shared" si="23"/>
        <v>Sales</v>
      </c>
      <c r="T154" t="str">
        <f t="shared" si="24"/>
        <v>Assistant</v>
      </c>
      <c r="U154" s="2">
        <v>43881</v>
      </c>
      <c r="V154" t="s">
        <v>24</v>
      </c>
      <c r="X154" t="str">
        <f t="shared" si="25"/>
        <v>Email not provided</v>
      </c>
      <c r="Y154" t="str">
        <f t="shared" si="26"/>
        <v>Email not provided</v>
      </c>
      <c r="Z154" t="str">
        <f t="shared" si="18"/>
        <v>Phone not provided</v>
      </c>
    </row>
    <row r="155" spans="1:26" x14ac:dyDescent="0.25">
      <c r="A155" t="s">
        <v>22</v>
      </c>
      <c r="B155">
        <v>35</v>
      </c>
      <c r="C155">
        <v>70000</v>
      </c>
      <c r="D155" t="s">
        <v>11</v>
      </c>
      <c r="E155" t="s">
        <v>33</v>
      </c>
      <c r="F155" t="s">
        <v>35</v>
      </c>
      <c r="G155" s="2">
        <v>43845</v>
      </c>
      <c r="H155" t="s">
        <v>28</v>
      </c>
      <c r="I155" t="s">
        <v>52</v>
      </c>
      <c r="J155" t="s">
        <v>21</v>
      </c>
      <c r="M155" t="str">
        <f t="shared" si="19"/>
        <v>Hannah</v>
      </c>
      <c r="N155">
        <v>35</v>
      </c>
      <c r="O155">
        <f t="shared" si="20"/>
        <v>35</v>
      </c>
      <c r="P155">
        <v>70000</v>
      </c>
      <c r="Q155">
        <f t="shared" si="21"/>
        <v>70000</v>
      </c>
      <c r="R155" t="str">
        <f t="shared" si="22"/>
        <v>Male</v>
      </c>
      <c r="S155" t="str">
        <f t="shared" si="23"/>
        <v>Marketing</v>
      </c>
      <c r="T155" t="str">
        <f t="shared" si="24"/>
        <v>Clerk</v>
      </c>
      <c r="U155" s="2">
        <v>43845</v>
      </c>
      <c r="V155" t="s">
        <v>28</v>
      </c>
      <c r="W155" t="s">
        <v>52</v>
      </c>
      <c r="X155" t="str">
        <f t="shared" si="25"/>
        <v>user@domain/com</v>
      </c>
      <c r="Y155" t="str">
        <f t="shared" si="26"/>
        <v>user@domain.com</v>
      </c>
      <c r="Z155" t="str">
        <f t="shared" si="18"/>
        <v>123-456-7890</v>
      </c>
    </row>
    <row r="156" spans="1:26" x14ac:dyDescent="0.25">
      <c r="A156" t="s">
        <v>43</v>
      </c>
      <c r="B156">
        <v>40</v>
      </c>
      <c r="C156" t="s">
        <v>30</v>
      </c>
      <c r="D156" t="s">
        <v>32</v>
      </c>
      <c r="E156" t="s">
        <v>27</v>
      </c>
      <c r="F156" t="s">
        <v>38</v>
      </c>
      <c r="G156" s="2">
        <v>43881</v>
      </c>
      <c r="H156" t="s">
        <v>24</v>
      </c>
      <c r="I156" t="s">
        <v>51</v>
      </c>
      <c r="J156" t="s">
        <v>15</v>
      </c>
      <c r="M156" t="str">
        <f t="shared" si="19"/>
        <v>Ivy</v>
      </c>
      <c r="N156">
        <v>40</v>
      </c>
      <c r="O156">
        <f t="shared" si="20"/>
        <v>40</v>
      </c>
      <c r="P156" t="s">
        <v>30</v>
      </c>
      <c r="Q156">
        <f t="shared" si="21"/>
        <v>60000</v>
      </c>
      <c r="R156" t="str">
        <f t="shared" si="22"/>
        <v>Other</v>
      </c>
      <c r="S156" t="str">
        <f t="shared" si="23"/>
        <v>IT</v>
      </c>
      <c r="T156" t="str">
        <f t="shared" si="24"/>
        <v>Analyst</v>
      </c>
      <c r="U156" s="2">
        <v>43881</v>
      </c>
      <c r="V156" t="s">
        <v>24</v>
      </c>
      <c r="W156" t="s">
        <v>51</v>
      </c>
      <c r="X156" t="str">
        <f t="shared" si="25"/>
        <v>email@example/com</v>
      </c>
      <c r="Y156" t="str">
        <f t="shared" si="26"/>
        <v>email@example.com</v>
      </c>
      <c r="Z156" t="str">
        <f t="shared" si="18"/>
        <v>Phone not provided</v>
      </c>
    </row>
    <row r="157" spans="1:26" x14ac:dyDescent="0.25">
      <c r="A157" t="s">
        <v>26</v>
      </c>
      <c r="B157">
        <v>35</v>
      </c>
      <c r="C157">
        <v>65000</v>
      </c>
      <c r="D157" t="s">
        <v>32</v>
      </c>
      <c r="E157" t="s">
        <v>23</v>
      </c>
      <c r="F157" t="s">
        <v>37</v>
      </c>
      <c r="G157" s="2">
        <v>43800</v>
      </c>
      <c r="H157" t="s">
        <v>28</v>
      </c>
      <c r="I157" t="s">
        <v>15</v>
      </c>
      <c r="J157" t="s">
        <v>21</v>
      </c>
      <c r="M157" t="str">
        <f t="shared" si="19"/>
        <v>Eve</v>
      </c>
      <c r="N157">
        <v>35</v>
      </c>
      <c r="O157">
        <f t="shared" si="20"/>
        <v>35</v>
      </c>
      <c r="P157">
        <v>65000</v>
      </c>
      <c r="Q157">
        <f t="shared" si="21"/>
        <v>65000</v>
      </c>
      <c r="R157" t="str">
        <f t="shared" si="22"/>
        <v>Other</v>
      </c>
      <c r="S157" t="str">
        <f t="shared" si="23"/>
        <v>Sales</v>
      </c>
      <c r="T157" t="str">
        <f t="shared" si="24"/>
        <v>Assistant</v>
      </c>
      <c r="U157" s="2">
        <v>43800</v>
      </c>
      <c r="V157" t="s">
        <v>28</v>
      </c>
      <c r="W157" t="s">
        <v>15</v>
      </c>
      <c r="X157" t="str">
        <f t="shared" si="25"/>
        <v>Email not provided</v>
      </c>
      <c r="Y157" t="str">
        <f t="shared" si="26"/>
        <v>Email not provided</v>
      </c>
      <c r="Z157" t="str">
        <f t="shared" si="18"/>
        <v>123-456-7890</v>
      </c>
    </row>
    <row r="158" spans="1:26" x14ac:dyDescent="0.25">
      <c r="A158" t="s">
        <v>42</v>
      </c>
      <c r="B158" t="s">
        <v>15</v>
      </c>
      <c r="C158">
        <v>50000</v>
      </c>
      <c r="D158" t="s">
        <v>17</v>
      </c>
      <c r="E158" t="s">
        <v>27</v>
      </c>
      <c r="F158" t="s">
        <v>35</v>
      </c>
      <c r="G158" s="2">
        <v>43549</v>
      </c>
      <c r="H158" t="s">
        <v>20</v>
      </c>
      <c r="I158" t="s">
        <v>52</v>
      </c>
      <c r="J158" t="s">
        <v>39</v>
      </c>
      <c r="M158" t="str">
        <f t="shared" si="19"/>
        <v>Alice</v>
      </c>
      <c r="N158" t="s">
        <v>15</v>
      </c>
      <c r="O158">
        <f t="shared" si="20"/>
        <v>35</v>
      </c>
      <c r="P158">
        <v>50000</v>
      </c>
      <c r="Q158">
        <f t="shared" si="21"/>
        <v>50000</v>
      </c>
      <c r="R158" t="str">
        <f t="shared" si="22"/>
        <v>Female</v>
      </c>
      <c r="S158" t="str">
        <f t="shared" si="23"/>
        <v>IT</v>
      </c>
      <c r="T158" t="str">
        <f t="shared" si="24"/>
        <v>Clerk</v>
      </c>
      <c r="U158" s="2">
        <v>43549</v>
      </c>
      <c r="V158" t="s">
        <v>20</v>
      </c>
      <c r="W158" t="s">
        <v>52</v>
      </c>
      <c r="X158" t="str">
        <f t="shared" si="25"/>
        <v>user@domain/com</v>
      </c>
      <c r="Y158" t="str">
        <f t="shared" si="26"/>
        <v>user@domain.com</v>
      </c>
      <c r="Z158" t="str">
        <f t="shared" si="18"/>
        <v>555-555-5555</v>
      </c>
    </row>
    <row r="159" spans="1:26" x14ac:dyDescent="0.25">
      <c r="A159" t="s">
        <v>34</v>
      </c>
      <c r="B159">
        <v>40</v>
      </c>
      <c r="C159">
        <v>55000</v>
      </c>
      <c r="D159" t="s">
        <v>17</v>
      </c>
      <c r="E159" t="s">
        <v>33</v>
      </c>
      <c r="F159" t="s">
        <v>35</v>
      </c>
      <c r="G159" s="2">
        <v>43549</v>
      </c>
      <c r="H159" t="s">
        <v>20</v>
      </c>
      <c r="J159" t="s">
        <v>21</v>
      </c>
      <c r="M159" t="str">
        <f t="shared" si="19"/>
        <v>Charlie</v>
      </c>
      <c r="N159">
        <v>40</v>
      </c>
      <c r="O159">
        <f t="shared" si="20"/>
        <v>40</v>
      </c>
      <c r="P159">
        <v>55000</v>
      </c>
      <c r="Q159">
        <f t="shared" si="21"/>
        <v>55000</v>
      </c>
      <c r="R159" t="str">
        <f t="shared" si="22"/>
        <v>Female</v>
      </c>
      <c r="S159" t="str">
        <f t="shared" si="23"/>
        <v>Marketing</v>
      </c>
      <c r="T159" t="str">
        <f t="shared" si="24"/>
        <v>Clerk</v>
      </c>
      <c r="U159" s="2">
        <v>43549</v>
      </c>
      <c r="V159" t="s">
        <v>20</v>
      </c>
      <c r="X159" t="str">
        <f t="shared" si="25"/>
        <v>Email not provided</v>
      </c>
      <c r="Y159" t="str">
        <f t="shared" si="26"/>
        <v>Email not provided</v>
      </c>
      <c r="Z159" t="str">
        <f t="shared" si="18"/>
        <v>123-456-7890</v>
      </c>
    </row>
    <row r="160" spans="1:26" x14ac:dyDescent="0.25">
      <c r="A160" t="s">
        <v>31</v>
      </c>
      <c r="B160" t="s">
        <v>15</v>
      </c>
      <c r="C160">
        <v>50000</v>
      </c>
      <c r="D160" t="s">
        <v>11</v>
      </c>
      <c r="E160" t="s">
        <v>18</v>
      </c>
      <c r="F160" t="s">
        <v>37</v>
      </c>
      <c r="G160" s="2">
        <v>43845</v>
      </c>
      <c r="H160" t="s">
        <v>14</v>
      </c>
      <c r="I160" t="s">
        <v>53</v>
      </c>
      <c r="J160" t="s">
        <v>29</v>
      </c>
      <c r="M160" t="str">
        <f t="shared" si="19"/>
        <v>Jack</v>
      </c>
      <c r="N160" t="s">
        <v>15</v>
      </c>
      <c r="O160">
        <f t="shared" si="20"/>
        <v>35</v>
      </c>
      <c r="P160">
        <v>50000</v>
      </c>
      <c r="Q160">
        <f t="shared" si="21"/>
        <v>50000</v>
      </c>
      <c r="R160" t="str">
        <f t="shared" si="22"/>
        <v>Male</v>
      </c>
      <c r="S160" t="str">
        <f t="shared" si="23"/>
        <v>Finance</v>
      </c>
      <c r="T160" t="str">
        <f t="shared" si="24"/>
        <v>Assistant</v>
      </c>
      <c r="U160" s="2">
        <v>43845</v>
      </c>
      <c r="V160" t="s">
        <v>14</v>
      </c>
      <c r="W160" t="s">
        <v>53</v>
      </c>
      <c r="X160" t="str">
        <f t="shared" si="25"/>
        <v>name@company/org</v>
      </c>
      <c r="Y160" t="str">
        <f t="shared" si="26"/>
        <v>name@company.org</v>
      </c>
      <c r="Z160" t="str">
        <f t="shared" si="18"/>
        <v>Phone not provided</v>
      </c>
    </row>
    <row r="161" spans="1:26" x14ac:dyDescent="0.25">
      <c r="A161" t="s">
        <v>22</v>
      </c>
      <c r="B161">
        <v>30</v>
      </c>
      <c r="C161">
        <v>55000</v>
      </c>
      <c r="D161" t="s">
        <v>11</v>
      </c>
      <c r="E161" t="s">
        <v>27</v>
      </c>
      <c r="F161" t="s">
        <v>13</v>
      </c>
      <c r="G161" s="2">
        <v>43549</v>
      </c>
      <c r="H161" t="s">
        <v>14</v>
      </c>
      <c r="I161" t="s">
        <v>51</v>
      </c>
      <c r="J161" t="s">
        <v>15</v>
      </c>
      <c r="M161" t="str">
        <f t="shared" si="19"/>
        <v>Hannah</v>
      </c>
      <c r="N161">
        <v>30</v>
      </c>
      <c r="O161">
        <f t="shared" si="20"/>
        <v>30</v>
      </c>
      <c r="P161">
        <v>55000</v>
      </c>
      <c r="Q161">
        <f t="shared" si="21"/>
        <v>55000</v>
      </c>
      <c r="R161" t="str">
        <f t="shared" si="22"/>
        <v>Male</v>
      </c>
      <c r="S161" t="str">
        <f t="shared" si="23"/>
        <v>IT</v>
      </c>
      <c r="T161" t="str">
        <f t="shared" si="24"/>
        <v>Manager</v>
      </c>
      <c r="U161" s="2">
        <v>43549</v>
      </c>
      <c r="V161" t="s">
        <v>14</v>
      </c>
      <c r="W161" t="s">
        <v>51</v>
      </c>
      <c r="X161" t="str">
        <f t="shared" si="25"/>
        <v>email@example/com</v>
      </c>
      <c r="Y161" t="str">
        <f t="shared" si="26"/>
        <v>email@example.com</v>
      </c>
      <c r="Z161" t="str">
        <f t="shared" si="18"/>
        <v>Phone not provided</v>
      </c>
    </row>
    <row r="162" spans="1:26" x14ac:dyDescent="0.25">
      <c r="A162" t="s">
        <v>40</v>
      </c>
      <c r="B162">
        <v>30</v>
      </c>
      <c r="C162">
        <v>55000</v>
      </c>
      <c r="D162" t="s">
        <v>11</v>
      </c>
      <c r="E162" t="s">
        <v>12</v>
      </c>
      <c r="F162" t="s">
        <v>38</v>
      </c>
      <c r="G162" s="2">
        <v>43845</v>
      </c>
      <c r="H162" t="s">
        <v>14</v>
      </c>
      <c r="I162" t="s">
        <v>53</v>
      </c>
      <c r="J162" t="s">
        <v>29</v>
      </c>
      <c r="M162" t="str">
        <f t="shared" si="19"/>
        <v>Frank</v>
      </c>
      <c r="N162">
        <v>30</v>
      </c>
      <c r="O162">
        <f t="shared" si="20"/>
        <v>30</v>
      </c>
      <c r="P162">
        <v>55000</v>
      </c>
      <c r="Q162">
        <f t="shared" si="21"/>
        <v>55000</v>
      </c>
      <c r="R162" t="str">
        <f t="shared" si="22"/>
        <v>Male</v>
      </c>
      <c r="S162" t="str">
        <f t="shared" si="23"/>
        <v>HR</v>
      </c>
      <c r="T162" t="str">
        <f t="shared" si="24"/>
        <v>Analyst</v>
      </c>
      <c r="U162" s="2">
        <v>43845</v>
      </c>
      <c r="V162" t="s">
        <v>14</v>
      </c>
      <c r="W162" t="s">
        <v>53</v>
      </c>
      <c r="X162" t="str">
        <f t="shared" si="25"/>
        <v>name@company/org</v>
      </c>
      <c r="Y162" t="str">
        <f t="shared" si="26"/>
        <v>name@company.org</v>
      </c>
      <c r="Z162" t="str">
        <f t="shared" si="18"/>
        <v>Phone not provided</v>
      </c>
    </row>
    <row r="163" spans="1:26" x14ac:dyDescent="0.25">
      <c r="A163" t="s">
        <v>22</v>
      </c>
      <c r="B163">
        <v>25</v>
      </c>
      <c r="C163">
        <v>50000</v>
      </c>
      <c r="D163" t="s">
        <v>17</v>
      </c>
      <c r="E163" t="s">
        <v>12</v>
      </c>
      <c r="F163" t="s">
        <v>38</v>
      </c>
      <c r="G163" s="2">
        <v>43845</v>
      </c>
      <c r="H163" t="s">
        <v>20</v>
      </c>
      <c r="I163" t="s">
        <v>15</v>
      </c>
      <c r="J163" t="s">
        <v>39</v>
      </c>
      <c r="M163" t="str">
        <f t="shared" si="19"/>
        <v>Hannah</v>
      </c>
      <c r="N163">
        <v>25</v>
      </c>
      <c r="O163">
        <f t="shared" si="20"/>
        <v>25</v>
      </c>
      <c r="P163">
        <v>50000</v>
      </c>
      <c r="Q163">
        <f t="shared" si="21"/>
        <v>50000</v>
      </c>
      <c r="R163" t="str">
        <f t="shared" si="22"/>
        <v>Female</v>
      </c>
      <c r="S163" t="str">
        <f t="shared" si="23"/>
        <v>HR</v>
      </c>
      <c r="T163" t="str">
        <f t="shared" si="24"/>
        <v>Analyst</v>
      </c>
      <c r="U163" s="2">
        <v>43845</v>
      </c>
      <c r="V163" t="s">
        <v>20</v>
      </c>
      <c r="W163" t="s">
        <v>15</v>
      </c>
      <c r="X163" t="str">
        <f t="shared" si="25"/>
        <v>Email not provided</v>
      </c>
      <c r="Y163" t="str">
        <f t="shared" si="26"/>
        <v>Email not provided</v>
      </c>
      <c r="Z163" t="str">
        <f t="shared" si="18"/>
        <v>555-555-5555</v>
      </c>
    </row>
    <row r="164" spans="1:26" x14ac:dyDescent="0.25">
      <c r="A164" t="s">
        <v>43</v>
      </c>
      <c r="B164">
        <v>40</v>
      </c>
      <c r="C164">
        <v>70000</v>
      </c>
      <c r="D164" t="s">
        <v>11</v>
      </c>
      <c r="E164" t="s">
        <v>23</v>
      </c>
      <c r="F164" t="s">
        <v>13</v>
      </c>
      <c r="G164" s="2">
        <v>43881</v>
      </c>
      <c r="H164" t="s">
        <v>36</v>
      </c>
      <c r="I164" t="s">
        <v>52</v>
      </c>
      <c r="J164" t="s">
        <v>15</v>
      </c>
      <c r="M164" t="str">
        <f t="shared" si="19"/>
        <v>Ivy</v>
      </c>
      <c r="N164">
        <v>40</v>
      </c>
      <c r="O164">
        <f t="shared" si="20"/>
        <v>40</v>
      </c>
      <c r="P164">
        <v>70000</v>
      </c>
      <c r="Q164">
        <f t="shared" si="21"/>
        <v>70000</v>
      </c>
      <c r="R164" t="str">
        <f t="shared" si="22"/>
        <v>Male</v>
      </c>
      <c r="S164" t="str">
        <f t="shared" si="23"/>
        <v>Sales</v>
      </c>
      <c r="T164" t="str">
        <f t="shared" si="24"/>
        <v>Manager</v>
      </c>
      <c r="U164" s="2">
        <v>43881</v>
      </c>
      <c r="V164" t="s">
        <v>36</v>
      </c>
      <c r="W164" t="s">
        <v>52</v>
      </c>
      <c r="X164" t="str">
        <f t="shared" si="25"/>
        <v>user@domain/com</v>
      </c>
      <c r="Y164" t="str">
        <f t="shared" si="26"/>
        <v>user@domain.com</v>
      </c>
      <c r="Z164" t="str">
        <f t="shared" si="18"/>
        <v>Phone not provided</v>
      </c>
    </row>
    <row r="165" spans="1:26" x14ac:dyDescent="0.25">
      <c r="A165" t="s">
        <v>16</v>
      </c>
      <c r="B165" t="s">
        <v>15</v>
      </c>
      <c r="C165">
        <v>55000</v>
      </c>
      <c r="D165" t="s">
        <v>11</v>
      </c>
      <c r="E165" t="s">
        <v>33</v>
      </c>
      <c r="F165" t="s">
        <v>37</v>
      </c>
      <c r="G165" s="2">
        <v>43549</v>
      </c>
      <c r="H165" t="s">
        <v>20</v>
      </c>
      <c r="I165" t="s">
        <v>52</v>
      </c>
      <c r="J165" t="s">
        <v>39</v>
      </c>
      <c r="M165" t="str">
        <f t="shared" si="19"/>
        <v>David</v>
      </c>
      <c r="N165" t="s">
        <v>15</v>
      </c>
      <c r="O165">
        <f t="shared" si="20"/>
        <v>35</v>
      </c>
      <c r="P165">
        <v>55000</v>
      </c>
      <c r="Q165">
        <f t="shared" si="21"/>
        <v>55000</v>
      </c>
      <c r="R165" t="str">
        <f t="shared" si="22"/>
        <v>Male</v>
      </c>
      <c r="S165" t="str">
        <f t="shared" si="23"/>
        <v>Marketing</v>
      </c>
      <c r="T165" t="str">
        <f t="shared" si="24"/>
        <v>Assistant</v>
      </c>
      <c r="U165" s="2">
        <v>43549</v>
      </c>
      <c r="V165" t="s">
        <v>20</v>
      </c>
      <c r="W165" t="s">
        <v>52</v>
      </c>
      <c r="X165" t="str">
        <f t="shared" si="25"/>
        <v>user@domain/com</v>
      </c>
      <c r="Y165" t="str">
        <f t="shared" si="26"/>
        <v>user@domain.com</v>
      </c>
      <c r="Z165" t="str">
        <f t="shared" si="18"/>
        <v>555-555-5555</v>
      </c>
    </row>
    <row r="166" spans="1:26" x14ac:dyDescent="0.25">
      <c r="A166" t="s">
        <v>42</v>
      </c>
      <c r="B166">
        <v>35</v>
      </c>
      <c r="C166">
        <v>50000</v>
      </c>
      <c r="D166" t="s">
        <v>11</v>
      </c>
      <c r="E166" t="s">
        <v>23</v>
      </c>
      <c r="F166" t="s">
        <v>38</v>
      </c>
      <c r="G166" s="2">
        <v>43845</v>
      </c>
      <c r="H166" t="s">
        <v>24</v>
      </c>
      <c r="J166" t="s">
        <v>29</v>
      </c>
      <c r="M166" t="str">
        <f t="shared" si="19"/>
        <v>Alice</v>
      </c>
      <c r="N166">
        <v>35</v>
      </c>
      <c r="O166">
        <f t="shared" si="20"/>
        <v>35</v>
      </c>
      <c r="P166">
        <v>50000</v>
      </c>
      <c r="Q166">
        <f t="shared" si="21"/>
        <v>50000</v>
      </c>
      <c r="R166" t="str">
        <f t="shared" si="22"/>
        <v>Male</v>
      </c>
      <c r="S166" t="str">
        <f t="shared" si="23"/>
        <v>Sales</v>
      </c>
      <c r="T166" t="str">
        <f t="shared" si="24"/>
        <v>Analyst</v>
      </c>
      <c r="U166" s="2">
        <v>43845</v>
      </c>
      <c r="V166" t="s">
        <v>24</v>
      </c>
      <c r="X166" t="str">
        <f t="shared" si="25"/>
        <v>Email not provided</v>
      </c>
      <c r="Y166" t="str">
        <f t="shared" si="26"/>
        <v>Email not provided</v>
      </c>
      <c r="Z166" t="str">
        <f t="shared" si="18"/>
        <v>Phone not provided</v>
      </c>
    </row>
    <row r="167" spans="1:26" x14ac:dyDescent="0.25">
      <c r="A167" t="s">
        <v>42</v>
      </c>
      <c r="B167">
        <v>30</v>
      </c>
      <c r="C167">
        <v>55000</v>
      </c>
      <c r="D167" t="s">
        <v>17</v>
      </c>
      <c r="E167" t="s">
        <v>23</v>
      </c>
      <c r="F167" t="s">
        <v>37</v>
      </c>
      <c r="G167" s="2">
        <v>43881</v>
      </c>
      <c r="H167" t="s">
        <v>20</v>
      </c>
      <c r="I167" t="s">
        <v>52</v>
      </c>
      <c r="J167" t="s">
        <v>39</v>
      </c>
      <c r="M167" t="str">
        <f t="shared" si="19"/>
        <v>Alice</v>
      </c>
      <c r="N167">
        <v>30</v>
      </c>
      <c r="O167">
        <f t="shared" si="20"/>
        <v>30</v>
      </c>
      <c r="P167">
        <v>55000</v>
      </c>
      <c r="Q167">
        <f t="shared" si="21"/>
        <v>55000</v>
      </c>
      <c r="R167" t="str">
        <f t="shared" si="22"/>
        <v>Female</v>
      </c>
      <c r="S167" t="str">
        <f t="shared" si="23"/>
        <v>Sales</v>
      </c>
      <c r="T167" t="str">
        <f t="shared" si="24"/>
        <v>Assistant</v>
      </c>
      <c r="U167" s="2">
        <v>43881</v>
      </c>
      <c r="V167" t="s">
        <v>20</v>
      </c>
      <c r="W167" t="s">
        <v>52</v>
      </c>
      <c r="X167" t="str">
        <f t="shared" si="25"/>
        <v>user@domain/com</v>
      </c>
      <c r="Y167" t="str">
        <f t="shared" si="26"/>
        <v>user@domain.com</v>
      </c>
      <c r="Z167" t="str">
        <f t="shared" si="18"/>
        <v>555-555-5555</v>
      </c>
    </row>
    <row r="168" spans="1:26" x14ac:dyDescent="0.25">
      <c r="A168" t="s">
        <v>31</v>
      </c>
      <c r="B168">
        <v>30</v>
      </c>
      <c r="C168">
        <v>60000</v>
      </c>
      <c r="D168" t="s">
        <v>32</v>
      </c>
      <c r="E168" t="s">
        <v>23</v>
      </c>
      <c r="F168" t="s">
        <v>37</v>
      </c>
      <c r="G168" s="1">
        <v>43195</v>
      </c>
      <c r="H168" t="s">
        <v>20</v>
      </c>
      <c r="I168" t="s">
        <v>51</v>
      </c>
      <c r="J168" t="s">
        <v>15</v>
      </c>
      <c r="M168" t="str">
        <f t="shared" si="19"/>
        <v>Jack</v>
      </c>
      <c r="N168">
        <v>30</v>
      </c>
      <c r="O168">
        <f t="shared" si="20"/>
        <v>30</v>
      </c>
      <c r="P168">
        <v>60000</v>
      </c>
      <c r="Q168">
        <f t="shared" si="21"/>
        <v>60000</v>
      </c>
      <c r="R168" t="str">
        <f t="shared" si="22"/>
        <v>Other</v>
      </c>
      <c r="S168" t="str">
        <f t="shared" si="23"/>
        <v>Sales</v>
      </c>
      <c r="T168" t="str">
        <f t="shared" si="24"/>
        <v>Assistant</v>
      </c>
      <c r="U168" s="2">
        <v>43195</v>
      </c>
      <c r="V168" t="s">
        <v>20</v>
      </c>
      <c r="W168" t="s">
        <v>51</v>
      </c>
      <c r="X168" t="str">
        <f t="shared" si="25"/>
        <v>email@example/com</v>
      </c>
      <c r="Y168" t="str">
        <f t="shared" si="26"/>
        <v>email@example.com</v>
      </c>
      <c r="Z168" t="str">
        <f t="shared" si="18"/>
        <v>Phone not provided</v>
      </c>
    </row>
    <row r="169" spans="1:26" x14ac:dyDescent="0.25">
      <c r="A169" t="s">
        <v>16</v>
      </c>
      <c r="B169">
        <v>35</v>
      </c>
      <c r="C169">
        <v>70000</v>
      </c>
      <c r="D169" t="s">
        <v>11</v>
      </c>
      <c r="E169" t="s">
        <v>12</v>
      </c>
      <c r="F169" t="s">
        <v>35</v>
      </c>
      <c r="G169" s="2">
        <v>43881</v>
      </c>
      <c r="H169" t="s">
        <v>28</v>
      </c>
      <c r="I169" t="s">
        <v>15</v>
      </c>
      <c r="J169" t="s">
        <v>15</v>
      </c>
      <c r="M169" t="str">
        <f t="shared" si="19"/>
        <v>David</v>
      </c>
      <c r="N169">
        <v>35</v>
      </c>
      <c r="O169">
        <f t="shared" si="20"/>
        <v>35</v>
      </c>
      <c r="P169">
        <v>70000</v>
      </c>
      <c r="Q169">
        <f t="shared" si="21"/>
        <v>70000</v>
      </c>
      <c r="R169" t="str">
        <f t="shared" si="22"/>
        <v>Male</v>
      </c>
      <c r="S169" t="str">
        <f t="shared" si="23"/>
        <v>HR</v>
      </c>
      <c r="T169" t="str">
        <f t="shared" si="24"/>
        <v>Clerk</v>
      </c>
      <c r="U169" s="2">
        <v>43881</v>
      </c>
      <c r="V169" t="s">
        <v>28</v>
      </c>
      <c r="W169" t="s">
        <v>15</v>
      </c>
      <c r="X169" t="str">
        <f t="shared" si="25"/>
        <v>Email not provided</v>
      </c>
      <c r="Y169" t="str">
        <f t="shared" si="26"/>
        <v>Email not provided</v>
      </c>
      <c r="Z169" t="str">
        <f t="shared" si="18"/>
        <v>Phone not provided</v>
      </c>
    </row>
    <row r="170" spans="1:26" x14ac:dyDescent="0.25">
      <c r="A170" t="s">
        <v>10</v>
      </c>
      <c r="B170" t="s">
        <v>15</v>
      </c>
      <c r="C170">
        <v>65000</v>
      </c>
      <c r="D170" t="s">
        <v>32</v>
      </c>
      <c r="E170" t="s">
        <v>12</v>
      </c>
      <c r="F170" t="s">
        <v>13</v>
      </c>
      <c r="G170" s="2">
        <v>43881</v>
      </c>
      <c r="H170" t="s">
        <v>28</v>
      </c>
      <c r="I170" t="s">
        <v>53</v>
      </c>
      <c r="J170" t="s">
        <v>39</v>
      </c>
      <c r="M170" t="str">
        <f t="shared" si="19"/>
        <v>Grace</v>
      </c>
      <c r="N170" t="s">
        <v>15</v>
      </c>
      <c r="O170">
        <f t="shared" si="20"/>
        <v>35</v>
      </c>
      <c r="P170">
        <v>65000</v>
      </c>
      <c r="Q170">
        <f t="shared" si="21"/>
        <v>65000</v>
      </c>
      <c r="R170" t="str">
        <f t="shared" si="22"/>
        <v>Other</v>
      </c>
      <c r="S170" t="str">
        <f t="shared" si="23"/>
        <v>HR</v>
      </c>
      <c r="T170" t="str">
        <f t="shared" si="24"/>
        <v>Manager</v>
      </c>
      <c r="U170" s="2">
        <v>43881</v>
      </c>
      <c r="V170" t="s">
        <v>28</v>
      </c>
      <c r="W170" t="s">
        <v>53</v>
      </c>
      <c r="X170" t="str">
        <f t="shared" si="25"/>
        <v>name@company/org</v>
      </c>
      <c r="Y170" t="str">
        <f t="shared" si="26"/>
        <v>name@company.org</v>
      </c>
      <c r="Z170" t="str">
        <f t="shared" si="18"/>
        <v>555-555-5555</v>
      </c>
    </row>
    <row r="171" spans="1:26" x14ac:dyDescent="0.25">
      <c r="A171" t="s">
        <v>41</v>
      </c>
      <c r="B171" t="s">
        <v>15</v>
      </c>
      <c r="C171">
        <v>55000</v>
      </c>
      <c r="D171" t="s">
        <v>11</v>
      </c>
      <c r="E171" t="s">
        <v>23</v>
      </c>
      <c r="F171" t="s">
        <v>37</v>
      </c>
      <c r="G171" s="2">
        <v>43845</v>
      </c>
      <c r="H171" t="s">
        <v>28</v>
      </c>
      <c r="I171" t="s">
        <v>15</v>
      </c>
      <c r="J171" t="s">
        <v>15</v>
      </c>
      <c r="M171" t="str">
        <f t="shared" si="19"/>
        <v>Bob</v>
      </c>
      <c r="N171" t="s">
        <v>15</v>
      </c>
      <c r="O171">
        <f t="shared" si="20"/>
        <v>35</v>
      </c>
      <c r="P171">
        <v>55000</v>
      </c>
      <c r="Q171">
        <f t="shared" si="21"/>
        <v>55000</v>
      </c>
      <c r="R171" t="str">
        <f t="shared" si="22"/>
        <v>Male</v>
      </c>
      <c r="S171" t="str">
        <f t="shared" si="23"/>
        <v>Sales</v>
      </c>
      <c r="T171" t="str">
        <f t="shared" si="24"/>
        <v>Assistant</v>
      </c>
      <c r="U171" s="2">
        <v>43845</v>
      </c>
      <c r="V171" t="s">
        <v>28</v>
      </c>
      <c r="W171" t="s">
        <v>15</v>
      </c>
      <c r="X171" t="str">
        <f t="shared" si="25"/>
        <v>Email not provided</v>
      </c>
      <c r="Y171" t="str">
        <f t="shared" si="26"/>
        <v>Email not provided</v>
      </c>
      <c r="Z171" t="str">
        <f t="shared" si="18"/>
        <v>Phone not provided</v>
      </c>
    </row>
    <row r="172" spans="1:26" x14ac:dyDescent="0.25">
      <c r="A172" t="s">
        <v>34</v>
      </c>
      <c r="B172">
        <v>40</v>
      </c>
      <c r="C172">
        <v>60000</v>
      </c>
      <c r="D172" t="s">
        <v>32</v>
      </c>
      <c r="E172" t="s">
        <v>12</v>
      </c>
      <c r="F172" t="s">
        <v>19</v>
      </c>
      <c r="G172" s="2">
        <v>43800</v>
      </c>
      <c r="H172" t="s">
        <v>20</v>
      </c>
      <c r="I172" t="s">
        <v>52</v>
      </c>
      <c r="J172" t="s">
        <v>15</v>
      </c>
      <c r="M172" t="str">
        <f t="shared" si="19"/>
        <v>Charlie</v>
      </c>
      <c r="N172">
        <v>40</v>
      </c>
      <c r="O172">
        <f t="shared" si="20"/>
        <v>40</v>
      </c>
      <c r="P172">
        <v>60000</v>
      </c>
      <c r="Q172">
        <f t="shared" si="21"/>
        <v>60000</v>
      </c>
      <c r="R172" t="str">
        <f t="shared" si="22"/>
        <v>Other</v>
      </c>
      <c r="S172" t="str">
        <f t="shared" si="23"/>
        <v>HR</v>
      </c>
      <c r="T172" t="str">
        <f t="shared" si="24"/>
        <v>Director</v>
      </c>
      <c r="U172" s="2">
        <v>43800</v>
      </c>
      <c r="V172" t="s">
        <v>20</v>
      </c>
      <c r="W172" t="s">
        <v>52</v>
      </c>
      <c r="X172" t="str">
        <f t="shared" si="25"/>
        <v>user@domain/com</v>
      </c>
      <c r="Y172" t="str">
        <f t="shared" si="26"/>
        <v>user@domain.com</v>
      </c>
      <c r="Z172" t="str">
        <f t="shared" si="18"/>
        <v>Phone not provided</v>
      </c>
    </row>
    <row r="173" spans="1:26" x14ac:dyDescent="0.25">
      <c r="A173" t="s">
        <v>42</v>
      </c>
      <c r="B173">
        <v>40</v>
      </c>
      <c r="C173">
        <v>65000</v>
      </c>
      <c r="D173" t="s">
        <v>17</v>
      </c>
      <c r="E173" t="s">
        <v>33</v>
      </c>
      <c r="F173" t="s">
        <v>13</v>
      </c>
      <c r="G173" s="2">
        <v>43800</v>
      </c>
      <c r="H173" t="s">
        <v>36</v>
      </c>
      <c r="I173" t="s">
        <v>53</v>
      </c>
      <c r="J173" t="s">
        <v>39</v>
      </c>
      <c r="M173" t="str">
        <f t="shared" si="19"/>
        <v>Alice</v>
      </c>
      <c r="N173">
        <v>40</v>
      </c>
      <c r="O173">
        <f t="shared" si="20"/>
        <v>40</v>
      </c>
      <c r="P173">
        <v>65000</v>
      </c>
      <c r="Q173">
        <f t="shared" si="21"/>
        <v>65000</v>
      </c>
      <c r="R173" t="str">
        <f t="shared" si="22"/>
        <v>Female</v>
      </c>
      <c r="S173" t="str">
        <f t="shared" si="23"/>
        <v>Marketing</v>
      </c>
      <c r="T173" t="str">
        <f t="shared" si="24"/>
        <v>Manager</v>
      </c>
      <c r="U173" s="2">
        <v>43800</v>
      </c>
      <c r="V173" t="s">
        <v>36</v>
      </c>
      <c r="W173" t="s">
        <v>53</v>
      </c>
      <c r="X173" t="str">
        <f t="shared" si="25"/>
        <v>name@company/org</v>
      </c>
      <c r="Y173" t="str">
        <f t="shared" si="26"/>
        <v>name@company.org</v>
      </c>
      <c r="Z173" t="str">
        <f t="shared" si="18"/>
        <v>555-555-5555</v>
      </c>
    </row>
    <row r="174" spans="1:26" x14ac:dyDescent="0.25">
      <c r="A174" t="s">
        <v>26</v>
      </c>
      <c r="B174">
        <v>50</v>
      </c>
      <c r="C174">
        <v>65000</v>
      </c>
      <c r="D174" t="s">
        <v>17</v>
      </c>
      <c r="E174" t="s">
        <v>23</v>
      </c>
      <c r="F174" t="s">
        <v>38</v>
      </c>
      <c r="G174" s="2">
        <v>43800</v>
      </c>
      <c r="H174" t="s">
        <v>24</v>
      </c>
      <c r="J174" t="s">
        <v>29</v>
      </c>
      <c r="M174" t="str">
        <f t="shared" si="19"/>
        <v>Eve</v>
      </c>
      <c r="N174">
        <v>50</v>
      </c>
      <c r="O174">
        <f t="shared" si="20"/>
        <v>50</v>
      </c>
      <c r="P174">
        <v>65000</v>
      </c>
      <c r="Q174">
        <f t="shared" si="21"/>
        <v>65000</v>
      </c>
      <c r="R174" t="str">
        <f t="shared" si="22"/>
        <v>Female</v>
      </c>
      <c r="S174" t="str">
        <f t="shared" si="23"/>
        <v>Sales</v>
      </c>
      <c r="T174" t="str">
        <f t="shared" si="24"/>
        <v>Analyst</v>
      </c>
      <c r="U174" s="2">
        <v>43800</v>
      </c>
      <c r="V174" t="s">
        <v>24</v>
      </c>
      <c r="X174" t="str">
        <f t="shared" si="25"/>
        <v>Email not provided</v>
      </c>
      <c r="Y174" t="str">
        <f t="shared" si="26"/>
        <v>Email not provided</v>
      </c>
      <c r="Z174" t="str">
        <f t="shared" si="18"/>
        <v>Phone not provided</v>
      </c>
    </row>
    <row r="175" spans="1:26" x14ac:dyDescent="0.25">
      <c r="A175" t="s">
        <v>42</v>
      </c>
      <c r="B175">
        <v>50</v>
      </c>
      <c r="C175">
        <v>55000</v>
      </c>
      <c r="D175" t="s">
        <v>11</v>
      </c>
      <c r="E175" t="s">
        <v>12</v>
      </c>
      <c r="F175" t="s">
        <v>35</v>
      </c>
      <c r="G175" s="2">
        <v>43881</v>
      </c>
      <c r="H175" t="s">
        <v>24</v>
      </c>
      <c r="I175" t="s">
        <v>15</v>
      </c>
      <c r="J175" t="s">
        <v>15</v>
      </c>
      <c r="M175" t="str">
        <f t="shared" si="19"/>
        <v>Alice</v>
      </c>
      <c r="N175">
        <v>50</v>
      </c>
      <c r="O175">
        <f t="shared" si="20"/>
        <v>50</v>
      </c>
      <c r="P175">
        <v>55000</v>
      </c>
      <c r="Q175">
        <f t="shared" si="21"/>
        <v>55000</v>
      </c>
      <c r="R175" t="str">
        <f t="shared" si="22"/>
        <v>Male</v>
      </c>
      <c r="S175" t="str">
        <f t="shared" si="23"/>
        <v>HR</v>
      </c>
      <c r="T175" t="str">
        <f t="shared" si="24"/>
        <v>Clerk</v>
      </c>
      <c r="U175" s="2">
        <v>43881</v>
      </c>
      <c r="V175" t="s">
        <v>24</v>
      </c>
      <c r="W175" t="s">
        <v>15</v>
      </c>
      <c r="X175" t="str">
        <f t="shared" si="25"/>
        <v>Email not provided</v>
      </c>
      <c r="Y175" t="str">
        <f t="shared" si="26"/>
        <v>Email not provided</v>
      </c>
      <c r="Z175" t="str">
        <f t="shared" si="18"/>
        <v>Phone not provided</v>
      </c>
    </row>
    <row r="176" spans="1:26" x14ac:dyDescent="0.25">
      <c r="A176" t="s">
        <v>22</v>
      </c>
      <c r="B176">
        <v>25</v>
      </c>
      <c r="C176">
        <v>50000</v>
      </c>
      <c r="D176" t="s">
        <v>32</v>
      </c>
      <c r="E176" t="s">
        <v>27</v>
      </c>
      <c r="F176" t="s">
        <v>38</v>
      </c>
      <c r="G176" s="2">
        <v>43845</v>
      </c>
      <c r="H176" t="s">
        <v>36</v>
      </c>
      <c r="I176" t="s">
        <v>53</v>
      </c>
      <c r="J176" t="s">
        <v>15</v>
      </c>
      <c r="M176" t="str">
        <f t="shared" si="19"/>
        <v>Hannah</v>
      </c>
      <c r="N176">
        <v>25</v>
      </c>
      <c r="O176">
        <f t="shared" si="20"/>
        <v>25</v>
      </c>
      <c r="P176">
        <v>50000</v>
      </c>
      <c r="Q176">
        <f t="shared" si="21"/>
        <v>50000</v>
      </c>
      <c r="R176" t="str">
        <f t="shared" si="22"/>
        <v>Other</v>
      </c>
      <c r="S176" t="str">
        <f t="shared" si="23"/>
        <v>IT</v>
      </c>
      <c r="T176" t="str">
        <f t="shared" si="24"/>
        <v>Analyst</v>
      </c>
      <c r="U176" s="2">
        <v>43845</v>
      </c>
      <c r="V176" t="s">
        <v>36</v>
      </c>
      <c r="W176" t="s">
        <v>53</v>
      </c>
      <c r="X176" t="str">
        <f t="shared" si="25"/>
        <v>name@company/org</v>
      </c>
      <c r="Y176" t="str">
        <f t="shared" si="26"/>
        <v>name@company.org</v>
      </c>
      <c r="Z176" t="str">
        <f t="shared" si="18"/>
        <v>Phone not provided</v>
      </c>
    </row>
    <row r="177" spans="1:26" x14ac:dyDescent="0.25">
      <c r="A177" t="s">
        <v>42</v>
      </c>
      <c r="B177">
        <v>30</v>
      </c>
      <c r="C177">
        <v>55000</v>
      </c>
      <c r="D177" t="s">
        <v>17</v>
      </c>
      <c r="E177" t="s">
        <v>23</v>
      </c>
      <c r="F177" t="s">
        <v>38</v>
      </c>
      <c r="G177" s="2">
        <v>43549</v>
      </c>
      <c r="H177" t="s">
        <v>36</v>
      </c>
      <c r="I177" t="s">
        <v>53</v>
      </c>
      <c r="J177" t="s">
        <v>15</v>
      </c>
      <c r="M177" t="str">
        <f t="shared" si="19"/>
        <v>Alice</v>
      </c>
      <c r="N177">
        <v>30</v>
      </c>
      <c r="O177">
        <f t="shared" si="20"/>
        <v>30</v>
      </c>
      <c r="P177">
        <v>55000</v>
      </c>
      <c r="Q177">
        <f t="shared" si="21"/>
        <v>55000</v>
      </c>
      <c r="R177" t="str">
        <f t="shared" si="22"/>
        <v>Female</v>
      </c>
      <c r="S177" t="str">
        <f t="shared" si="23"/>
        <v>Sales</v>
      </c>
      <c r="T177" t="str">
        <f t="shared" si="24"/>
        <v>Analyst</v>
      </c>
      <c r="U177" s="2">
        <v>43549</v>
      </c>
      <c r="V177" t="s">
        <v>36</v>
      </c>
      <c r="W177" t="s">
        <v>53</v>
      </c>
      <c r="X177" t="str">
        <f t="shared" si="25"/>
        <v>name@company/org</v>
      </c>
      <c r="Y177" t="str">
        <f t="shared" si="26"/>
        <v>name@company.org</v>
      </c>
      <c r="Z177" t="str">
        <f t="shared" si="18"/>
        <v>Phone not provided</v>
      </c>
    </row>
    <row r="178" spans="1:26" x14ac:dyDescent="0.25">
      <c r="A178" t="s">
        <v>42</v>
      </c>
      <c r="B178">
        <v>40</v>
      </c>
      <c r="C178">
        <v>60000</v>
      </c>
      <c r="D178" t="s">
        <v>11</v>
      </c>
      <c r="E178" t="s">
        <v>23</v>
      </c>
      <c r="F178" t="s">
        <v>13</v>
      </c>
      <c r="G178" s="2">
        <v>43881</v>
      </c>
      <c r="H178" t="s">
        <v>24</v>
      </c>
      <c r="I178" t="s">
        <v>53</v>
      </c>
      <c r="J178" t="s">
        <v>15</v>
      </c>
      <c r="M178" t="str">
        <f t="shared" si="19"/>
        <v>Alice</v>
      </c>
      <c r="N178">
        <v>40</v>
      </c>
      <c r="O178">
        <f t="shared" si="20"/>
        <v>40</v>
      </c>
      <c r="P178">
        <v>60000</v>
      </c>
      <c r="Q178">
        <f t="shared" si="21"/>
        <v>60000</v>
      </c>
      <c r="R178" t="str">
        <f t="shared" si="22"/>
        <v>Male</v>
      </c>
      <c r="S178" t="str">
        <f t="shared" si="23"/>
        <v>Sales</v>
      </c>
      <c r="T178" t="str">
        <f t="shared" si="24"/>
        <v>Manager</v>
      </c>
      <c r="U178" s="2">
        <v>43881</v>
      </c>
      <c r="V178" t="s">
        <v>24</v>
      </c>
      <c r="W178" t="s">
        <v>53</v>
      </c>
      <c r="X178" t="str">
        <f t="shared" si="25"/>
        <v>name@company/org</v>
      </c>
      <c r="Y178" t="str">
        <f t="shared" si="26"/>
        <v>name@company.org</v>
      </c>
      <c r="Z178" t="str">
        <f t="shared" si="18"/>
        <v>Phone not provided</v>
      </c>
    </row>
    <row r="179" spans="1:26" x14ac:dyDescent="0.25">
      <c r="A179" t="s">
        <v>41</v>
      </c>
      <c r="B179" t="s">
        <v>15</v>
      </c>
      <c r="C179">
        <v>65000</v>
      </c>
      <c r="D179" t="s">
        <v>11</v>
      </c>
      <c r="E179" t="s">
        <v>33</v>
      </c>
      <c r="F179" t="s">
        <v>38</v>
      </c>
      <c r="G179" s="2">
        <v>43881</v>
      </c>
      <c r="H179" t="s">
        <v>14</v>
      </c>
      <c r="I179" t="s">
        <v>51</v>
      </c>
      <c r="J179" t="s">
        <v>39</v>
      </c>
      <c r="M179" t="str">
        <f t="shared" si="19"/>
        <v>Bob</v>
      </c>
      <c r="N179" t="s">
        <v>15</v>
      </c>
      <c r="O179">
        <f t="shared" si="20"/>
        <v>35</v>
      </c>
      <c r="P179">
        <v>65000</v>
      </c>
      <c r="Q179">
        <f t="shared" si="21"/>
        <v>65000</v>
      </c>
      <c r="R179" t="str">
        <f t="shared" si="22"/>
        <v>Male</v>
      </c>
      <c r="S179" t="str">
        <f t="shared" si="23"/>
        <v>Marketing</v>
      </c>
      <c r="T179" t="str">
        <f t="shared" si="24"/>
        <v>Analyst</v>
      </c>
      <c r="U179" s="2">
        <v>43881</v>
      </c>
      <c r="V179" t="s">
        <v>14</v>
      </c>
      <c r="W179" t="s">
        <v>51</v>
      </c>
      <c r="X179" t="str">
        <f t="shared" si="25"/>
        <v>email@example/com</v>
      </c>
      <c r="Y179" t="str">
        <f t="shared" si="26"/>
        <v>email@example.com</v>
      </c>
      <c r="Z179" t="str">
        <f t="shared" si="18"/>
        <v>555-555-5555</v>
      </c>
    </row>
    <row r="180" spans="1:26" x14ac:dyDescent="0.25">
      <c r="A180" t="s">
        <v>41</v>
      </c>
      <c r="B180">
        <v>35</v>
      </c>
      <c r="C180">
        <v>55000</v>
      </c>
      <c r="D180" t="s">
        <v>17</v>
      </c>
      <c r="E180" t="s">
        <v>18</v>
      </c>
      <c r="F180" t="s">
        <v>37</v>
      </c>
      <c r="G180" s="2">
        <v>43845</v>
      </c>
      <c r="H180" t="s">
        <v>28</v>
      </c>
      <c r="I180" t="s">
        <v>15</v>
      </c>
      <c r="J180" t="s">
        <v>29</v>
      </c>
      <c r="M180" t="str">
        <f t="shared" si="19"/>
        <v>Bob</v>
      </c>
      <c r="N180">
        <v>35</v>
      </c>
      <c r="O180">
        <f t="shared" si="20"/>
        <v>35</v>
      </c>
      <c r="P180">
        <v>55000</v>
      </c>
      <c r="Q180">
        <f t="shared" si="21"/>
        <v>55000</v>
      </c>
      <c r="R180" t="str">
        <f t="shared" si="22"/>
        <v>Female</v>
      </c>
      <c r="S180" t="str">
        <f t="shared" si="23"/>
        <v>Finance</v>
      </c>
      <c r="T180" t="str">
        <f t="shared" si="24"/>
        <v>Assistant</v>
      </c>
      <c r="U180" s="2">
        <v>43845</v>
      </c>
      <c r="V180" t="s">
        <v>28</v>
      </c>
      <c r="W180" t="s">
        <v>15</v>
      </c>
      <c r="X180" t="str">
        <f t="shared" si="25"/>
        <v>Email not provided</v>
      </c>
      <c r="Y180" t="str">
        <f t="shared" si="26"/>
        <v>Email not provided</v>
      </c>
      <c r="Z180" t="str">
        <f t="shared" si="18"/>
        <v>Phone not provided</v>
      </c>
    </row>
    <row r="181" spans="1:26" x14ac:dyDescent="0.25">
      <c r="A181" t="s">
        <v>40</v>
      </c>
      <c r="B181" t="s">
        <v>15</v>
      </c>
      <c r="C181">
        <v>50000</v>
      </c>
      <c r="D181" t="s">
        <v>17</v>
      </c>
      <c r="E181" t="s">
        <v>18</v>
      </c>
      <c r="F181" t="s">
        <v>38</v>
      </c>
      <c r="G181" s="1">
        <v>43195</v>
      </c>
      <c r="H181" t="s">
        <v>28</v>
      </c>
      <c r="I181" t="s">
        <v>53</v>
      </c>
      <c r="J181" t="s">
        <v>29</v>
      </c>
      <c r="M181" t="str">
        <f t="shared" si="19"/>
        <v>Frank</v>
      </c>
      <c r="N181" t="s">
        <v>15</v>
      </c>
      <c r="O181">
        <f t="shared" si="20"/>
        <v>35</v>
      </c>
      <c r="P181">
        <v>50000</v>
      </c>
      <c r="Q181">
        <f t="shared" si="21"/>
        <v>50000</v>
      </c>
      <c r="R181" t="str">
        <f t="shared" si="22"/>
        <v>Female</v>
      </c>
      <c r="S181" t="str">
        <f t="shared" si="23"/>
        <v>Finance</v>
      </c>
      <c r="T181" t="str">
        <f t="shared" si="24"/>
        <v>Analyst</v>
      </c>
      <c r="U181" s="2">
        <v>43195</v>
      </c>
      <c r="V181" t="s">
        <v>28</v>
      </c>
      <c r="W181" t="s">
        <v>53</v>
      </c>
      <c r="X181" t="str">
        <f t="shared" si="25"/>
        <v>name@company/org</v>
      </c>
      <c r="Y181" t="str">
        <f t="shared" si="26"/>
        <v>name@company.org</v>
      </c>
      <c r="Z181" t="str">
        <f t="shared" si="18"/>
        <v>Phone not provided</v>
      </c>
    </row>
    <row r="182" spans="1:26" x14ac:dyDescent="0.25">
      <c r="A182" t="s">
        <v>10</v>
      </c>
      <c r="B182">
        <v>30</v>
      </c>
      <c r="C182">
        <v>55000</v>
      </c>
      <c r="D182" t="s">
        <v>11</v>
      </c>
      <c r="E182" t="s">
        <v>33</v>
      </c>
      <c r="F182" t="s">
        <v>35</v>
      </c>
      <c r="G182" s="2">
        <v>43881</v>
      </c>
      <c r="H182" t="s">
        <v>24</v>
      </c>
      <c r="I182" t="s">
        <v>15</v>
      </c>
      <c r="J182" t="s">
        <v>21</v>
      </c>
      <c r="M182" t="str">
        <f t="shared" si="19"/>
        <v>Grace</v>
      </c>
      <c r="N182">
        <v>30</v>
      </c>
      <c r="O182">
        <f t="shared" si="20"/>
        <v>30</v>
      </c>
      <c r="P182">
        <v>55000</v>
      </c>
      <c r="Q182">
        <f t="shared" si="21"/>
        <v>55000</v>
      </c>
      <c r="R182" t="str">
        <f t="shared" si="22"/>
        <v>Male</v>
      </c>
      <c r="S182" t="str">
        <f t="shared" si="23"/>
        <v>Marketing</v>
      </c>
      <c r="T182" t="str">
        <f t="shared" si="24"/>
        <v>Clerk</v>
      </c>
      <c r="U182" s="2">
        <v>43881</v>
      </c>
      <c r="V182" t="s">
        <v>24</v>
      </c>
      <c r="W182" t="s">
        <v>15</v>
      </c>
      <c r="X182" t="str">
        <f t="shared" si="25"/>
        <v>Email not provided</v>
      </c>
      <c r="Y182" t="str">
        <f t="shared" si="26"/>
        <v>Email not provided</v>
      </c>
      <c r="Z182" t="str">
        <f t="shared" si="18"/>
        <v>123-456-7890</v>
      </c>
    </row>
    <row r="183" spans="1:26" x14ac:dyDescent="0.25">
      <c r="A183" t="s">
        <v>26</v>
      </c>
      <c r="B183">
        <v>50</v>
      </c>
      <c r="C183">
        <v>70000</v>
      </c>
      <c r="D183" t="s">
        <v>32</v>
      </c>
      <c r="E183" t="s">
        <v>33</v>
      </c>
      <c r="F183" t="s">
        <v>35</v>
      </c>
      <c r="G183" s="1">
        <v>43195</v>
      </c>
      <c r="H183" t="s">
        <v>36</v>
      </c>
      <c r="I183" t="s">
        <v>53</v>
      </c>
      <c r="J183" t="s">
        <v>15</v>
      </c>
      <c r="M183" t="str">
        <f t="shared" si="19"/>
        <v>Eve</v>
      </c>
      <c r="N183">
        <v>50</v>
      </c>
      <c r="O183">
        <f t="shared" si="20"/>
        <v>50</v>
      </c>
      <c r="P183">
        <v>70000</v>
      </c>
      <c r="Q183">
        <f t="shared" si="21"/>
        <v>70000</v>
      </c>
      <c r="R183" t="str">
        <f t="shared" si="22"/>
        <v>Other</v>
      </c>
      <c r="S183" t="str">
        <f t="shared" si="23"/>
        <v>Marketing</v>
      </c>
      <c r="T183" t="str">
        <f t="shared" si="24"/>
        <v>Clerk</v>
      </c>
      <c r="U183" s="2">
        <v>43195</v>
      </c>
      <c r="V183" t="s">
        <v>36</v>
      </c>
      <c r="W183" t="s">
        <v>53</v>
      </c>
      <c r="X183" t="str">
        <f t="shared" si="25"/>
        <v>name@company/org</v>
      </c>
      <c r="Y183" t="str">
        <f t="shared" si="26"/>
        <v>name@company.org</v>
      </c>
      <c r="Z183" t="str">
        <f t="shared" si="18"/>
        <v>Phone not provided</v>
      </c>
    </row>
    <row r="184" spans="1:26" x14ac:dyDescent="0.25">
      <c r="A184" t="s">
        <v>42</v>
      </c>
      <c r="B184" t="s">
        <v>15</v>
      </c>
      <c r="C184">
        <v>50000</v>
      </c>
      <c r="D184" t="s">
        <v>32</v>
      </c>
      <c r="E184" t="s">
        <v>33</v>
      </c>
      <c r="F184" t="s">
        <v>19</v>
      </c>
      <c r="G184" s="1">
        <v>43195</v>
      </c>
      <c r="H184" t="s">
        <v>14</v>
      </c>
      <c r="J184" t="s">
        <v>15</v>
      </c>
      <c r="M184" t="str">
        <f t="shared" si="19"/>
        <v>Alice</v>
      </c>
      <c r="N184" t="s">
        <v>15</v>
      </c>
      <c r="O184">
        <f t="shared" si="20"/>
        <v>35</v>
      </c>
      <c r="P184">
        <v>50000</v>
      </c>
      <c r="Q184">
        <f t="shared" si="21"/>
        <v>50000</v>
      </c>
      <c r="R184" t="str">
        <f t="shared" si="22"/>
        <v>Other</v>
      </c>
      <c r="S184" t="str">
        <f t="shared" si="23"/>
        <v>Marketing</v>
      </c>
      <c r="T184" t="str">
        <f t="shared" si="24"/>
        <v>Director</v>
      </c>
      <c r="U184" s="2">
        <v>43195</v>
      </c>
      <c r="V184" t="s">
        <v>14</v>
      </c>
      <c r="X184" t="str">
        <f t="shared" si="25"/>
        <v>Email not provided</v>
      </c>
      <c r="Y184" t="str">
        <f t="shared" si="26"/>
        <v>Email not provided</v>
      </c>
      <c r="Z184" t="str">
        <f t="shared" si="18"/>
        <v>Phone not provided</v>
      </c>
    </row>
    <row r="185" spans="1:26" x14ac:dyDescent="0.25">
      <c r="A185" t="s">
        <v>42</v>
      </c>
      <c r="B185">
        <v>25</v>
      </c>
      <c r="C185">
        <v>60000</v>
      </c>
      <c r="D185" t="s">
        <v>32</v>
      </c>
      <c r="E185" t="s">
        <v>18</v>
      </c>
      <c r="F185" t="s">
        <v>35</v>
      </c>
      <c r="G185" s="2">
        <v>43800</v>
      </c>
      <c r="H185" t="s">
        <v>24</v>
      </c>
      <c r="J185" t="s">
        <v>21</v>
      </c>
      <c r="M185" t="str">
        <f t="shared" si="19"/>
        <v>Alice</v>
      </c>
      <c r="N185">
        <v>25</v>
      </c>
      <c r="O185">
        <f t="shared" si="20"/>
        <v>25</v>
      </c>
      <c r="P185">
        <v>60000</v>
      </c>
      <c r="Q185">
        <f t="shared" si="21"/>
        <v>60000</v>
      </c>
      <c r="R185" t="str">
        <f t="shared" si="22"/>
        <v>Other</v>
      </c>
      <c r="S185" t="str">
        <f t="shared" si="23"/>
        <v>Finance</v>
      </c>
      <c r="T185" t="str">
        <f t="shared" si="24"/>
        <v>Clerk</v>
      </c>
      <c r="U185" s="2">
        <v>43800</v>
      </c>
      <c r="V185" t="s">
        <v>24</v>
      </c>
      <c r="X185" t="str">
        <f t="shared" si="25"/>
        <v>Email not provided</v>
      </c>
      <c r="Y185" t="str">
        <f t="shared" si="26"/>
        <v>Email not provided</v>
      </c>
      <c r="Z185" t="str">
        <f t="shared" si="18"/>
        <v>123-456-7890</v>
      </c>
    </row>
    <row r="186" spans="1:26" x14ac:dyDescent="0.25">
      <c r="A186" t="s">
        <v>34</v>
      </c>
      <c r="B186">
        <v>30</v>
      </c>
      <c r="C186">
        <v>65000</v>
      </c>
      <c r="D186" t="s">
        <v>11</v>
      </c>
      <c r="E186" t="s">
        <v>33</v>
      </c>
      <c r="F186" t="s">
        <v>38</v>
      </c>
      <c r="G186" s="2">
        <v>43845</v>
      </c>
      <c r="H186" t="s">
        <v>28</v>
      </c>
      <c r="J186" t="s">
        <v>29</v>
      </c>
      <c r="M186" t="str">
        <f t="shared" si="19"/>
        <v>Charlie</v>
      </c>
      <c r="N186">
        <v>30</v>
      </c>
      <c r="O186">
        <f t="shared" si="20"/>
        <v>30</v>
      </c>
      <c r="P186">
        <v>65000</v>
      </c>
      <c r="Q186">
        <f t="shared" si="21"/>
        <v>65000</v>
      </c>
      <c r="R186" t="str">
        <f t="shared" si="22"/>
        <v>Male</v>
      </c>
      <c r="S186" t="str">
        <f t="shared" si="23"/>
        <v>Marketing</v>
      </c>
      <c r="T186" t="str">
        <f t="shared" si="24"/>
        <v>Analyst</v>
      </c>
      <c r="U186" s="2">
        <v>43845</v>
      </c>
      <c r="V186" t="s">
        <v>28</v>
      </c>
      <c r="X186" t="str">
        <f t="shared" si="25"/>
        <v>Email not provided</v>
      </c>
      <c r="Y186" t="str">
        <f t="shared" si="26"/>
        <v>Email not provided</v>
      </c>
      <c r="Z186" t="str">
        <f t="shared" si="18"/>
        <v>Phone not provided</v>
      </c>
    </row>
    <row r="187" spans="1:26" x14ac:dyDescent="0.25">
      <c r="A187" t="s">
        <v>41</v>
      </c>
      <c r="B187">
        <v>50</v>
      </c>
      <c r="C187">
        <v>55000</v>
      </c>
      <c r="D187" t="s">
        <v>17</v>
      </c>
      <c r="E187" t="s">
        <v>12</v>
      </c>
      <c r="F187" t="s">
        <v>35</v>
      </c>
      <c r="G187" s="1">
        <v>43195</v>
      </c>
      <c r="H187" t="s">
        <v>20</v>
      </c>
      <c r="I187" t="s">
        <v>52</v>
      </c>
      <c r="J187" t="s">
        <v>25</v>
      </c>
      <c r="M187" t="str">
        <f t="shared" si="19"/>
        <v>Bob</v>
      </c>
      <c r="N187">
        <v>50</v>
      </c>
      <c r="O187">
        <f t="shared" si="20"/>
        <v>50</v>
      </c>
      <c r="P187">
        <v>55000</v>
      </c>
      <c r="Q187">
        <f t="shared" si="21"/>
        <v>55000</v>
      </c>
      <c r="R187" t="str">
        <f t="shared" si="22"/>
        <v>Female</v>
      </c>
      <c r="S187" t="str">
        <f t="shared" si="23"/>
        <v>HR</v>
      </c>
      <c r="T187" t="str">
        <f t="shared" si="24"/>
        <v>Clerk</v>
      </c>
      <c r="U187" s="2">
        <v>43195</v>
      </c>
      <c r="V187" t="s">
        <v>20</v>
      </c>
      <c r="W187" t="s">
        <v>52</v>
      </c>
      <c r="X187" t="str">
        <f t="shared" si="25"/>
        <v>user@domain/com</v>
      </c>
      <c r="Y187" t="str">
        <f t="shared" si="26"/>
        <v>user@domain.com</v>
      </c>
      <c r="Z187" t="str">
        <f t="shared" si="18"/>
        <v>098-765-4321</v>
      </c>
    </row>
    <row r="188" spans="1:26" x14ac:dyDescent="0.25">
      <c r="A188" t="s">
        <v>26</v>
      </c>
      <c r="B188">
        <v>35</v>
      </c>
      <c r="C188">
        <v>50000</v>
      </c>
      <c r="D188" t="s">
        <v>11</v>
      </c>
      <c r="E188" t="s">
        <v>23</v>
      </c>
      <c r="F188" t="s">
        <v>13</v>
      </c>
      <c r="G188" s="2">
        <v>43845</v>
      </c>
      <c r="H188" t="s">
        <v>36</v>
      </c>
      <c r="I188" t="s">
        <v>53</v>
      </c>
      <c r="J188" t="s">
        <v>25</v>
      </c>
      <c r="M188" t="str">
        <f t="shared" si="19"/>
        <v>Eve</v>
      </c>
      <c r="N188">
        <v>35</v>
      </c>
      <c r="O188">
        <f t="shared" si="20"/>
        <v>35</v>
      </c>
      <c r="P188">
        <v>50000</v>
      </c>
      <c r="Q188">
        <f t="shared" si="21"/>
        <v>50000</v>
      </c>
      <c r="R188" t="str">
        <f t="shared" si="22"/>
        <v>Male</v>
      </c>
      <c r="S188" t="str">
        <f t="shared" si="23"/>
        <v>Sales</v>
      </c>
      <c r="T188" t="str">
        <f t="shared" si="24"/>
        <v>Manager</v>
      </c>
      <c r="U188" s="2">
        <v>43845</v>
      </c>
      <c r="V188" t="s">
        <v>36</v>
      </c>
      <c r="W188" t="s">
        <v>53</v>
      </c>
      <c r="X188" t="str">
        <f t="shared" si="25"/>
        <v>name@company/org</v>
      </c>
      <c r="Y188" t="str">
        <f t="shared" si="26"/>
        <v>name@company.org</v>
      </c>
      <c r="Z188" t="str">
        <f t="shared" si="18"/>
        <v>098-765-4321</v>
      </c>
    </row>
    <row r="189" spans="1:26" x14ac:dyDescent="0.25">
      <c r="A189" t="s">
        <v>31</v>
      </c>
      <c r="B189">
        <v>50</v>
      </c>
      <c r="C189">
        <v>70000</v>
      </c>
      <c r="D189" t="s">
        <v>17</v>
      </c>
      <c r="E189" t="s">
        <v>23</v>
      </c>
      <c r="F189" t="s">
        <v>35</v>
      </c>
      <c r="G189" s="2">
        <v>43800</v>
      </c>
      <c r="H189" t="s">
        <v>20</v>
      </c>
      <c r="I189" t="s">
        <v>52</v>
      </c>
      <c r="J189" t="s">
        <v>29</v>
      </c>
      <c r="M189" t="str">
        <f t="shared" si="19"/>
        <v>Jack</v>
      </c>
      <c r="N189">
        <v>50</v>
      </c>
      <c r="O189">
        <f t="shared" si="20"/>
        <v>50</v>
      </c>
      <c r="P189">
        <v>70000</v>
      </c>
      <c r="Q189">
        <f t="shared" si="21"/>
        <v>70000</v>
      </c>
      <c r="R189" t="str">
        <f t="shared" si="22"/>
        <v>Female</v>
      </c>
      <c r="S189" t="str">
        <f t="shared" si="23"/>
        <v>Sales</v>
      </c>
      <c r="T189" t="str">
        <f t="shared" si="24"/>
        <v>Clerk</v>
      </c>
      <c r="U189" s="2">
        <v>43800</v>
      </c>
      <c r="V189" t="s">
        <v>20</v>
      </c>
      <c r="W189" t="s">
        <v>52</v>
      </c>
      <c r="X189" t="str">
        <f t="shared" si="25"/>
        <v>user@domain/com</v>
      </c>
      <c r="Y189" t="str">
        <f t="shared" si="26"/>
        <v>user@domain.com</v>
      </c>
      <c r="Z189" t="str">
        <f t="shared" si="18"/>
        <v>Phone not provided</v>
      </c>
    </row>
    <row r="190" spans="1:26" x14ac:dyDescent="0.25">
      <c r="A190" t="s">
        <v>40</v>
      </c>
      <c r="B190">
        <v>25</v>
      </c>
      <c r="C190">
        <v>50000</v>
      </c>
      <c r="D190" t="s">
        <v>32</v>
      </c>
      <c r="E190" t="s">
        <v>27</v>
      </c>
      <c r="F190" t="s">
        <v>37</v>
      </c>
      <c r="G190" s="2">
        <v>43845</v>
      </c>
      <c r="H190" t="s">
        <v>24</v>
      </c>
      <c r="I190" t="s">
        <v>15</v>
      </c>
      <c r="J190" t="s">
        <v>15</v>
      </c>
      <c r="M190" t="str">
        <f t="shared" si="19"/>
        <v>Frank</v>
      </c>
      <c r="N190">
        <v>25</v>
      </c>
      <c r="O190">
        <f t="shared" si="20"/>
        <v>25</v>
      </c>
      <c r="P190">
        <v>50000</v>
      </c>
      <c r="Q190">
        <f t="shared" si="21"/>
        <v>50000</v>
      </c>
      <c r="R190" t="str">
        <f t="shared" si="22"/>
        <v>Other</v>
      </c>
      <c r="S190" t="str">
        <f t="shared" si="23"/>
        <v>IT</v>
      </c>
      <c r="T190" t="str">
        <f t="shared" si="24"/>
        <v>Assistant</v>
      </c>
      <c r="U190" s="2">
        <v>43845</v>
      </c>
      <c r="V190" t="s">
        <v>24</v>
      </c>
      <c r="W190" t="s">
        <v>15</v>
      </c>
      <c r="X190" t="str">
        <f t="shared" si="25"/>
        <v>Email not provided</v>
      </c>
      <c r="Y190" t="str">
        <f t="shared" si="26"/>
        <v>Email not provided</v>
      </c>
      <c r="Z190" t="str">
        <f t="shared" si="18"/>
        <v>Phone not provided</v>
      </c>
    </row>
    <row r="191" spans="1:26" x14ac:dyDescent="0.25">
      <c r="A191" t="s">
        <v>10</v>
      </c>
      <c r="B191">
        <v>30</v>
      </c>
      <c r="C191" t="s">
        <v>30</v>
      </c>
      <c r="D191" t="s">
        <v>32</v>
      </c>
      <c r="E191" t="s">
        <v>27</v>
      </c>
      <c r="F191" t="s">
        <v>13</v>
      </c>
      <c r="G191" s="2">
        <v>43881</v>
      </c>
      <c r="H191" t="s">
        <v>28</v>
      </c>
      <c r="I191" t="s">
        <v>52</v>
      </c>
      <c r="J191" t="s">
        <v>25</v>
      </c>
      <c r="M191" t="str">
        <f t="shared" si="19"/>
        <v>Grace</v>
      </c>
      <c r="N191">
        <v>30</v>
      </c>
      <c r="O191">
        <f t="shared" si="20"/>
        <v>30</v>
      </c>
      <c r="P191" t="s">
        <v>30</v>
      </c>
      <c r="Q191">
        <f t="shared" si="21"/>
        <v>60000</v>
      </c>
      <c r="R191" t="str">
        <f t="shared" si="22"/>
        <v>Other</v>
      </c>
      <c r="S191" t="str">
        <f t="shared" si="23"/>
        <v>IT</v>
      </c>
      <c r="T191" t="str">
        <f t="shared" si="24"/>
        <v>Manager</v>
      </c>
      <c r="U191" s="2">
        <v>43881</v>
      </c>
      <c r="V191" t="s">
        <v>28</v>
      </c>
      <c r="W191" t="s">
        <v>52</v>
      </c>
      <c r="X191" t="str">
        <f t="shared" si="25"/>
        <v>user@domain/com</v>
      </c>
      <c r="Y191" t="str">
        <f t="shared" si="26"/>
        <v>user@domain.com</v>
      </c>
      <c r="Z191" t="str">
        <f t="shared" si="18"/>
        <v>098-765-4321</v>
      </c>
    </row>
    <row r="192" spans="1:26" x14ac:dyDescent="0.25">
      <c r="A192" t="s">
        <v>16</v>
      </c>
      <c r="B192">
        <v>35</v>
      </c>
      <c r="C192">
        <v>70000</v>
      </c>
      <c r="D192" t="s">
        <v>17</v>
      </c>
      <c r="E192" t="s">
        <v>23</v>
      </c>
      <c r="F192" t="s">
        <v>19</v>
      </c>
      <c r="G192" s="1">
        <v>43195</v>
      </c>
      <c r="H192" t="s">
        <v>14</v>
      </c>
      <c r="I192" t="s">
        <v>15</v>
      </c>
      <c r="J192" t="s">
        <v>39</v>
      </c>
      <c r="M192" t="str">
        <f t="shared" si="19"/>
        <v>David</v>
      </c>
      <c r="N192">
        <v>35</v>
      </c>
      <c r="O192">
        <f t="shared" si="20"/>
        <v>35</v>
      </c>
      <c r="P192">
        <v>70000</v>
      </c>
      <c r="Q192">
        <f t="shared" si="21"/>
        <v>70000</v>
      </c>
      <c r="R192" t="str">
        <f t="shared" si="22"/>
        <v>Female</v>
      </c>
      <c r="S192" t="str">
        <f t="shared" si="23"/>
        <v>Sales</v>
      </c>
      <c r="T192" t="str">
        <f t="shared" si="24"/>
        <v>Director</v>
      </c>
      <c r="U192" s="2">
        <v>43195</v>
      </c>
      <c r="V192" t="s">
        <v>14</v>
      </c>
      <c r="W192" t="s">
        <v>15</v>
      </c>
      <c r="X192" t="str">
        <f t="shared" si="25"/>
        <v>Email not provided</v>
      </c>
      <c r="Y192" t="str">
        <f t="shared" si="26"/>
        <v>Email not provided</v>
      </c>
      <c r="Z192" t="str">
        <f t="shared" si="18"/>
        <v>555-555-5555</v>
      </c>
    </row>
    <row r="193" spans="1:26" x14ac:dyDescent="0.25">
      <c r="A193" t="s">
        <v>10</v>
      </c>
      <c r="B193">
        <v>25</v>
      </c>
      <c r="C193">
        <v>60000</v>
      </c>
      <c r="D193" t="s">
        <v>17</v>
      </c>
      <c r="E193" t="s">
        <v>12</v>
      </c>
      <c r="F193" t="s">
        <v>37</v>
      </c>
      <c r="G193" s="2">
        <v>43845</v>
      </c>
      <c r="H193" t="s">
        <v>20</v>
      </c>
      <c r="I193" t="s">
        <v>15</v>
      </c>
      <c r="J193" t="s">
        <v>39</v>
      </c>
      <c r="M193" t="str">
        <f t="shared" si="19"/>
        <v>Grace</v>
      </c>
      <c r="N193">
        <v>25</v>
      </c>
      <c r="O193">
        <f t="shared" si="20"/>
        <v>25</v>
      </c>
      <c r="P193">
        <v>60000</v>
      </c>
      <c r="Q193">
        <f t="shared" si="21"/>
        <v>60000</v>
      </c>
      <c r="R193" t="str">
        <f t="shared" si="22"/>
        <v>Female</v>
      </c>
      <c r="S193" t="str">
        <f t="shared" si="23"/>
        <v>HR</v>
      </c>
      <c r="T193" t="str">
        <f t="shared" si="24"/>
        <v>Assistant</v>
      </c>
      <c r="U193" s="2">
        <v>43845</v>
      </c>
      <c r="V193" t="s">
        <v>20</v>
      </c>
      <c r="W193" t="s">
        <v>15</v>
      </c>
      <c r="X193" t="str">
        <f t="shared" si="25"/>
        <v>Email not provided</v>
      </c>
      <c r="Y193" t="str">
        <f t="shared" si="26"/>
        <v>Email not provided</v>
      </c>
      <c r="Z193" t="str">
        <f t="shared" si="18"/>
        <v>555-555-5555</v>
      </c>
    </row>
    <row r="194" spans="1:26" x14ac:dyDescent="0.25">
      <c r="A194" t="s">
        <v>22</v>
      </c>
      <c r="B194">
        <v>50</v>
      </c>
      <c r="C194">
        <v>65000</v>
      </c>
      <c r="D194" t="s">
        <v>11</v>
      </c>
      <c r="E194" t="s">
        <v>18</v>
      </c>
      <c r="F194" t="s">
        <v>38</v>
      </c>
      <c r="G194" s="2">
        <v>43549</v>
      </c>
      <c r="H194" t="s">
        <v>14</v>
      </c>
      <c r="I194" t="s">
        <v>15</v>
      </c>
      <c r="J194" t="s">
        <v>21</v>
      </c>
      <c r="M194" t="str">
        <f t="shared" si="19"/>
        <v>Hannah</v>
      </c>
      <c r="N194">
        <v>50</v>
      </c>
      <c r="O194">
        <f t="shared" si="20"/>
        <v>50</v>
      </c>
      <c r="P194">
        <v>65000</v>
      </c>
      <c r="Q194">
        <f t="shared" si="21"/>
        <v>65000</v>
      </c>
      <c r="R194" t="str">
        <f t="shared" si="22"/>
        <v>Male</v>
      </c>
      <c r="S194" t="str">
        <f t="shared" si="23"/>
        <v>Finance</v>
      </c>
      <c r="T194" t="str">
        <f t="shared" si="24"/>
        <v>Analyst</v>
      </c>
      <c r="U194" s="2">
        <v>43549</v>
      </c>
      <c r="V194" t="s">
        <v>14</v>
      </c>
      <c r="W194" t="s">
        <v>15</v>
      </c>
      <c r="X194" t="str">
        <f t="shared" si="25"/>
        <v>Email not provided</v>
      </c>
      <c r="Y194" t="str">
        <f t="shared" si="26"/>
        <v>Email not provided</v>
      </c>
      <c r="Z194" t="str">
        <f t="shared" ref="Z194:Z257" si="27">IF(OR(TRIM(J194)="", LOWER(J194)="nan"), "Phone not provided", TRIM(J194))</f>
        <v>123-456-7890</v>
      </c>
    </row>
    <row r="195" spans="1:26" x14ac:dyDescent="0.25">
      <c r="A195" t="s">
        <v>42</v>
      </c>
      <c r="B195">
        <v>25</v>
      </c>
      <c r="C195">
        <v>60000</v>
      </c>
      <c r="D195" t="s">
        <v>32</v>
      </c>
      <c r="E195" t="s">
        <v>18</v>
      </c>
      <c r="F195" t="s">
        <v>38</v>
      </c>
      <c r="G195" s="2">
        <v>43845</v>
      </c>
      <c r="H195" t="s">
        <v>28</v>
      </c>
      <c r="I195" t="s">
        <v>52</v>
      </c>
      <c r="J195" t="s">
        <v>29</v>
      </c>
      <c r="M195" t="str">
        <f t="shared" ref="M195:M258" si="28">PROPER(TRIM(CLEAN(A195:A1194)))</f>
        <v>Alice</v>
      </c>
      <c r="N195">
        <v>25</v>
      </c>
      <c r="O195">
        <f t="shared" ref="O195:O258" si="29">IF(ISNUMBER(N195),N195,MEDIAN($N$2:$N$1001))</f>
        <v>25</v>
      </c>
      <c r="P195">
        <v>60000</v>
      </c>
      <c r="Q195">
        <f t="shared" ref="Q195:Q258" si="30">IF(ISNUMBER(P195),P195,MEDIAN(P195:P1194))</f>
        <v>60000</v>
      </c>
      <c r="R195" t="str">
        <f t="shared" ref="R195:R258" si="31">PROPER(TRIM(CLEAN(D195:D1194)))</f>
        <v>Other</v>
      </c>
      <c r="S195" t="str">
        <f t="shared" ref="S195:S258" si="32">TRIM(CLEAN(E195:E1194))</f>
        <v>Finance</v>
      </c>
      <c r="T195" t="str">
        <f t="shared" ref="T195:T258" si="33">TRIM(CLEAN(F195:F1194))</f>
        <v>Analyst</v>
      </c>
      <c r="U195" s="2">
        <v>43845</v>
      </c>
      <c r="V195" t="s">
        <v>28</v>
      </c>
      <c r="W195" t="s">
        <v>52</v>
      </c>
      <c r="X195" t="str">
        <f t="shared" ref="X195:X258" si="34">IF(
   OR(TRIM(W195)="",LOWER(W195)="nan"),
   "Email not provided",
   W195
)</f>
        <v>user@domain/com</v>
      </c>
      <c r="Y195" t="str">
        <f t="shared" ref="Y195:Y258" si="35">SUBSTITUTE(X195,"/",".")</f>
        <v>user@domain.com</v>
      </c>
      <c r="Z195" t="str">
        <f t="shared" si="27"/>
        <v>Phone not provided</v>
      </c>
    </row>
    <row r="196" spans="1:26" x14ac:dyDescent="0.25">
      <c r="A196" t="s">
        <v>40</v>
      </c>
      <c r="B196">
        <v>30</v>
      </c>
      <c r="C196">
        <v>55000</v>
      </c>
      <c r="D196" t="s">
        <v>11</v>
      </c>
      <c r="E196" t="s">
        <v>12</v>
      </c>
      <c r="F196" t="s">
        <v>38</v>
      </c>
      <c r="G196" s="1">
        <v>43195</v>
      </c>
      <c r="H196" t="s">
        <v>20</v>
      </c>
      <c r="I196" t="s">
        <v>53</v>
      </c>
      <c r="J196" t="s">
        <v>29</v>
      </c>
      <c r="M196" t="str">
        <f t="shared" si="28"/>
        <v>Frank</v>
      </c>
      <c r="N196">
        <v>30</v>
      </c>
      <c r="O196">
        <f t="shared" si="29"/>
        <v>30</v>
      </c>
      <c r="P196">
        <v>55000</v>
      </c>
      <c r="Q196">
        <f t="shared" si="30"/>
        <v>55000</v>
      </c>
      <c r="R196" t="str">
        <f t="shared" si="31"/>
        <v>Male</v>
      </c>
      <c r="S196" t="str">
        <f t="shared" si="32"/>
        <v>HR</v>
      </c>
      <c r="T196" t="str">
        <f t="shared" si="33"/>
        <v>Analyst</v>
      </c>
      <c r="U196" s="2">
        <v>43195</v>
      </c>
      <c r="V196" t="s">
        <v>20</v>
      </c>
      <c r="W196" t="s">
        <v>53</v>
      </c>
      <c r="X196" t="str">
        <f t="shared" si="34"/>
        <v>name@company/org</v>
      </c>
      <c r="Y196" t="str">
        <f t="shared" si="35"/>
        <v>name@company.org</v>
      </c>
      <c r="Z196" t="str">
        <f t="shared" si="27"/>
        <v>Phone not provided</v>
      </c>
    </row>
    <row r="197" spans="1:26" x14ac:dyDescent="0.25">
      <c r="A197" t="s">
        <v>22</v>
      </c>
      <c r="B197">
        <v>40</v>
      </c>
      <c r="C197">
        <v>50000</v>
      </c>
      <c r="D197" t="s">
        <v>11</v>
      </c>
      <c r="E197" t="s">
        <v>18</v>
      </c>
      <c r="F197" t="s">
        <v>37</v>
      </c>
      <c r="G197" s="2">
        <v>43800</v>
      </c>
      <c r="H197" t="s">
        <v>14</v>
      </c>
      <c r="I197" t="s">
        <v>52</v>
      </c>
      <c r="J197" t="s">
        <v>25</v>
      </c>
      <c r="M197" t="str">
        <f t="shared" si="28"/>
        <v>Hannah</v>
      </c>
      <c r="N197">
        <v>40</v>
      </c>
      <c r="O197">
        <f t="shared" si="29"/>
        <v>40</v>
      </c>
      <c r="P197">
        <v>50000</v>
      </c>
      <c r="Q197">
        <f t="shared" si="30"/>
        <v>50000</v>
      </c>
      <c r="R197" t="str">
        <f t="shared" si="31"/>
        <v>Male</v>
      </c>
      <c r="S197" t="str">
        <f t="shared" si="32"/>
        <v>Finance</v>
      </c>
      <c r="T197" t="str">
        <f t="shared" si="33"/>
        <v>Assistant</v>
      </c>
      <c r="U197" s="2">
        <v>43800</v>
      </c>
      <c r="V197" t="s">
        <v>14</v>
      </c>
      <c r="W197" t="s">
        <v>52</v>
      </c>
      <c r="X197" t="str">
        <f t="shared" si="34"/>
        <v>user@domain/com</v>
      </c>
      <c r="Y197" t="str">
        <f t="shared" si="35"/>
        <v>user@domain.com</v>
      </c>
      <c r="Z197" t="str">
        <f t="shared" si="27"/>
        <v>098-765-4321</v>
      </c>
    </row>
    <row r="198" spans="1:26" x14ac:dyDescent="0.25">
      <c r="A198" t="s">
        <v>26</v>
      </c>
      <c r="B198">
        <v>25</v>
      </c>
      <c r="C198" t="s">
        <v>30</v>
      </c>
      <c r="D198" t="s">
        <v>11</v>
      </c>
      <c r="E198" t="s">
        <v>33</v>
      </c>
      <c r="F198" t="s">
        <v>37</v>
      </c>
      <c r="G198" s="2">
        <v>43800</v>
      </c>
      <c r="H198" t="s">
        <v>14</v>
      </c>
      <c r="I198" t="s">
        <v>53</v>
      </c>
      <c r="J198" t="s">
        <v>15</v>
      </c>
      <c r="M198" t="str">
        <f t="shared" si="28"/>
        <v>Eve</v>
      </c>
      <c r="N198">
        <v>25</v>
      </c>
      <c r="O198">
        <f t="shared" si="29"/>
        <v>25</v>
      </c>
      <c r="P198" t="s">
        <v>30</v>
      </c>
      <c r="Q198">
        <f t="shared" si="30"/>
        <v>60000</v>
      </c>
      <c r="R198" t="str">
        <f t="shared" si="31"/>
        <v>Male</v>
      </c>
      <c r="S198" t="str">
        <f t="shared" si="32"/>
        <v>Marketing</v>
      </c>
      <c r="T198" t="str">
        <f t="shared" si="33"/>
        <v>Assistant</v>
      </c>
      <c r="U198" s="2">
        <v>43800</v>
      </c>
      <c r="V198" t="s">
        <v>14</v>
      </c>
      <c r="W198" t="s">
        <v>53</v>
      </c>
      <c r="X198" t="str">
        <f t="shared" si="34"/>
        <v>name@company/org</v>
      </c>
      <c r="Y198" t="str">
        <f t="shared" si="35"/>
        <v>name@company.org</v>
      </c>
      <c r="Z198" t="str">
        <f t="shared" si="27"/>
        <v>Phone not provided</v>
      </c>
    </row>
    <row r="199" spans="1:26" x14ac:dyDescent="0.25">
      <c r="A199" t="s">
        <v>16</v>
      </c>
      <c r="B199">
        <v>25</v>
      </c>
      <c r="C199">
        <v>70000</v>
      </c>
      <c r="D199" t="s">
        <v>32</v>
      </c>
      <c r="E199" t="s">
        <v>23</v>
      </c>
      <c r="F199" t="s">
        <v>37</v>
      </c>
      <c r="G199" s="1">
        <v>43195</v>
      </c>
      <c r="H199" t="s">
        <v>20</v>
      </c>
      <c r="I199" t="s">
        <v>53</v>
      </c>
      <c r="J199" t="s">
        <v>29</v>
      </c>
      <c r="M199" t="str">
        <f t="shared" si="28"/>
        <v>David</v>
      </c>
      <c r="N199">
        <v>25</v>
      </c>
      <c r="O199">
        <f t="shared" si="29"/>
        <v>25</v>
      </c>
      <c r="P199">
        <v>70000</v>
      </c>
      <c r="Q199">
        <f t="shared" si="30"/>
        <v>70000</v>
      </c>
      <c r="R199" t="str">
        <f t="shared" si="31"/>
        <v>Other</v>
      </c>
      <c r="S199" t="str">
        <f t="shared" si="32"/>
        <v>Sales</v>
      </c>
      <c r="T199" t="str">
        <f t="shared" si="33"/>
        <v>Assistant</v>
      </c>
      <c r="U199" s="2">
        <v>43195</v>
      </c>
      <c r="V199" t="s">
        <v>20</v>
      </c>
      <c r="W199" t="s">
        <v>53</v>
      </c>
      <c r="X199" t="str">
        <f t="shared" si="34"/>
        <v>name@company/org</v>
      </c>
      <c r="Y199" t="str">
        <f t="shared" si="35"/>
        <v>name@company.org</v>
      </c>
      <c r="Z199" t="str">
        <f t="shared" si="27"/>
        <v>Phone not provided</v>
      </c>
    </row>
    <row r="200" spans="1:26" x14ac:dyDescent="0.25">
      <c r="A200" t="s">
        <v>41</v>
      </c>
      <c r="B200">
        <v>50</v>
      </c>
      <c r="C200">
        <v>70000</v>
      </c>
      <c r="D200" t="s">
        <v>11</v>
      </c>
      <c r="E200" t="s">
        <v>23</v>
      </c>
      <c r="F200" t="s">
        <v>13</v>
      </c>
      <c r="G200" s="2">
        <v>43881</v>
      </c>
      <c r="H200" t="s">
        <v>28</v>
      </c>
      <c r="I200" t="s">
        <v>15</v>
      </c>
      <c r="J200" t="s">
        <v>25</v>
      </c>
      <c r="M200" t="str">
        <f t="shared" si="28"/>
        <v>Bob</v>
      </c>
      <c r="N200">
        <v>50</v>
      </c>
      <c r="O200">
        <f t="shared" si="29"/>
        <v>50</v>
      </c>
      <c r="P200">
        <v>70000</v>
      </c>
      <c r="Q200">
        <f t="shared" si="30"/>
        <v>70000</v>
      </c>
      <c r="R200" t="str">
        <f t="shared" si="31"/>
        <v>Male</v>
      </c>
      <c r="S200" t="str">
        <f t="shared" si="32"/>
        <v>Sales</v>
      </c>
      <c r="T200" t="str">
        <f t="shared" si="33"/>
        <v>Manager</v>
      </c>
      <c r="U200" s="2">
        <v>43881</v>
      </c>
      <c r="V200" t="s">
        <v>28</v>
      </c>
      <c r="W200" t="s">
        <v>15</v>
      </c>
      <c r="X200" t="str">
        <f t="shared" si="34"/>
        <v>Email not provided</v>
      </c>
      <c r="Y200" t="str">
        <f t="shared" si="35"/>
        <v>Email not provided</v>
      </c>
      <c r="Z200" t="str">
        <f t="shared" si="27"/>
        <v>098-765-4321</v>
      </c>
    </row>
    <row r="201" spans="1:26" x14ac:dyDescent="0.25">
      <c r="A201" t="s">
        <v>40</v>
      </c>
      <c r="B201">
        <v>50</v>
      </c>
      <c r="C201">
        <v>50000</v>
      </c>
      <c r="D201" t="s">
        <v>11</v>
      </c>
      <c r="E201" t="s">
        <v>12</v>
      </c>
      <c r="F201" t="s">
        <v>13</v>
      </c>
      <c r="G201" s="2">
        <v>43881</v>
      </c>
      <c r="H201" t="s">
        <v>14</v>
      </c>
      <c r="I201" t="s">
        <v>52</v>
      </c>
      <c r="J201" t="s">
        <v>25</v>
      </c>
      <c r="M201" t="str">
        <f t="shared" si="28"/>
        <v>Frank</v>
      </c>
      <c r="N201">
        <v>50</v>
      </c>
      <c r="O201">
        <f t="shared" si="29"/>
        <v>50</v>
      </c>
      <c r="P201">
        <v>50000</v>
      </c>
      <c r="Q201">
        <f t="shared" si="30"/>
        <v>50000</v>
      </c>
      <c r="R201" t="str">
        <f t="shared" si="31"/>
        <v>Male</v>
      </c>
      <c r="S201" t="str">
        <f t="shared" si="32"/>
        <v>HR</v>
      </c>
      <c r="T201" t="str">
        <f t="shared" si="33"/>
        <v>Manager</v>
      </c>
      <c r="U201" s="2">
        <v>43881</v>
      </c>
      <c r="V201" t="s">
        <v>14</v>
      </c>
      <c r="W201" t="s">
        <v>52</v>
      </c>
      <c r="X201" t="str">
        <f t="shared" si="34"/>
        <v>user@domain/com</v>
      </c>
      <c r="Y201" t="str">
        <f t="shared" si="35"/>
        <v>user@domain.com</v>
      </c>
      <c r="Z201" t="str">
        <f t="shared" si="27"/>
        <v>098-765-4321</v>
      </c>
    </row>
    <row r="202" spans="1:26" x14ac:dyDescent="0.25">
      <c r="A202" t="s">
        <v>40</v>
      </c>
      <c r="B202">
        <v>35</v>
      </c>
      <c r="C202" t="s">
        <v>30</v>
      </c>
      <c r="D202" t="s">
        <v>11</v>
      </c>
      <c r="E202" t="s">
        <v>18</v>
      </c>
      <c r="F202" t="s">
        <v>38</v>
      </c>
      <c r="G202" s="2">
        <v>43800</v>
      </c>
      <c r="H202" t="s">
        <v>24</v>
      </c>
      <c r="I202" t="s">
        <v>53</v>
      </c>
      <c r="J202" t="s">
        <v>29</v>
      </c>
      <c r="M202" t="str">
        <f t="shared" si="28"/>
        <v>Frank</v>
      </c>
      <c r="N202">
        <v>35</v>
      </c>
      <c r="O202">
        <f t="shared" si="29"/>
        <v>35</v>
      </c>
      <c r="P202" t="s">
        <v>30</v>
      </c>
      <c r="Q202">
        <f t="shared" si="30"/>
        <v>60000</v>
      </c>
      <c r="R202" t="str">
        <f t="shared" si="31"/>
        <v>Male</v>
      </c>
      <c r="S202" t="str">
        <f t="shared" si="32"/>
        <v>Finance</v>
      </c>
      <c r="T202" t="str">
        <f t="shared" si="33"/>
        <v>Analyst</v>
      </c>
      <c r="U202" s="2">
        <v>43800</v>
      </c>
      <c r="V202" t="s">
        <v>24</v>
      </c>
      <c r="W202" t="s">
        <v>53</v>
      </c>
      <c r="X202" t="str">
        <f t="shared" si="34"/>
        <v>name@company/org</v>
      </c>
      <c r="Y202" t="str">
        <f t="shared" si="35"/>
        <v>name@company.org</v>
      </c>
      <c r="Z202" t="str">
        <f t="shared" si="27"/>
        <v>Phone not provided</v>
      </c>
    </row>
    <row r="203" spans="1:26" x14ac:dyDescent="0.25">
      <c r="A203" t="s">
        <v>42</v>
      </c>
      <c r="B203">
        <v>50</v>
      </c>
      <c r="C203">
        <v>50000</v>
      </c>
      <c r="D203" t="s">
        <v>11</v>
      </c>
      <c r="E203" t="s">
        <v>27</v>
      </c>
      <c r="F203" t="s">
        <v>35</v>
      </c>
      <c r="G203" s="2">
        <v>43800</v>
      </c>
      <c r="H203" t="s">
        <v>20</v>
      </c>
      <c r="J203" t="s">
        <v>25</v>
      </c>
      <c r="M203" t="str">
        <f t="shared" si="28"/>
        <v>Alice</v>
      </c>
      <c r="N203">
        <v>50</v>
      </c>
      <c r="O203">
        <f t="shared" si="29"/>
        <v>50</v>
      </c>
      <c r="P203">
        <v>50000</v>
      </c>
      <c r="Q203">
        <f t="shared" si="30"/>
        <v>50000</v>
      </c>
      <c r="R203" t="str">
        <f t="shared" si="31"/>
        <v>Male</v>
      </c>
      <c r="S203" t="str">
        <f t="shared" si="32"/>
        <v>IT</v>
      </c>
      <c r="T203" t="str">
        <f t="shared" si="33"/>
        <v>Clerk</v>
      </c>
      <c r="U203" s="2">
        <v>43800</v>
      </c>
      <c r="V203" t="s">
        <v>20</v>
      </c>
      <c r="X203" t="str">
        <f t="shared" si="34"/>
        <v>Email not provided</v>
      </c>
      <c r="Y203" t="str">
        <f t="shared" si="35"/>
        <v>Email not provided</v>
      </c>
      <c r="Z203" t="str">
        <f t="shared" si="27"/>
        <v>098-765-4321</v>
      </c>
    </row>
    <row r="204" spans="1:26" x14ac:dyDescent="0.25">
      <c r="A204" t="s">
        <v>43</v>
      </c>
      <c r="B204" t="s">
        <v>15</v>
      </c>
      <c r="C204">
        <v>55000</v>
      </c>
      <c r="D204" t="s">
        <v>11</v>
      </c>
      <c r="E204" t="s">
        <v>27</v>
      </c>
      <c r="F204" t="s">
        <v>38</v>
      </c>
      <c r="G204" s="1">
        <v>43195</v>
      </c>
      <c r="H204" t="s">
        <v>36</v>
      </c>
      <c r="I204" t="s">
        <v>53</v>
      </c>
      <c r="J204" t="s">
        <v>21</v>
      </c>
      <c r="M204" t="str">
        <f t="shared" si="28"/>
        <v>Ivy</v>
      </c>
      <c r="N204" t="s">
        <v>15</v>
      </c>
      <c r="O204">
        <f t="shared" si="29"/>
        <v>35</v>
      </c>
      <c r="P204">
        <v>55000</v>
      </c>
      <c r="Q204">
        <f t="shared" si="30"/>
        <v>55000</v>
      </c>
      <c r="R204" t="str">
        <f t="shared" si="31"/>
        <v>Male</v>
      </c>
      <c r="S204" t="str">
        <f t="shared" si="32"/>
        <v>IT</v>
      </c>
      <c r="T204" t="str">
        <f t="shared" si="33"/>
        <v>Analyst</v>
      </c>
      <c r="U204" s="2">
        <v>43195</v>
      </c>
      <c r="V204" t="s">
        <v>36</v>
      </c>
      <c r="W204" t="s">
        <v>53</v>
      </c>
      <c r="X204" t="str">
        <f t="shared" si="34"/>
        <v>name@company/org</v>
      </c>
      <c r="Y204" t="str">
        <f t="shared" si="35"/>
        <v>name@company.org</v>
      </c>
      <c r="Z204" t="str">
        <f t="shared" si="27"/>
        <v>123-456-7890</v>
      </c>
    </row>
    <row r="205" spans="1:26" x14ac:dyDescent="0.25">
      <c r="A205" t="s">
        <v>40</v>
      </c>
      <c r="B205">
        <v>30</v>
      </c>
      <c r="C205">
        <v>60000</v>
      </c>
      <c r="D205" t="s">
        <v>11</v>
      </c>
      <c r="E205" t="s">
        <v>18</v>
      </c>
      <c r="F205" t="s">
        <v>19</v>
      </c>
      <c r="G205" s="2">
        <v>43881</v>
      </c>
      <c r="H205" t="s">
        <v>36</v>
      </c>
      <c r="J205" t="s">
        <v>21</v>
      </c>
      <c r="M205" t="str">
        <f t="shared" si="28"/>
        <v>Frank</v>
      </c>
      <c r="N205">
        <v>30</v>
      </c>
      <c r="O205">
        <f t="shared" si="29"/>
        <v>30</v>
      </c>
      <c r="P205">
        <v>60000</v>
      </c>
      <c r="Q205">
        <f t="shared" si="30"/>
        <v>60000</v>
      </c>
      <c r="R205" t="str">
        <f t="shared" si="31"/>
        <v>Male</v>
      </c>
      <c r="S205" t="str">
        <f t="shared" si="32"/>
        <v>Finance</v>
      </c>
      <c r="T205" t="str">
        <f t="shared" si="33"/>
        <v>Director</v>
      </c>
      <c r="U205" s="2">
        <v>43881</v>
      </c>
      <c r="V205" t="s">
        <v>36</v>
      </c>
      <c r="X205" t="str">
        <f t="shared" si="34"/>
        <v>Email not provided</v>
      </c>
      <c r="Y205" t="str">
        <f t="shared" si="35"/>
        <v>Email not provided</v>
      </c>
      <c r="Z205" t="str">
        <f t="shared" si="27"/>
        <v>123-456-7890</v>
      </c>
    </row>
    <row r="206" spans="1:26" x14ac:dyDescent="0.25">
      <c r="A206" t="s">
        <v>34</v>
      </c>
      <c r="B206">
        <v>30</v>
      </c>
      <c r="C206">
        <v>70000</v>
      </c>
      <c r="D206" t="s">
        <v>32</v>
      </c>
      <c r="E206" t="s">
        <v>27</v>
      </c>
      <c r="F206" t="s">
        <v>13</v>
      </c>
      <c r="G206" s="2">
        <v>43800</v>
      </c>
      <c r="H206" t="s">
        <v>28</v>
      </c>
      <c r="I206" t="s">
        <v>52</v>
      </c>
      <c r="J206" t="s">
        <v>29</v>
      </c>
      <c r="M206" t="str">
        <f t="shared" si="28"/>
        <v>Charlie</v>
      </c>
      <c r="N206">
        <v>30</v>
      </c>
      <c r="O206">
        <f t="shared" si="29"/>
        <v>30</v>
      </c>
      <c r="P206">
        <v>70000</v>
      </c>
      <c r="Q206">
        <f t="shared" si="30"/>
        <v>70000</v>
      </c>
      <c r="R206" t="str">
        <f t="shared" si="31"/>
        <v>Other</v>
      </c>
      <c r="S206" t="str">
        <f t="shared" si="32"/>
        <v>IT</v>
      </c>
      <c r="T206" t="str">
        <f t="shared" si="33"/>
        <v>Manager</v>
      </c>
      <c r="U206" s="2">
        <v>43800</v>
      </c>
      <c r="V206" t="s">
        <v>28</v>
      </c>
      <c r="W206" t="s">
        <v>52</v>
      </c>
      <c r="X206" t="str">
        <f t="shared" si="34"/>
        <v>user@domain/com</v>
      </c>
      <c r="Y206" t="str">
        <f t="shared" si="35"/>
        <v>user@domain.com</v>
      </c>
      <c r="Z206" t="str">
        <f t="shared" si="27"/>
        <v>Phone not provided</v>
      </c>
    </row>
    <row r="207" spans="1:26" x14ac:dyDescent="0.25">
      <c r="A207" t="s">
        <v>16</v>
      </c>
      <c r="B207">
        <v>40</v>
      </c>
      <c r="C207">
        <v>55000</v>
      </c>
      <c r="D207" t="s">
        <v>11</v>
      </c>
      <c r="E207" t="s">
        <v>12</v>
      </c>
      <c r="F207" t="s">
        <v>37</v>
      </c>
      <c r="G207" s="2">
        <v>43881</v>
      </c>
      <c r="H207" t="s">
        <v>24</v>
      </c>
      <c r="I207" t="s">
        <v>52</v>
      </c>
      <c r="J207" t="s">
        <v>15</v>
      </c>
      <c r="M207" t="str">
        <f t="shared" si="28"/>
        <v>David</v>
      </c>
      <c r="N207">
        <v>40</v>
      </c>
      <c r="O207">
        <f t="shared" si="29"/>
        <v>40</v>
      </c>
      <c r="P207">
        <v>55000</v>
      </c>
      <c r="Q207">
        <f t="shared" si="30"/>
        <v>55000</v>
      </c>
      <c r="R207" t="str">
        <f t="shared" si="31"/>
        <v>Male</v>
      </c>
      <c r="S207" t="str">
        <f t="shared" si="32"/>
        <v>HR</v>
      </c>
      <c r="T207" t="str">
        <f t="shared" si="33"/>
        <v>Assistant</v>
      </c>
      <c r="U207" s="2">
        <v>43881</v>
      </c>
      <c r="V207" t="s">
        <v>24</v>
      </c>
      <c r="W207" t="s">
        <v>52</v>
      </c>
      <c r="X207" t="str">
        <f t="shared" si="34"/>
        <v>user@domain/com</v>
      </c>
      <c r="Y207" t="str">
        <f t="shared" si="35"/>
        <v>user@domain.com</v>
      </c>
      <c r="Z207" t="str">
        <f t="shared" si="27"/>
        <v>Phone not provided</v>
      </c>
    </row>
    <row r="208" spans="1:26" x14ac:dyDescent="0.25">
      <c r="A208" t="s">
        <v>16</v>
      </c>
      <c r="B208">
        <v>40</v>
      </c>
      <c r="C208">
        <v>60000</v>
      </c>
      <c r="D208" t="s">
        <v>17</v>
      </c>
      <c r="E208" t="s">
        <v>12</v>
      </c>
      <c r="F208" t="s">
        <v>13</v>
      </c>
      <c r="G208" s="2">
        <v>43800</v>
      </c>
      <c r="H208" t="s">
        <v>14</v>
      </c>
      <c r="I208" t="s">
        <v>52</v>
      </c>
      <c r="J208" t="s">
        <v>21</v>
      </c>
      <c r="M208" t="str">
        <f t="shared" si="28"/>
        <v>David</v>
      </c>
      <c r="N208">
        <v>40</v>
      </c>
      <c r="O208">
        <f t="shared" si="29"/>
        <v>40</v>
      </c>
      <c r="P208">
        <v>60000</v>
      </c>
      <c r="Q208">
        <f t="shared" si="30"/>
        <v>60000</v>
      </c>
      <c r="R208" t="str">
        <f t="shared" si="31"/>
        <v>Female</v>
      </c>
      <c r="S208" t="str">
        <f t="shared" si="32"/>
        <v>HR</v>
      </c>
      <c r="T208" t="str">
        <f t="shared" si="33"/>
        <v>Manager</v>
      </c>
      <c r="U208" s="2">
        <v>43800</v>
      </c>
      <c r="V208" t="s">
        <v>14</v>
      </c>
      <c r="W208" t="s">
        <v>52</v>
      </c>
      <c r="X208" t="str">
        <f t="shared" si="34"/>
        <v>user@domain/com</v>
      </c>
      <c r="Y208" t="str">
        <f t="shared" si="35"/>
        <v>user@domain.com</v>
      </c>
      <c r="Z208" t="str">
        <f t="shared" si="27"/>
        <v>123-456-7890</v>
      </c>
    </row>
    <row r="209" spans="1:26" x14ac:dyDescent="0.25">
      <c r="A209" t="s">
        <v>34</v>
      </c>
      <c r="B209">
        <v>30</v>
      </c>
      <c r="C209">
        <v>55000</v>
      </c>
      <c r="D209" t="s">
        <v>11</v>
      </c>
      <c r="E209" t="s">
        <v>18</v>
      </c>
      <c r="F209" t="s">
        <v>37</v>
      </c>
      <c r="G209" s="2">
        <v>43845</v>
      </c>
      <c r="H209" t="s">
        <v>36</v>
      </c>
      <c r="I209" t="s">
        <v>53</v>
      </c>
      <c r="J209" t="s">
        <v>21</v>
      </c>
      <c r="M209" t="str">
        <f t="shared" si="28"/>
        <v>Charlie</v>
      </c>
      <c r="N209">
        <v>30</v>
      </c>
      <c r="O209">
        <f t="shared" si="29"/>
        <v>30</v>
      </c>
      <c r="P209">
        <v>55000</v>
      </c>
      <c r="Q209">
        <f t="shared" si="30"/>
        <v>55000</v>
      </c>
      <c r="R209" t="str">
        <f t="shared" si="31"/>
        <v>Male</v>
      </c>
      <c r="S209" t="str">
        <f t="shared" si="32"/>
        <v>Finance</v>
      </c>
      <c r="T209" t="str">
        <f t="shared" si="33"/>
        <v>Assistant</v>
      </c>
      <c r="U209" s="2">
        <v>43845</v>
      </c>
      <c r="V209" t="s">
        <v>36</v>
      </c>
      <c r="W209" t="s">
        <v>53</v>
      </c>
      <c r="X209" t="str">
        <f t="shared" si="34"/>
        <v>name@company/org</v>
      </c>
      <c r="Y209" t="str">
        <f t="shared" si="35"/>
        <v>name@company.org</v>
      </c>
      <c r="Z209" t="str">
        <f t="shared" si="27"/>
        <v>123-456-7890</v>
      </c>
    </row>
    <row r="210" spans="1:26" x14ac:dyDescent="0.25">
      <c r="A210" t="s">
        <v>31</v>
      </c>
      <c r="B210">
        <v>40</v>
      </c>
      <c r="C210" t="s">
        <v>30</v>
      </c>
      <c r="D210" t="s">
        <v>11</v>
      </c>
      <c r="E210" t="s">
        <v>27</v>
      </c>
      <c r="F210" t="s">
        <v>19</v>
      </c>
      <c r="G210" s="2">
        <v>43549</v>
      </c>
      <c r="H210" t="s">
        <v>28</v>
      </c>
      <c r="I210" t="s">
        <v>51</v>
      </c>
      <c r="J210" t="s">
        <v>29</v>
      </c>
      <c r="M210" t="str">
        <f t="shared" si="28"/>
        <v>Jack</v>
      </c>
      <c r="N210">
        <v>40</v>
      </c>
      <c r="O210">
        <f t="shared" si="29"/>
        <v>40</v>
      </c>
      <c r="P210" t="s">
        <v>30</v>
      </c>
      <c r="Q210">
        <f t="shared" si="30"/>
        <v>60000</v>
      </c>
      <c r="R210" t="str">
        <f t="shared" si="31"/>
        <v>Male</v>
      </c>
      <c r="S210" t="str">
        <f t="shared" si="32"/>
        <v>IT</v>
      </c>
      <c r="T210" t="str">
        <f t="shared" si="33"/>
        <v>Director</v>
      </c>
      <c r="U210" s="2">
        <v>43549</v>
      </c>
      <c r="V210" t="s">
        <v>28</v>
      </c>
      <c r="W210" t="s">
        <v>51</v>
      </c>
      <c r="X210" t="str">
        <f t="shared" si="34"/>
        <v>email@example/com</v>
      </c>
      <c r="Y210" t="str">
        <f t="shared" si="35"/>
        <v>email@example.com</v>
      </c>
      <c r="Z210" t="str">
        <f t="shared" si="27"/>
        <v>Phone not provided</v>
      </c>
    </row>
    <row r="211" spans="1:26" x14ac:dyDescent="0.25">
      <c r="A211" t="s">
        <v>34</v>
      </c>
      <c r="B211">
        <v>35</v>
      </c>
      <c r="C211">
        <v>70000</v>
      </c>
      <c r="D211" t="s">
        <v>32</v>
      </c>
      <c r="E211" t="s">
        <v>12</v>
      </c>
      <c r="F211" t="s">
        <v>19</v>
      </c>
      <c r="G211" s="2">
        <v>43845</v>
      </c>
      <c r="H211" t="s">
        <v>24</v>
      </c>
      <c r="I211" t="s">
        <v>53</v>
      </c>
      <c r="J211" t="s">
        <v>39</v>
      </c>
      <c r="M211" t="str">
        <f t="shared" si="28"/>
        <v>Charlie</v>
      </c>
      <c r="N211">
        <v>35</v>
      </c>
      <c r="O211">
        <f t="shared" si="29"/>
        <v>35</v>
      </c>
      <c r="P211">
        <v>70000</v>
      </c>
      <c r="Q211">
        <f t="shared" si="30"/>
        <v>70000</v>
      </c>
      <c r="R211" t="str">
        <f t="shared" si="31"/>
        <v>Other</v>
      </c>
      <c r="S211" t="str">
        <f t="shared" si="32"/>
        <v>HR</v>
      </c>
      <c r="T211" t="str">
        <f t="shared" si="33"/>
        <v>Director</v>
      </c>
      <c r="U211" s="2">
        <v>43845</v>
      </c>
      <c r="V211" t="s">
        <v>24</v>
      </c>
      <c r="W211" t="s">
        <v>53</v>
      </c>
      <c r="X211" t="str">
        <f t="shared" si="34"/>
        <v>name@company/org</v>
      </c>
      <c r="Y211" t="str">
        <f t="shared" si="35"/>
        <v>name@company.org</v>
      </c>
      <c r="Z211" t="str">
        <f t="shared" si="27"/>
        <v>555-555-5555</v>
      </c>
    </row>
    <row r="212" spans="1:26" x14ac:dyDescent="0.25">
      <c r="A212" t="s">
        <v>34</v>
      </c>
      <c r="B212">
        <v>50</v>
      </c>
      <c r="C212">
        <v>50000</v>
      </c>
      <c r="D212" t="s">
        <v>32</v>
      </c>
      <c r="E212" t="s">
        <v>12</v>
      </c>
      <c r="F212" t="s">
        <v>13</v>
      </c>
      <c r="G212" s="2">
        <v>43800</v>
      </c>
      <c r="H212" t="s">
        <v>24</v>
      </c>
      <c r="I212" t="s">
        <v>53</v>
      </c>
      <c r="J212" t="s">
        <v>25</v>
      </c>
      <c r="M212" t="str">
        <f t="shared" si="28"/>
        <v>Charlie</v>
      </c>
      <c r="N212">
        <v>50</v>
      </c>
      <c r="O212">
        <f t="shared" si="29"/>
        <v>50</v>
      </c>
      <c r="P212">
        <v>50000</v>
      </c>
      <c r="Q212">
        <f t="shared" si="30"/>
        <v>50000</v>
      </c>
      <c r="R212" t="str">
        <f t="shared" si="31"/>
        <v>Other</v>
      </c>
      <c r="S212" t="str">
        <f t="shared" si="32"/>
        <v>HR</v>
      </c>
      <c r="T212" t="str">
        <f t="shared" si="33"/>
        <v>Manager</v>
      </c>
      <c r="U212" s="2">
        <v>43800</v>
      </c>
      <c r="V212" t="s">
        <v>24</v>
      </c>
      <c r="W212" t="s">
        <v>53</v>
      </c>
      <c r="X212" t="str">
        <f t="shared" si="34"/>
        <v>name@company/org</v>
      </c>
      <c r="Y212" t="str">
        <f t="shared" si="35"/>
        <v>name@company.org</v>
      </c>
      <c r="Z212" t="str">
        <f t="shared" si="27"/>
        <v>098-765-4321</v>
      </c>
    </row>
    <row r="213" spans="1:26" x14ac:dyDescent="0.25">
      <c r="A213" t="s">
        <v>16</v>
      </c>
      <c r="B213">
        <v>30</v>
      </c>
      <c r="C213">
        <v>50000</v>
      </c>
      <c r="D213" t="s">
        <v>17</v>
      </c>
      <c r="E213" t="s">
        <v>33</v>
      </c>
      <c r="F213" t="s">
        <v>37</v>
      </c>
      <c r="G213" s="2">
        <v>43549</v>
      </c>
      <c r="H213" t="s">
        <v>28</v>
      </c>
      <c r="I213" t="s">
        <v>15</v>
      </c>
      <c r="J213" t="s">
        <v>21</v>
      </c>
      <c r="M213" t="str">
        <f t="shared" si="28"/>
        <v>David</v>
      </c>
      <c r="N213">
        <v>30</v>
      </c>
      <c r="O213">
        <f t="shared" si="29"/>
        <v>30</v>
      </c>
      <c r="P213">
        <v>50000</v>
      </c>
      <c r="Q213">
        <f t="shared" si="30"/>
        <v>50000</v>
      </c>
      <c r="R213" t="str">
        <f t="shared" si="31"/>
        <v>Female</v>
      </c>
      <c r="S213" t="str">
        <f t="shared" si="32"/>
        <v>Marketing</v>
      </c>
      <c r="T213" t="str">
        <f t="shared" si="33"/>
        <v>Assistant</v>
      </c>
      <c r="U213" s="2">
        <v>43549</v>
      </c>
      <c r="V213" t="s">
        <v>28</v>
      </c>
      <c r="W213" t="s">
        <v>15</v>
      </c>
      <c r="X213" t="str">
        <f t="shared" si="34"/>
        <v>Email not provided</v>
      </c>
      <c r="Y213" t="str">
        <f t="shared" si="35"/>
        <v>Email not provided</v>
      </c>
      <c r="Z213" t="str">
        <f t="shared" si="27"/>
        <v>123-456-7890</v>
      </c>
    </row>
    <row r="214" spans="1:26" x14ac:dyDescent="0.25">
      <c r="A214" t="s">
        <v>10</v>
      </c>
      <c r="B214">
        <v>40</v>
      </c>
      <c r="C214">
        <v>60000</v>
      </c>
      <c r="D214" t="s">
        <v>17</v>
      </c>
      <c r="E214" t="s">
        <v>33</v>
      </c>
      <c r="F214" t="s">
        <v>19</v>
      </c>
      <c r="G214" s="2">
        <v>43549</v>
      </c>
      <c r="H214" t="s">
        <v>28</v>
      </c>
      <c r="I214" t="s">
        <v>15</v>
      </c>
      <c r="J214" t="s">
        <v>39</v>
      </c>
      <c r="M214" t="str">
        <f t="shared" si="28"/>
        <v>Grace</v>
      </c>
      <c r="N214">
        <v>40</v>
      </c>
      <c r="O214">
        <f t="shared" si="29"/>
        <v>40</v>
      </c>
      <c r="P214">
        <v>60000</v>
      </c>
      <c r="Q214">
        <f t="shared" si="30"/>
        <v>60000</v>
      </c>
      <c r="R214" t="str">
        <f t="shared" si="31"/>
        <v>Female</v>
      </c>
      <c r="S214" t="str">
        <f t="shared" si="32"/>
        <v>Marketing</v>
      </c>
      <c r="T214" t="str">
        <f t="shared" si="33"/>
        <v>Director</v>
      </c>
      <c r="U214" s="2">
        <v>43549</v>
      </c>
      <c r="V214" t="s">
        <v>28</v>
      </c>
      <c r="W214" t="s">
        <v>15</v>
      </c>
      <c r="X214" t="str">
        <f t="shared" si="34"/>
        <v>Email not provided</v>
      </c>
      <c r="Y214" t="str">
        <f t="shared" si="35"/>
        <v>Email not provided</v>
      </c>
      <c r="Z214" t="str">
        <f t="shared" si="27"/>
        <v>555-555-5555</v>
      </c>
    </row>
    <row r="215" spans="1:26" x14ac:dyDescent="0.25">
      <c r="A215" t="s">
        <v>16</v>
      </c>
      <c r="B215">
        <v>30</v>
      </c>
      <c r="C215">
        <v>65000</v>
      </c>
      <c r="D215" t="s">
        <v>32</v>
      </c>
      <c r="E215" t="s">
        <v>12</v>
      </c>
      <c r="F215" t="s">
        <v>38</v>
      </c>
      <c r="G215" s="2">
        <v>43800</v>
      </c>
      <c r="H215" t="s">
        <v>14</v>
      </c>
      <c r="I215" t="s">
        <v>53</v>
      </c>
      <c r="J215" t="s">
        <v>15</v>
      </c>
      <c r="M215" t="str">
        <f t="shared" si="28"/>
        <v>David</v>
      </c>
      <c r="N215">
        <v>30</v>
      </c>
      <c r="O215">
        <f t="shared" si="29"/>
        <v>30</v>
      </c>
      <c r="P215">
        <v>65000</v>
      </c>
      <c r="Q215">
        <f t="shared" si="30"/>
        <v>65000</v>
      </c>
      <c r="R215" t="str">
        <f t="shared" si="31"/>
        <v>Other</v>
      </c>
      <c r="S215" t="str">
        <f t="shared" si="32"/>
        <v>HR</v>
      </c>
      <c r="T215" t="str">
        <f t="shared" si="33"/>
        <v>Analyst</v>
      </c>
      <c r="U215" s="2">
        <v>43800</v>
      </c>
      <c r="V215" t="s">
        <v>14</v>
      </c>
      <c r="W215" t="s">
        <v>53</v>
      </c>
      <c r="X215" t="str">
        <f t="shared" si="34"/>
        <v>name@company/org</v>
      </c>
      <c r="Y215" t="str">
        <f t="shared" si="35"/>
        <v>name@company.org</v>
      </c>
      <c r="Z215" t="str">
        <f t="shared" si="27"/>
        <v>Phone not provided</v>
      </c>
    </row>
    <row r="216" spans="1:26" x14ac:dyDescent="0.25">
      <c r="A216" t="s">
        <v>43</v>
      </c>
      <c r="B216" t="s">
        <v>15</v>
      </c>
      <c r="C216" t="s">
        <v>30</v>
      </c>
      <c r="D216" t="s">
        <v>32</v>
      </c>
      <c r="E216" t="s">
        <v>18</v>
      </c>
      <c r="F216" t="s">
        <v>38</v>
      </c>
      <c r="G216" s="2">
        <v>43800</v>
      </c>
      <c r="H216" t="s">
        <v>28</v>
      </c>
      <c r="J216" t="s">
        <v>39</v>
      </c>
      <c r="M216" t="str">
        <f t="shared" si="28"/>
        <v>Ivy</v>
      </c>
      <c r="N216" t="s">
        <v>15</v>
      </c>
      <c r="O216">
        <f t="shared" si="29"/>
        <v>35</v>
      </c>
      <c r="P216" t="s">
        <v>30</v>
      </c>
      <c r="Q216">
        <f t="shared" si="30"/>
        <v>60000</v>
      </c>
      <c r="R216" t="str">
        <f t="shared" si="31"/>
        <v>Other</v>
      </c>
      <c r="S216" t="str">
        <f t="shared" si="32"/>
        <v>Finance</v>
      </c>
      <c r="T216" t="str">
        <f t="shared" si="33"/>
        <v>Analyst</v>
      </c>
      <c r="U216" s="2">
        <v>43800</v>
      </c>
      <c r="V216" t="s">
        <v>28</v>
      </c>
      <c r="X216" t="str">
        <f t="shared" si="34"/>
        <v>Email not provided</v>
      </c>
      <c r="Y216" t="str">
        <f t="shared" si="35"/>
        <v>Email not provided</v>
      </c>
      <c r="Z216" t="str">
        <f t="shared" si="27"/>
        <v>555-555-5555</v>
      </c>
    </row>
    <row r="217" spans="1:26" x14ac:dyDescent="0.25">
      <c r="A217" t="s">
        <v>42</v>
      </c>
      <c r="B217">
        <v>25</v>
      </c>
      <c r="C217">
        <v>60000</v>
      </c>
      <c r="D217" t="s">
        <v>11</v>
      </c>
      <c r="E217" t="s">
        <v>23</v>
      </c>
      <c r="F217" t="s">
        <v>37</v>
      </c>
      <c r="G217" s="2">
        <v>43881</v>
      </c>
      <c r="H217" t="s">
        <v>14</v>
      </c>
      <c r="I217" t="s">
        <v>15</v>
      </c>
      <c r="J217" t="s">
        <v>29</v>
      </c>
      <c r="M217" t="str">
        <f t="shared" si="28"/>
        <v>Alice</v>
      </c>
      <c r="N217">
        <v>25</v>
      </c>
      <c r="O217">
        <f t="shared" si="29"/>
        <v>25</v>
      </c>
      <c r="P217">
        <v>60000</v>
      </c>
      <c r="Q217">
        <f t="shared" si="30"/>
        <v>60000</v>
      </c>
      <c r="R217" t="str">
        <f t="shared" si="31"/>
        <v>Male</v>
      </c>
      <c r="S217" t="str">
        <f t="shared" si="32"/>
        <v>Sales</v>
      </c>
      <c r="T217" t="str">
        <f t="shared" si="33"/>
        <v>Assistant</v>
      </c>
      <c r="U217" s="2">
        <v>43881</v>
      </c>
      <c r="V217" t="s">
        <v>14</v>
      </c>
      <c r="W217" t="s">
        <v>15</v>
      </c>
      <c r="X217" t="str">
        <f t="shared" si="34"/>
        <v>Email not provided</v>
      </c>
      <c r="Y217" t="str">
        <f t="shared" si="35"/>
        <v>Email not provided</v>
      </c>
      <c r="Z217" t="str">
        <f t="shared" si="27"/>
        <v>Phone not provided</v>
      </c>
    </row>
    <row r="218" spans="1:26" x14ac:dyDescent="0.25">
      <c r="A218" t="s">
        <v>22</v>
      </c>
      <c r="B218">
        <v>50</v>
      </c>
      <c r="C218">
        <v>65000</v>
      </c>
      <c r="D218" t="s">
        <v>32</v>
      </c>
      <c r="E218" t="s">
        <v>23</v>
      </c>
      <c r="F218" t="s">
        <v>13</v>
      </c>
      <c r="G218" s="2">
        <v>43800</v>
      </c>
      <c r="H218" t="s">
        <v>14</v>
      </c>
      <c r="I218" t="s">
        <v>53</v>
      </c>
      <c r="J218" t="s">
        <v>15</v>
      </c>
      <c r="M218" t="str">
        <f t="shared" si="28"/>
        <v>Hannah</v>
      </c>
      <c r="N218">
        <v>50</v>
      </c>
      <c r="O218">
        <f t="shared" si="29"/>
        <v>50</v>
      </c>
      <c r="P218">
        <v>65000</v>
      </c>
      <c r="Q218">
        <f t="shared" si="30"/>
        <v>65000</v>
      </c>
      <c r="R218" t="str">
        <f t="shared" si="31"/>
        <v>Other</v>
      </c>
      <c r="S218" t="str">
        <f t="shared" si="32"/>
        <v>Sales</v>
      </c>
      <c r="T218" t="str">
        <f t="shared" si="33"/>
        <v>Manager</v>
      </c>
      <c r="U218" s="2">
        <v>43800</v>
      </c>
      <c r="V218" t="s">
        <v>14</v>
      </c>
      <c r="W218" t="s">
        <v>53</v>
      </c>
      <c r="X218" t="str">
        <f t="shared" si="34"/>
        <v>name@company/org</v>
      </c>
      <c r="Y218" t="str">
        <f t="shared" si="35"/>
        <v>name@company.org</v>
      </c>
      <c r="Z218" t="str">
        <f t="shared" si="27"/>
        <v>Phone not provided</v>
      </c>
    </row>
    <row r="219" spans="1:26" x14ac:dyDescent="0.25">
      <c r="A219" t="s">
        <v>10</v>
      </c>
      <c r="B219">
        <v>30</v>
      </c>
      <c r="C219">
        <v>55000</v>
      </c>
      <c r="D219" t="s">
        <v>17</v>
      </c>
      <c r="E219" t="s">
        <v>12</v>
      </c>
      <c r="F219" t="s">
        <v>19</v>
      </c>
      <c r="G219" s="1">
        <v>43195</v>
      </c>
      <c r="H219" t="s">
        <v>20</v>
      </c>
      <c r="I219" t="s">
        <v>51</v>
      </c>
      <c r="J219" t="s">
        <v>15</v>
      </c>
      <c r="M219" t="str">
        <f t="shared" si="28"/>
        <v>Grace</v>
      </c>
      <c r="N219">
        <v>30</v>
      </c>
      <c r="O219">
        <f t="shared" si="29"/>
        <v>30</v>
      </c>
      <c r="P219">
        <v>55000</v>
      </c>
      <c r="Q219">
        <f t="shared" si="30"/>
        <v>55000</v>
      </c>
      <c r="R219" t="str">
        <f t="shared" si="31"/>
        <v>Female</v>
      </c>
      <c r="S219" t="str">
        <f t="shared" si="32"/>
        <v>HR</v>
      </c>
      <c r="T219" t="str">
        <f t="shared" si="33"/>
        <v>Director</v>
      </c>
      <c r="U219" s="2">
        <v>43195</v>
      </c>
      <c r="V219" t="s">
        <v>20</v>
      </c>
      <c r="W219" t="s">
        <v>51</v>
      </c>
      <c r="X219" t="str">
        <f t="shared" si="34"/>
        <v>email@example/com</v>
      </c>
      <c r="Y219" t="str">
        <f t="shared" si="35"/>
        <v>email@example.com</v>
      </c>
      <c r="Z219" t="str">
        <f t="shared" si="27"/>
        <v>Phone not provided</v>
      </c>
    </row>
    <row r="220" spans="1:26" x14ac:dyDescent="0.25">
      <c r="A220" t="s">
        <v>41</v>
      </c>
      <c r="B220">
        <v>25</v>
      </c>
      <c r="C220" t="s">
        <v>30</v>
      </c>
      <c r="D220" t="s">
        <v>11</v>
      </c>
      <c r="E220" t="s">
        <v>12</v>
      </c>
      <c r="F220" t="s">
        <v>13</v>
      </c>
      <c r="G220" s="2">
        <v>43800</v>
      </c>
      <c r="H220" t="s">
        <v>24</v>
      </c>
      <c r="J220" t="s">
        <v>39</v>
      </c>
      <c r="M220" t="str">
        <f t="shared" si="28"/>
        <v>Bob</v>
      </c>
      <c r="N220">
        <v>25</v>
      </c>
      <c r="O220">
        <f t="shared" si="29"/>
        <v>25</v>
      </c>
      <c r="P220" t="s">
        <v>30</v>
      </c>
      <c r="Q220">
        <f t="shared" si="30"/>
        <v>60000</v>
      </c>
      <c r="R220" t="str">
        <f t="shared" si="31"/>
        <v>Male</v>
      </c>
      <c r="S220" t="str">
        <f t="shared" si="32"/>
        <v>HR</v>
      </c>
      <c r="T220" t="str">
        <f t="shared" si="33"/>
        <v>Manager</v>
      </c>
      <c r="U220" s="2">
        <v>43800</v>
      </c>
      <c r="V220" t="s">
        <v>24</v>
      </c>
      <c r="X220" t="str">
        <f t="shared" si="34"/>
        <v>Email not provided</v>
      </c>
      <c r="Y220" t="str">
        <f t="shared" si="35"/>
        <v>Email not provided</v>
      </c>
      <c r="Z220" t="str">
        <f t="shared" si="27"/>
        <v>555-555-5555</v>
      </c>
    </row>
    <row r="221" spans="1:26" x14ac:dyDescent="0.25">
      <c r="A221" t="s">
        <v>22</v>
      </c>
      <c r="B221">
        <v>40</v>
      </c>
      <c r="C221">
        <v>55000</v>
      </c>
      <c r="D221" t="s">
        <v>17</v>
      </c>
      <c r="E221" t="s">
        <v>12</v>
      </c>
      <c r="F221" t="s">
        <v>38</v>
      </c>
      <c r="G221" s="1">
        <v>43195</v>
      </c>
      <c r="H221" t="s">
        <v>24</v>
      </c>
      <c r="I221" t="s">
        <v>52</v>
      </c>
      <c r="J221" t="s">
        <v>29</v>
      </c>
      <c r="M221" t="str">
        <f t="shared" si="28"/>
        <v>Hannah</v>
      </c>
      <c r="N221">
        <v>40</v>
      </c>
      <c r="O221">
        <f t="shared" si="29"/>
        <v>40</v>
      </c>
      <c r="P221">
        <v>55000</v>
      </c>
      <c r="Q221">
        <f t="shared" si="30"/>
        <v>55000</v>
      </c>
      <c r="R221" t="str">
        <f t="shared" si="31"/>
        <v>Female</v>
      </c>
      <c r="S221" t="str">
        <f t="shared" si="32"/>
        <v>HR</v>
      </c>
      <c r="T221" t="str">
        <f t="shared" si="33"/>
        <v>Analyst</v>
      </c>
      <c r="U221" s="2">
        <v>43195</v>
      </c>
      <c r="V221" t="s">
        <v>24</v>
      </c>
      <c r="W221" t="s">
        <v>52</v>
      </c>
      <c r="X221" t="str">
        <f t="shared" si="34"/>
        <v>user@domain/com</v>
      </c>
      <c r="Y221" t="str">
        <f t="shared" si="35"/>
        <v>user@domain.com</v>
      </c>
      <c r="Z221" t="str">
        <f t="shared" si="27"/>
        <v>Phone not provided</v>
      </c>
    </row>
    <row r="222" spans="1:26" x14ac:dyDescent="0.25">
      <c r="A222" t="s">
        <v>42</v>
      </c>
      <c r="B222">
        <v>25</v>
      </c>
      <c r="C222">
        <v>70000</v>
      </c>
      <c r="D222" t="s">
        <v>11</v>
      </c>
      <c r="E222" t="s">
        <v>18</v>
      </c>
      <c r="F222" t="s">
        <v>19</v>
      </c>
      <c r="G222" s="2">
        <v>43800</v>
      </c>
      <c r="H222" t="s">
        <v>24</v>
      </c>
      <c r="I222" t="s">
        <v>53</v>
      </c>
      <c r="J222" t="s">
        <v>21</v>
      </c>
      <c r="M222" t="str">
        <f t="shared" si="28"/>
        <v>Alice</v>
      </c>
      <c r="N222">
        <v>25</v>
      </c>
      <c r="O222">
        <f t="shared" si="29"/>
        <v>25</v>
      </c>
      <c r="P222">
        <v>70000</v>
      </c>
      <c r="Q222">
        <f t="shared" si="30"/>
        <v>70000</v>
      </c>
      <c r="R222" t="str">
        <f t="shared" si="31"/>
        <v>Male</v>
      </c>
      <c r="S222" t="str">
        <f t="shared" si="32"/>
        <v>Finance</v>
      </c>
      <c r="T222" t="str">
        <f t="shared" si="33"/>
        <v>Director</v>
      </c>
      <c r="U222" s="2">
        <v>43800</v>
      </c>
      <c r="V222" t="s">
        <v>24</v>
      </c>
      <c r="W222" t="s">
        <v>53</v>
      </c>
      <c r="X222" t="str">
        <f t="shared" si="34"/>
        <v>name@company/org</v>
      </c>
      <c r="Y222" t="str">
        <f t="shared" si="35"/>
        <v>name@company.org</v>
      </c>
      <c r="Z222" t="str">
        <f t="shared" si="27"/>
        <v>123-456-7890</v>
      </c>
    </row>
    <row r="223" spans="1:26" x14ac:dyDescent="0.25">
      <c r="A223" t="s">
        <v>43</v>
      </c>
      <c r="B223">
        <v>50</v>
      </c>
      <c r="C223" t="s">
        <v>30</v>
      </c>
      <c r="D223" t="s">
        <v>32</v>
      </c>
      <c r="E223" t="s">
        <v>33</v>
      </c>
      <c r="F223" t="s">
        <v>13</v>
      </c>
      <c r="G223" s="2">
        <v>43881</v>
      </c>
      <c r="H223" t="s">
        <v>20</v>
      </c>
      <c r="I223" t="s">
        <v>53</v>
      </c>
      <c r="J223" t="s">
        <v>39</v>
      </c>
      <c r="M223" t="str">
        <f t="shared" si="28"/>
        <v>Ivy</v>
      </c>
      <c r="N223">
        <v>50</v>
      </c>
      <c r="O223">
        <f t="shared" si="29"/>
        <v>50</v>
      </c>
      <c r="P223" t="s">
        <v>30</v>
      </c>
      <c r="Q223">
        <f t="shared" si="30"/>
        <v>60000</v>
      </c>
      <c r="R223" t="str">
        <f t="shared" si="31"/>
        <v>Other</v>
      </c>
      <c r="S223" t="str">
        <f t="shared" si="32"/>
        <v>Marketing</v>
      </c>
      <c r="T223" t="str">
        <f t="shared" si="33"/>
        <v>Manager</v>
      </c>
      <c r="U223" s="2">
        <v>43881</v>
      </c>
      <c r="V223" t="s">
        <v>20</v>
      </c>
      <c r="W223" t="s">
        <v>53</v>
      </c>
      <c r="X223" t="str">
        <f t="shared" si="34"/>
        <v>name@company/org</v>
      </c>
      <c r="Y223" t="str">
        <f t="shared" si="35"/>
        <v>name@company.org</v>
      </c>
      <c r="Z223" t="str">
        <f t="shared" si="27"/>
        <v>555-555-5555</v>
      </c>
    </row>
    <row r="224" spans="1:26" x14ac:dyDescent="0.25">
      <c r="A224" t="s">
        <v>43</v>
      </c>
      <c r="B224">
        <v>30</v>
      </c>
      <c r="C224">
        <v>65000</v>
      </c>
      <c r="D224" t="s">
        <v>17</v>
      </c>
      <c r="E224" t="s">
        <v>12</v>
      </c>
      <c r="F224" t="s">
        <v>35</v>
      </c>
      <c r="G224" s="1">
        <v>43195</v>
      </c>
      <c r="H224" t="s">
        <v>14</v>
      </c>
      <c r="J224" t="s">
        <v>21</v>
      </c>
      <c r="M224" t="str">
        <f t="shared" si="28"/>
        <v>Ivy</v>
      </c>
      <c r="N224">
        <v>30</v>
      </c>
      <c r="O224">
        <f t="shared" si="29"/>
        <v>30</v>
      </c>
      <c r="P224">
        <v>65000</v>
      </c>
      <c r="Q224">
        <f t="shared" si="30"/>
        <v>65000</v>
      </c>
      <c r="R224" t="str">
        <f t="shared" si="31"/>
        <v>Female</v>
      </c>
      <c r="S224" t="str">
        <f t="shared" si="32"/>
        <v>HR</v>
      </c>
      <c r="T224" t="str">
        <f t="shared" si="33"/>
        <v>Clerk</v>
      </c>
      <c r="U224" s="2">
        <v>43195</v>
      </c>
      <c r="V224" t="s">
        <v>14</v>
      </c>
      <c r="X224" t="str">
        <f t="shared" si="34"/>
        <v>Email not provided</v>
      </c>
      <c r="Y224" t="str">
        <f t="shared" si="35"/>
        <v>Email not provided</v>
      </c>
      <c r="Z224" t="str">
        <f t="shared" si="27"/>
        <v>123-456-7890</v>
      </c>
    </row>
    <row r="225" spans="1:26" x14ac:dyDescent="0.25">
      <c r="A225" t="s">
        <v>41</v>
      </c>
      <c r="B225" t="s">
        <v>15</v>
      </c>
      <c r="C225">
        <v>70000</v>
      </c>
      <c r="D225" t="s">
        <v>11</v>
      </c>
      <c r="E225" t="s">
        <v>12</v>
      </c>
      <c r="F225" t="s">
        <v>37</v>
      </c>
      <c r="G225" s="2">
        <v>43845</v>
      </c>
      <c r="H225" t="s">
        <v>14</v>
      </c>
      <c r="I225" t="s">
        <v>15</v>
      </c>
      <c r="J225" t="s">
        <v>39</v>
      </c>
      <c r="M225" t="str">
        <f t="shared" si="28"/>
        <v>Bob</v>
      </c>
      <c r="N225" t="s">
        <v>15</v>
      </c>
      <c r="O225">
        <f t="shared" si="29"/>
        <v>35</v>
      </c>
      <c r="P225">
        <v>70000</v>
      </c>
      <c r="Q225">
        <f t="shared" si="30"/>
        <v>70000</v>
      </c>
      <c r="R225" t="str">
        <f t="shared" si="31"/>
        <v>Male</v>
      </c>
      <c r="S225" t="str">
        <f t="shared" si="32"/>
        <v>HR</v>
      </c>
      <c r="T225" t="str">
        <f t="shared" si="33"/>
        <v>Assistant</v>
      </c>
      <c r="U225" s="2">
        <v>43845</v>
      </c>
      <c r="V225" t="s">
        <v>14</v>
      </c>
      <c r="W225" t="s">
        <v>15</v>
      </c>
      <c r="X225" t="str">
        <f t="shared" si="34"/>
        <v>Email not provided</v>
      </c>
      <c r="Y225" t="str">
        <f t="shared" si="35"/>
        <v>Email not provided</v>
      </c>
      <c r="Z225" t="str">
        <f t="shared" si="27"/>
        <v>555-555-5555</v>
      </c>
    </row>
    <row r="226" spans="1:26" x14ac:dyDescent="0.25">
      <c r="A226" t="s">
        <v>10</v>
      </c>
      <c r="B226">
        <v>40</v>
      </c>
      <c r="C226">
        <v>50000</v>
      </c>
      <c r="D226" t="s">
        <v>11</v>
      </c>
      <c r="E226" t="s">
        <v>27</v>
      </c>
      <c r="F226" t="s">
        <v>37</v>
      </c>
      <c r="G226" s="1">
        <v>43195</v>
      </c>
      <c r="H226" t="s">
        <v>28</v>
      </c>
      <c r="I226" t="s">
        <v>15</v>
      </c>
      <c r="J226" t="s">
        <v>21</v>
      </c>
      <c r="M226" t="str">
        <f t="shared" si="28"/>
        <v>Grace</v>
      </c>
      <c r="N226">
        <v>40</v>
      </c>
      <c r="O226">
        <f t="shared" si="29"/>
        <v>40</v>
      </c>
      <c r="P226">
        <v>50000</v>
      </c>
      <c r="Q226">
        <f t="shared" si="30"/>
        <v>50000</v>
      </c>
      <c r="R226" t="str">
        <f t="shared" si="31"/>
        <v>Male</v>
      </c>
      <c r="S226" t="str">
        <f t="shared" si="32"/>
        <v>IT</v>
      </c>
      <c r="T226" t="str">
        <f t="shared" si="33"/>
        <v>Assistant</v>
      </c>
      <c r="U226" s="2">
        <v>43195</v>
      </c>
      <c r="V226" t="s">
        <v>28</v>
      </c>
      <c r="W226" t="s">
        <v>15</v>
      </c>
      <c r="X226" t="str">
        <f t="shared" si="34"/>
        <v>Email not provided</v>
      </c>
      <c r="Y226" t="str">
        <f t="shared" si="35"/>
        <v>Email not provided</v>
      </c>
      <c r="Z226" t="str">
        <f t="shared" si="27"/>
        <v>123-456-7890</v>
      </c>
    </row>
    <row r="227" spans="1:26" x14ac:dyDescent="0.25">
      <c r="A227" t="s">
        <v>31</v>
      </c>
      <c r="B227">
        <v>30</v>
      </c>
      <c r="C227">
        <v>65000</v>
      </c>
      <c r="D227" t="s">
        <v>32</v>
      </c>
      <c r="E227" t="s">
        <v>18</v>
      </c>
      <c r="F227" t="s">
        <v>35</v>
      </c>
      <c r="G227" s="2">
        <v>43881</v>
      </c>
      <c r="H227" t="s">
        <v>20</v>
      </c>
      <c r="I227" t="s">
        <v>15</v>
      </c>
      <c r="J227" t="s">
        <v>39</v>
      </c>
      <c r="M227" t="str">
        <f t="shared" si="28"/>
        <v>Jack</v>
      </c>
      <c r="N227">
        <v>30</v>
      </c>
      <c r="O227">
        <f t="shared" si="29"/>
        <v>30</v>
      </c>
      <c r="P227">
        <v>65000</v>
      </c>
      <c r="Q227">
        <f t="shared" si="30"/>
        <v>65000</v>
      </c>
      <c r="R227" t="str">
        <f t="shared" si="31"/>
        <v>Other</v>
      </c>
      <c r="S227" t="str">
        <f t="shared" si="32"/>
        <v>Finance</v>
      </c>
      <c r="T227" t="str">
        <f t="shared" si="33"/>
        <v>Clerk</v>
      </c>
      <c r="U227" s="2">
        <v>43881</v>
      </c>
      <c r="V227" t="s">
        <v>20</v>
      </c>
      <c r="W227" t="s">
        <v>15</v>
      </c>
      <c r="X227" t="str">
        <f t="shared" si="34"/>
        <v>Email not provided</v>
      </c>
      <c r="Y227" t="str">
        <f t="shared" si="35"/>
        <v>Email not provided</v>
      </c>
      <c r="Z227" t="str">
        <f t="shared" si="27"/>
        <v>555-555-5555</v>
      </c>
    </row>
    <row r="228" spans="1:26" x14ac:dyDescent="0.25">
      <c r="A228" t="s">
        <v>34</v>
      </c>
      <c r="B228">
        <v>50</v>
      </c>
      <c r="C228">
        <v>60000</v>
      </c>
      <c r="D228" t="s">
        <v>32</v>
      </c>
      <c r="E228" t="s">
        <v>12</v>
      </c>
      <c r="F228" t="s">
        <v>38</v>
      </c>
      <c r="G228" s="1">
        <v>43195</v>
      </c>
      <c r="H228" t="s">
        <v>28</v>
      </c>
      <c r="I228" t="s">
        <v>52</v>
      </c>
      <c r="J228" t="s">
        <v>15</v>
      </c>
      <c r="M228" t="str">
        <f t="shared" si="28"/>
        <v>Charlie</v>
      </c>
      <c r="N228">
        <v>50</v>
      </c>
      <c r="O228">
        <f t="shared" si="29"/>
        <v>50</v>
      </c>
      <c r="P228">
        <v>60000</v>
      </c>
      <c r="Q228">
        <f t="shared" si="30"/>
        <v>60000</v>
      </c>
      <c r="R228" t="str">
        <f t="shared" si="31"/>
        <v>Other</v>
      </c>
      <c r="S228" t="str">
        <f t="shared" si="32"/>
        <v>HR</v>
      </c>
      <c r="T228" t="str">
        <f t="shared" si="33"/>
        <v>Analyst</v>
      </c>
      <c r="U228" s="2">
        <v>43195</v>
      </c>
      <c r="V228" t="s">
        <v>28</v>
      </c>
      <c r="W228" t="s">
        <v>52</v>
      </c>
      <c r="X228" t="str">
        <f t="shared" si="34"/>
        <v>user@domain/com</v>
      </c>
      <c r="Y228" t="str">
        <f t="shared" si="35"/>
        <v>user@domain.com</v>
      </c>
      <c r="Z228" t="str">
        <f t="shared" si="27"/>
        <v>Phone not provided</v>
      </c>
    </row>
    <row r="229" spans="1:26" x14ac:dyDescent="0.25">
      <c r="A229" t="s">
        <v>10</v>
      </c>
      <c r="B229">
        <v>40</v>
      </c>
      <c r="C229">
        <v>50000</v>
      </c>
      <c r="D229" t="s">
        <v>32</v>
      </c>
      <c r="E229" t="s">
        <v>27</v>
      </c>
      <c r="F229" t="s">
        <v>19</v>
      </c>
      <c r="G229" s="2">
        <v>43800</v>
      </c>
      <c r="H229" t="s">
        <v>20</v>
      </c>
      <c r="J229" t="s">
        <v>25</v>
      </c>
      <c r="M229" t="str">
        <f t="shared" si="28"/>
        <v>Grace</v>
      </c>
      <c r="N229">
        <v>40</v>
      </c>
      <c r="O229">
        <f t="shared" si="29"/>
        <v>40</v>
      </c>
      <c r="P229">
        <v>50000</v>
      </c>
      <c r="Q229">
        <f t="shared" si="30"/>
        <v>50000</v>
      </c>
      <c r="R229" t="str">
        <f t="shared" si="31"/>
        <v>Other</v>
      </c>
      <c r="S229" t="str">
        <f t="shared" si="32"/>
        <v>IT</v>
      </c>
      <c r="T229" t="str">
        <f t="shared" si="33"/>
        <v>Director</v>
      </c>
      <c r="U229" s="2">
        <v>43800</v>
      </c>
      <c r="V229" t="s">
        <v>20</v>
      </c>
      <c r="X229" t="str">
        <f t="shared" si="34"/>
        <v>Email not provided</v>
      </c>
      <c r="Y229" t="str">
        <f t="shared" si="35"/>
        <v>Email not provided</v>
      </c>
      <c r="Z229" t="str">
        <f t="shared" si="27"/>
        <v>098-765-4321</v>
      </c>
    </row>
    <row r="230" spans="1:26" x14ac:dyDescent="0.25">
      <c r="A230" t="s">
        <v>31</v>
      </c>
      <c r="B230">
        <v>35</v>
      </c>
      <c r="C230">
        <v>50000</v>
      </c>
      <c r="D230" t="s">
        <v>17</v>
      </c>
      <c r="E230" t="s">
        <v>23</v>
      </c>
      <c r="F230" t="s">
        <v>37</v>
      </c>
      <c r="G230" s="2">
        <v>43800</v>
      </c>
      <c r="H230" t="s">
        <v>28</v>
      </c>
      <c r="J230" t="s">
        <v>15</v>
      </c>
      <c r="M230" t="str">
        <f t="shared" si="28"/>
        <v>Jack</v>
      </c>
      <c r="N230">
        <v>35</v>
      </c>
      <c r="O230">
        <f t="shared" si="29"/>
        <v>35</v>
      </c>
      <c r="P230">
        <v>50000</v>
      </c>
      <c r="Q230">
        <f t="shared" si="30"/>
        <v>50000</v>
      </c>
      <c r="R230" t="str">
        <f t="shared" si="31"/>
        <v>Female</v>
      </c>
      <c r="S230" t="str">
        <f t="shared" si="32"/>
        <v>Sales</v>
      </c>
      <c r="T230" t="str">
        <f t="shared" si="33"/>
        <v>Assistant</v>
      </c>
      <c r="U230" s="2">
        <v>43800</v>
      </c>
      <c r="V230" t="s">
        <v>28</v>
      </c>
      <c r="X230" t="str">
        <f t="shared" si="34"/>
        <v>Email not provided</v>
      </c>
      <c r="Y230" t="str">
        <f t="shared" si="35"/>
        <v>Email not provided</v>
      </c>
      <c r="Z230" t="str">
        <f t="shared" si="27"/>
        <v>Phone not provided</v>
      </c>
    </row>
    <row r="231" spans="1:26" x14ac:dyDescent="0.25">
      <c r="A231" t="s">
        <v>43</v>
      </c>
      <c r="B231">
        <v>25</v>
      </c>
      <c r="C231">
        <v>60000</v>
      </c>
      <c r="D231" t="s">
        <v>11</v>
      </c>
      <c r="E231" t="s">
        <v>12</v>
      </c>
      <c r="F231" t="s">
        <v>35</v>
      </c>
      <c r="G231" s="2">
        <v>43881</v>
      </c>
      <c r="H231" t="s">
        <v>36</v>
      </c>
      <c r="I231" t="s">
        <v>15</v>
      </c>
      <c r="J231" t="s">
        <v>21</v>
      </c>
      <c r="M231" t="str">
        <f t="shared" si="28"/>
        <v>Ivy</v>
      </c>
      <c r="N231">
        <v>25</v>
      </c>
      <c r="O231">
        <f t="shared" si="29"/>
        <v>25</v>
      </c>
      <c r="P231">
        <v>60000</v>
      </c>
      <c r="Q231">
        <f t="shared" si="30"/>
        <v>60000</v>
      </c>
      <c r="R231" t="str">
        <f t="shared" si="31"/>
        <v>Male</v>
      </c>
      <c r="S231" t="str">
        <f t="shared" si="32"/>
        <v>HR</v>
      </c>
      <c r="T231" t="str">
        <f t="shared" si="33"/>
        <v>Clerk</v>
      </c>
      <c r="U231" s="2">
        <v>43881</v>
      </c>
      <c r="V231" t="s">
        <v>36</v>
      </c>
      <c r="W231" t="s">
        <v>15</v>
      </c>
      <c r="X231" t="str">
        <f t="shared" si="34"/>
        <v>Email not provided</v>
      </c>
      <c r="Y231" t="str">
        <f t="shared" si="35"/>
        <v>Email not provided</v>
      </c>
      <c r="Z231" t="str">
        <f t="shared" si="27"/>
        <v>123-456-7890</v>
      </c>
    </row>
    <row r="232" spans="1:26" x14ac:dyDescent="0.25">
      <c r="A232" t="s">
        <v>16</v>
      </c>
      <c r="B232">
        <v>50</v>
      </c>
      <c r="C232" t="s">
        <v>30</v>
      </c>
      <c r="D232" t="s">
        <v>32</v>
      </c>
      <c r="E232" t="s">
        <v>12</v>
      </c>
      <c r="F232" t="s">
        <v>35</v>
      </c>
      <c r="G232" s="2">
        <v>43549</v>
      </c>
      <c r="H232" t="s">
        <v>24</v>
      </c>
      <c r="I232" t="s">
        <v>15</v>
      </c>
      <c r="J232" t="s">
        <v>29</v>
      </c>
      <c r="M232" t="str">
        <f t="shared" si="28"/>
        <v>David</v>
      </c>
      <c r="N232">
        <v>50</v>
      </c>
      <c r="O232">
        <f t="shared" si="29"/>
        <v>50</v>
      </c>
      <c r="P232" t="s">
        <v>30</v>
      </c>
      <c r="Q232">
        <f t="shared" si="30"/>
        <v>60000</v>
      </c>
      <c r="R232" t="str">
        <f t="shared" si="31"/>
        <v>Other</v>
      </c>
      <c r="S232" t="str">
        <f t="shared" si="32"/>
        <v>HR</v>
      </c>
      <c r="T232" t="str">
        <f t="shared" si="33"/>
        <v>Clerk</v>
      </c>
      <c r="U232" s="2">
        <v>43549</v>
      </c>
      <c r="V232" t="s">
        <v>24</v>
      </c>
      <c r="W232" t="s">
        <v>15</v>
      </c>
      <c r="X232" t="str">
        <f t="shared" si="34"/>
        <v>Email not provided</v>
      </c>
      <c r="Y232" t="str">
        <f t="shared" si="35"/>
        <v>Email not provided</v>
      </c>
      <c r="Z232" t="str">
        <f t="shared" si="27"/>
        <v>Phone not provided</v>
      </c>
    </row>
    <row r="233" spans="1:26" x14ac:dyDescent="0.25">
      <c r="A233" t="s">
        <v>42</v>
      </c>
      <c r="B233">
        <v>35</v>
      </c>
      <c r="C233">
        <v>50000</v>
      </c>
      <c r="D233" t="s">
        <v>17</v>
      </c>
      <c r="E233" t="s">
        <v>27</v>
      </c>
      <c r="F233" t="s">
        <v>38</v>
      </c>
      <c r="G233" s="2">
        <v>43800</v>
      </c>
      <c r="H233" t="s">
        <v>24</v>
      </c>
      <c r="I233" t="s">
        <v>51</v>
      </c>
      <c r="J233" t="s">
        <v>15</v>
      </c>
      <c r="M233" t="str">
        <f t="shared" si="28"/>
        <v>Alice</v>
      </c>
      <c r="N233">
        <v>35</v>
      </c>
      <c r="O233">
        <f t="shared" si="29"/>
        <v>35</v>
      </c>
      <c r="P233">
        <v>50000</v>
      </c>
      <c r="Q233">
        <f t="shared" si="30"/>
        <v>50000</v>
      </c>
      <c r="R233" t="str">
        <f t="shared" si="31"/>
        <v>Female</v>
      </c>
      <c r="S233" t="str">
        <f t="shared" si="32"/>
        <v>IT</v>
      </c>
      <c r="T233" t="str">
        <f t="shared" si="33"/>
        <v>Analyst</v>
      </c>
      <c r="U233" s="2">
        <v>43800</v>
      </c>
      <c r="V233" t="s">
        <v>24</v>
      </c>
      <c r="W233" t="s">
        <v>51</v>
      </c>
      <c r="X233" t="str">
        <f t="shared" si="34"/>
        <v>email@example/com</v>
      </c>
      <c r="Y233" t="str">
        <f t="shared" si="35"/>
        <v>email@example.com</v>
      </c>
      <c r="Z233" t="str">
        <f t="shared" si="27"/>
        <v>Phone not provided</v>
      </c>
    </row>
    <row r="234" spans="1:26" x14ac:dyDescent="0.25">
      <c r="A234" t="s">
        <v>41</v>
      </c>
      <c r="B234">
        <v>30</v>
      </c>
      <c r="C234">
        <v>65000</v>
      </c>
      <c r="D234" t="s">
        <v>17</v>
      </c>
      <c r="E234" t="s">
        <v>18</v>
      </c>
      <c r="F234" t="s">
        <v>38</v>
      </c>
      <c r="G234" s="2">
        <v>43845</v>
      </c>
      <c r="H234" t="s">
        <v>14</v>
      </c>
      <c r="I234" t="s">
        <v>51</v>
      </c>
      <c r="J234" t="s">
        <v>25</v>
      </c>
      <c r="M234" t="str">
        <f t="shared" si="28"/>
        <v>Bob</v>
      </c>
      <c r="N234">
        <v>30</v>
      </c>
      <c r="O234">
        <f t="shared" si="29"/>
        <v>30</v>
      </c>
      <c r="P234">
        <v>65000</v>
      </c>
      <c r="Q234">
        <f t="shared" si="30"/>
        <v>65000</v>
      </c>
      <c r="R234" t="str">
        <f t="shared" si="31"/>
        <v>Female</v>
      </c>
      <c r="S234" t="str">
        <f t="shared" si="32"/>
        <v>Finance</v>
      </c>
      <c r="T234" t="str">
        <f t="shared" si="33"/>
        <v>Analyst</v>
      </c>
      <c r="U234" s="2">
        <v>43845</v>
      </c>
      <c r="V234" t="s">
        <v>14</v>
      </c>
      <c r="W234" t="s">
        <v>51</v>
      </c>
      <c r="X234" t="str">
        <f t="shared" si="34"/>
        <v>email@example/com</v>
      </c>
      <c r="Y234" t="str">
        <f t="shared" si="35"/>
        <v>email@example.com</v>
      </c>
      <c r="Z234" t="str">
        <f t="shared" si="27"/>
        <v>098-765-4321</v>
      </c>
    </row>
    <row r="235" spans="1:26" x14ac:dyDescent="0.25">
      <c r="A235" t="s">
        <v>42</v>
      </c>
      <c r="B235" t="s">
        <v>15</v>
      </c>
      <c r="C235">
        <v>70000</v>
      </c>
      <c r="D235" t="s">
        <v>17</v>
      </c>
      <c r="E235" t="s">
        <v>12</v>
      </c>
      <c r="F235" t="s">
        <v>13</v>
      </c>
      <c r="G235" s="2">
        <v>43881</v>
      </c>
      <c r="H235" t="s">
        <v>36</v>
      </c>
      <c r="I235" t="s">
        <v>53</v>
      </c>
      <c r="J235" t="s">
        <v>21</v>
      </c>
      <c r="M235" t="str">
        <f t="shared" si="28"/>
        <v>Alice</v>
      </c>
      <c r="N235" t="s">
        <v>15</v>
      </c>
      <c r="O235">
        <f t="shared" si="29"/>
        <v>35</v>
      </c>
      <c r="P235">
        <v>70000</v>
      </c>
      <c r="Q235">
        <f t="shared" si="30"/>
        <v>70000</v>
      </c>
      <c r="R235" t="str">
        <f t="shared" si="31"/>
        <v>Female</v>
      </c>
      <c r="S235" t="str">
        <f t="shared" si="32"/>
        <v>HR</v>
      </c>
      <c r="T235" t="str">
        <f t="shared" si="33"/>
        <v>Manager</v>
      </c>
      <c r="U235" s="2">
        <v>43881</v>
      </c>
      <c r="V235" t="s">
        <v>36</v>
      </c>
      <c r="W235" t="s">
        <v>53</v>
      </c>
      <c r="X235" t="str">
        <f t="shared" si="34"/>
        <v>name@company/org</v>
      </c>
      <c r="Y235" t="str">
        <f t="shared" si="35"/>
        <v>name@company.org</v>
      </c>
      <c r="Z235" t="str">
        <f t="shared" si="27"/>
        <v>123-456-7890</v>
      </c>
    </row>
    <row r="236" spans="1:26" x14ac:dyDescent="0.25">
      <c r="A236" t="s">
        <v>26</v>
      </c>
      <c r="B236">
        <v>40</v>
      </c>
      <c r="C236">
        <v>50000</v>
      </c>
      <c r="D236" t="s">
        <v>32</v>
      </c>
      <c r="E236" t="s">
        <v>23</v>
      </c>
      <c r="F236" t="s">
        <v>37</v>
      </c>
      <c r="G236" s="1">
        <v>43195</v>
      </c>
      <c r="H236" t="s">
        <v>24</v>
      </c>
      <c r="I236" t="s">
        <v>53</v>
      </c>
      <c r="J236" t="s">
        <v>15</v>
      </c>
      <c r="M236" t="str">
        <f t="shared" si="28"/>
        <v>Eve</v>
      </c>
      <c r="N236">
        <v>40</v>
      </c>
      <c r="O236">
        <f t="shared" si="29"/>
        <v>40</v>
      </c>
      <c r="P236">
        <v>50000</v>
      </c>
      <c r="Q236">
        <f t="shared" si="30"/>
        <v>50000</v>
      </c>
      <c r="R236" t="str">
        <f t="shared" si="31"/>
        <v>Other</v>
      </c>
      <c r="S236" t="str">
        <f t="shared" si="32"/>
        <v>Sales</v>
      </c>
      <c r="T236" t="str">
        <f t="shared" si="33"/>
        <v>Assistant</v>
      </c>
      <c r="U236" s="2">
        <v>43195</v>
      </c>
      <c r="V236" t="s">
        <v>24</v>
      </c>
      <c r="W236" t="s">
        <v>53</v>
      </c>
      <c r="X236" t="str">
        <f t="shared" si="34"/>
        <v>name@company/org</v>
      </c>
      <c r="Y236" t="str">
        <f t="shared" si="35"/>
        <v>name@company.org</v>
      </c>
      <c r="Z236" t="str">
        <f t="shared" si="27"/>
        <v>Phone not provided</v>
      </c>
    </row>
    <row r="237" spans="1:26" x14ac:dyDescent="0.25">
      <c r="A237" t="s">
        <v>26</v>
      </c>
      <c r="B237">
        <v>25</v>
      </c>
      <c r="C237">
        <v>65000</v>
      </c>
      <c r="D237" t="s">
        <v>32</v>
      </c>
      <c r="E237" t="s">
        <v>12</v>
      </c>
      <c r="F237" t="s">
        <v>13</v>
      </c>
      <c r="G237" s="1">
        <v>43195</v>
      </c>
      <c r="H237" t="s">
        <v>14</v>
      </c>
      <c r="J237" t="s">
        <v>39</v>
      </c>
      <c r="M237" t="str">
        <f t="shared" si="28"/>
        <v>Eve</v>
      </c>
      <c r="N237">
        <v>25</v>
      </c>
      <c r="O237">
        <f t="shared" si="29"/>
        <v>25</v>
      </c>
      <c r="P237">
        <v>65000</v>
      </c>
      <c r="Q237">
        <f t="shared" si="30"/>
        <v>65000</v>
      </c>
      <c r="R237" t="str">
        <f t="shared" si="31"/>
        <v>Other</v>
      </c>
      <c r="S237" t="str">
        <f t="shared" si="32"/>
        <v>HR</v>
      </c>
      <c r="T237" t="str">
        <f t="shared" si="33"/>
        <v>Manager</v>
      </c>
      <c r="U237" s="2">
        <v>43195</v>
      </c>
      <c r="V237" t="s">
        <v>14</v>
      </c>
      <c r="X237" t="str">
        <f t="shared" si="34"/>
        <v>Email not provided</v>
      </c>
      <c r="Y237" t="str">
        <f t="shared" si="35"/>
        <v>Email not provided</v>
      </c>
      <c r="Z237" t="str">
        <f t="shared" si="27"/>
        <v>555-555-5555</v>
      </c>
    </row>
    <row r="238" spans="1:26" x14ac:dyDescent="0.25">
      <c r="A238" t="s">
        <v>10</v>
      </c>
      <c r="B238">
        <v>40</v>
      </c>
      <c r="C238">
        <v>55000</v>
      </c>
      <c r="D238" t="s">
        <v>11</v>
      </c>
      <c r="E238" t="s">
        <v>23</v>
      </c>
      <c r="F238" t="s">
        <v>35</v>
      </c>
      <c r="G238" s="2">
        <v>43845</v>
      </c>
      <c r="H238" t="s">
        <v>36</v>
      </c>
      <c r="J238" t="s">
        <v>29</v>
      </c>
      <c r="M238" t="str">
        <f t="shared" si="28"/>
        <v>Grace</v>
      </c>
      <c r="N238">
        <v>40</v>
      </c>
      <c r="O238">
        <f t="shared" si="29"/>
        <v>40</v>
      </c>
      <c r="P238">
        <v>55000</v>
      </c>
      <c r="Q238">
        <f t="shared" si="30"/>
        <v>55000</v>
      </c>
      <c r="R238" t="str">
        <f t="shared" si="31"/>
        <v>Male</v>
      </c>
      <c r="S238" t="str">
        <f t="shared" si="32"/>
        <v>Sales</v>
      </c>
      <c r="T238" t="str">
        <f t="shared" si="33"/>
        <v>Clerk</v>
      </c>
      <c r="U238" s="2">
        <v>43845</v>
      </c>
      <c r="V238" t="s">
        <v>36</v>
      </c>
      <c r="X238" t="str">
        <f t="shared" si="34"/>
        <v>Email not provided</v>
      </c>
      <c r="Y238" t="str">
        <f t="shared" si="35"/>
        <v>Email not provided</v>
      </c>
      <c r="Z238" t="str">
        <f t="shared" si="27"/>
        <v>Phone not provided</v>
      </c>
    </row>
    <row r="239" spans="1:26" x14ac:dyDescent="0.25">
      <c r="A239" t="s">
        <v>43</v>
      </c>
      <c r="B239">
        <v>30</v>
      </c>
      <c r="C239">
        <v>65000</v>
      </c>
      <c r="D239" t="s">
        <v>11</v>
      </c>
      <c r="E239" t="s">
        <v>33</v>
      </c>
      <c r="F239" t="s">
        <v>19</v>
      </c>
      <c r="G239" s="2">
        <v>43800</v>
      </c>
      <c r="H239" t="s">
        <v>24</v>
      </c>
      <c r="I239" t="s">
        <v>52</v>
      </c>
      <c r="J239" t="s">
        <v>21</v>
      </c>
      <c r="M239" t="str">
        <f t="shared" si="28"/>
        <v>Ivy</v>
      </c>
      <c r="N239">
        <v>30</v>
      </c>
      <c r="O239">
        <f t="shared" si="29"/>
        <v>30</v>
      </c>
      <c r="P239">
        <v>65000</v>
      </c>
      <c r="Q239">
        <f t="shared" si="30"/>
        <v>65000</v>
      </c>
      <c r="R239" t="str">
        <f t="shared" si="31"/>
        <v>Male</v>
      </c>
      <c r="S239" t="str">
        <f t="shared" si="32"/>
        <v>Marketing</v>
      </c>
      <c r="T239" t="str">
        <f t="shared" si="33"/>
        <v>Director</v>
      </c>
      <c r="U239" s="2">
        <v>43800</v>
      </c>
      <c r="V239" t="s">
        <v>24</v>
      </c>
      <c r="W239" t="s">
        <v>52</v>
      </c>
      <c r="X239" t="str">
        <f t="shared" si="34"/>
        <v>user@domain/com</v>
      </c>
      <c r="Y239" t="str">
        <f t="shared" si="35"/>
        <v>user@domain.com</v>
      </c>
      <c r="Z239" t="str">
        <f t="shared" si="27"/>
        <v>123-456-7890</v>
      </c>
    </row>
    <row r="240" spans="1:26" x14ac:dyDescent="0.25">
      <c r="A240" t="s">
        <v>43</v>
      </c>
      <c r="B240">
        <v>40</v>
      </c>
      <c r="C240">
        <v>70000</v>
      </c>
      <c r="D240" t="s">
        <v>32</v>
      </c>
      <c r="E240" t="s">
        <v>33</v>
      </c>
      <c r="F240" t="s">
        <v>19</v>
      </c>
      <c r="G240" s="2">
        <v>43881</v>
      </c>
      <c r="H240" t="s">
        <v>28</v>
      </c>
      <c r="I240" t="s">
        <v>52</v>
      </c>
      <c r="J240" t="s">
        <v>15</v>
      </c>
      <c r="M240" t="str">
        <f t="shared" si="28"/>
        <v>Ivy</v>
      </c>
      <c r="N240">
        <v>40</v>
      </c>
      <c r="O240">
        <f t="shared" si="29"/>
        <v>40</v>
      </c>
      <c r="P240">
        <v>70000</v>
      </c>
      <c r="Q240">
        <f t="shared" si="30"/>
        <v>70000</v>
      </c>
      <c r="R240" t="str">
        <f t="shared" si="31"/>
        <v>Other</v>
      </c>
      <c r="S240" t="str">
        <f t="shared" si="32"/>
        <v>Marketing</v>
      </c>
      <c r="T240" t="str">
        <f t="shared" si="33"/>
        <v>Director</v>
      </c>
      <c r="U240" s="2">
        <v>43881</v>
      </c>
      <c r="V240" t="s">
        <v>28</v>
      </c>
      <c r="W240" t="s">
        <v>52</v>
      </c>
      <c r="X240" t="str">
        <f t="shared" si="34"/>
        <v>user@domain/com</v>
      </c>
      <c r="Y240" t="str">
        <f t="shared" si="35"/>
        <v>user@domain.com</v>
      </c>
      <c r="Z240" t="str">
        <f t="shared" si="27"/>
        <v>Phone not provided</v>
      </c>
    </row>
    <row r="241" spans="1:26" x14ac:dyDescent="0.25">
      <c r="A241" t="s">
        <v>34</v>
      </c>
      <c r="B241">
        <v>25</v>
      </c>
      <c r="C241">
        <v>65000</v>
      </c>
      <c r="D241" t="s">
        <v>17</v>
      </c>
      <c r="E241" t="s">
        <v>23</v>
      </c>
      <c r="F241" t="s">
        <v>38</v>
      </c>
      <c r="G241" s="2">
        <v>43845</v>
      </c>
      <c r="H241" t="s">
        <v>20</v>
      </c>
      <c r="I241" t="s">
        <v>51</v>
      </c>
      <c r="J241" t="s">
        <v>21</v>
      </c>
      <c r="M241" t="str">
        <f t="shared" si="28"/>
        <v>Charlie</v>
      </c>
      <c r="N241">
        <v>25</v>
      </c>
      <c r="O241">
        <f t="shared" si="29"/>
        <v>25</v>
      </c>
      <c r="P241">
        <v>65000</v>
      </c>
      <c r="Q241">
        <f t="shared" si="30"/>
        <v>65000</v>
      </c>
      <c r="R241" t="str">
        <f t="shared" si="31"/>
        <v>Female</v>
      </c>
      <c r="S241" t="str">
        <f t="shared" si="32"/>
        <v>Sales</v>
      </c>
      <c r="T241" t="str">
        <f t="shared" si="33"/>
        <v>Analyst</v>
      </c>
      <c r="U241" s="2">
        <v>43845</v>
      </c>
      <c r="V241" t="s">
        <v>20</v>
      </c>
      <c r="W241" t="s">
        <v>51</v>
      </c>
      <c r="X241" t="str">
        <f t="shared" si="34"/>
        <v>email@example/com</v>
      </c>
      <c r="Y241" t="str">
        <f t="shared" si="35"/>
        <v>email@example.com</v>
      </c>
      <c r="Z241" t="str">
        <f t="shared" si="27"/>
        <v>123-456-7890</v>
      </c>
    </row>
    <row r="242" spans="1:26" x14ac:dyDescent="0.25">
      <c r="A242" t="s">
        <v>34</v>
      </c>
      <c r="B242">
        <v>30</v>
      </c>
      <c r="C242">
        <v>60000</v>
      </c>
      <c r="D242" t="s">
        <v>17</v>
      </c>
      <c r="E242" t="s">
        <v>18</v>
      </c>
      <c r="F242" t="s">
        <v>19</v>
      </c>
      <c r="G242" s="2">
        <v>43800</v>
      </c>
      <c r="H242" t="s">
        <v>36</v>
      </c>
      <c r="I242" t="s">
        <v>53</v>
      </c>
      <c r="J242" t="s">
        <v>39</v>
      </c>
      <c r="M242" t="str">
        <f t="shared" si="28"/>
        <v>Charlie</v>
      </c>
      <c r="N242">
        <v>30</v>
      </c>
      <c r="O242">
        <f t="shared" si="29"/>
        <v>30</v>
      </c>
      <c r="P242">
        <v>60000</v>
      </c>
      <c r="Q242">
        <f t="shared" si="30"/>
        <v>60000</v>
      </c>
      <c r="R242" t="str">
        <f t="shared" si="31"/>
        <v>Female</v>
      </c>
      <c r="S242" t="str">
        <f t="shared" si="32"/>
        <v>Finance</v>
      </c>
      <c r="T242" t="str">
        <f t="shared" si="33"/>
        <v>Director</v>
      </c>
      <c r="U242" s="2">
        <v>43800</v>
      </c>
      <c r="V242" t="s">
        <v>36</v>
      </c>
      <c r="W242" t="s">
        <v>53</v>
      </c>
      <c r="X242" t="str">
        <f t="shared" si="34"/>
        <v>name@company/org</v>
      </c>
      <c r="Y242" t="str">
        <f t="shared" si="35"/>
        <v>name@company.org</v>
      </c>
      <c r="Z242" t="str">
        <f t="shared" si="27"/>
        <v>555-555-5555</v>
      </c>
    </row>
    <row r="243" spans="1:26" x14ac:dyDescent="0.25">
      <c r="A243" t="s">
        <v>34</v>
      </c>
      <c r="B243">
        <v>40</v>
      </c>
      <c r="C243">
        <v>70000</v>
      </c>
      <c r="D243" t="s">
        <v>17</v>
      </c>
      <c r="E243" t="s">
        <v>12</v>
      </c>
      <c r="F243" t="s">
        <v>19</v>
      </c>
      <c r="G243" s="2">
        <v>43881</v>
      </c>
      <c r="H243" t="s">
        <v>14</v>
      </c>
      <c r="I243" t="s">
        <v>51</v>
      </c>
      <c r="J243" t="s">
        <v>25</v>
      </c>
      <c r="M243" t="str">
        <f t="shared" si="28"/>
        <v>Charlie</v>
      </c>
      <c r="N243">
        <v>40</v>
      </c>
      <c r="O243">
        <f t="shared" si="29"/>
        <v>40</v>
      </c>
      <c r="P243">
        <v>70000</v>
      </c>
      <c r="Q243">
        <f t="shared" si="30"/>
        <v>70000</v>
      </c>
      <c r="R243" t="str">
        <f t="shared" si="31"/>
        <v>Female</v>
      </c>
      <c r="S243" t="str">
        <f t="shared" si="32"/>
        <v>HR</v>
      </c>
      <c r="T243" t="str">
        <f t="shared" si="33"/>
        <v>Director</v>
      </c>
      <c r="U243" s="2">
        <v>43881</v>
      </c>
      <c r="V243" t="s">
        <v>14</v>
      </c>
      <c r="W243" t="s">
        <v>51</v>
      </c>
      <c r="X243" t="str">
        <f t="shared" si="34"/>
        <v>email@example/com</v>
      </c>
      <c r="Y243" t="str">
        <f t="shared" si="35"/>
        <v>email@example.com</v>
      </c>
      <c r="Z243" t="str">
        <f t="shared" si="27"/>
        <v>098-765-4321</v>
      </c>
    </row>
    <row r="244" spans="1:26" x14ac:dyDescent="0.25">
      <c r="A244" t="s">
        <v>16</v>
      </c>
      <c r="B244" t="s">
        <v>15</v>
      </c>
      <c r="C244" t="s">
        <v>30</v>
      </c>
      <c r="D244" t="s">
        <v>11</v>
      </c>
      <c r="E244" t="s">
        <v>12</v>
      </c>
      <c r="F244" t="s">
        <v>19</v>
      </c>
      <c r="G244" s="1">
        <v>43195</v>
      </c>
      <c r="H244" t="s">
        <v>36</v>
      </c>
      <c r="I244" t="s">
        <v>51</v>
      </c>
      <c r="J244" t="s">
        <v>15</v>
      </c>
      <c r="M244" t="str">
        <f t="shared" si="28"/>
        <v>David</v>
      </c>
      <c r="N244" t="s">
        <v>15</v>
      </c>
      <c r="O244">
        <f t="shared" si="29"/>
        <v>35</v>
      </c>
      <c r="P244" t="s">
        <v>30</v>
      </c>
      <c r="Q244">
        <f t="shared" si="30"/>
        <v>60000</v>
      </c>
      <c r="R244" t="str">
        <f t="shared" si="31"/>
        <v>Male</v>
      </c>
      <c r="S244" t="str">
        <f t="shared" si="32"/>
        <v>HR</v>
      </c>
      <c r="T244" t="str">
        <f t="shared" si="33"/>
        <v>Director</v>
      </c>
      <c r="U244" s="2">
        <v>43195</v>
      </c>
      <c r="V244" t="s">
        <v>36</v>
      </c>
      <c r="W244" t="s">
        <v>51</v>
      </c>
      <c r="X244" t="str">
        <f t="shared" si="34"/>
        <v>email@example/com</v>
      </c>
      <c r="Y244" t="str">
        <f t="shared" si="35"/>
        <v>email@example.com</v>
      </c>
      <c r="Z244" t="str">
        <f t="shared" si="27"/>
        <v>Phone not provided</v>
      </c>
    </row>
    <row r="245" spans="1:26" x14ac:dyDescent="0.25">
      <c r="A245" t="s">
        <v>22</v>
      </c>
      <c r="B245">
        <v>50</v>
      </c>
      <c r="C245">
        <v>55000</v>
      </c>
      <c r="D245" t="s">
        <v>17</v>
      </c>
      <c r="E245" t="s">
        <v>33</v>
      </c>
      <c r="F245" t="s">
        <v>35</v>
      </c>
      <c r="G245" s="2">
        <v>43881</v>
      </c>
      <c r="H245" t="s">
        <v>14</v>
      </c>
      <c r="I245" t="s">
        <v>53</v>
      </c>
      <c r="J245" t="s">
        <v>21</v>
      </c>
      <c r="M245" t="str">
        <f t="shared" si="28"/>
        <v>Hannah</v>
      </c>
      <c r="N245">
        <v>50</v>
      </c>
      <c r="O245">
        <f t="shared" si="29"/>
        <v>50</v>
      </c>
      <c r="P245">
        <v>55000</v>
      </c>
      <c r="Q245">
        <f t="shared" si="30"/>
        <v>55000</v>
      </c>
      <c r="R245" t="str">
        <f t="shared" si="31"/>
        <v>Female</v>
      </c>
      <c r="S245" t="str">
        <f t="shared" si="32"/>
        <v>Marketing</v>
      </c>
      <c r="T245" t="str">
        <f t="shared" si="33"/>
        <v>Clerk</v>
      </c>
      <c r="U245" s="2">
        <v>43881</v>
      </c>
      <c r="V245" t="s">
        <v>14</v>
      </c>
      <c r="W245" t="s">
        <v>53</v>
      </c>
      <c r="X245" t="str">
        <f t="shared" si="34"/>
        <v>name@company/org</v>
      </c>
      <c r="Y245" t="str">
        <f t="shared" si="35"/>
        <v>name@company.org</v>
      </c>
      <c r="Z245" t="str">
        <f t="shared" si="27"/>
        <v>123-456-7890</v>
      </c>
    </row>
    <row r="246" spans="1:26" x14ac:dyDescent="0.25">
      <c r="A246" t="s">
        <v>40</v>
      </c>
      <c r="B246">
        <v>30</v>
      </c>
      <c r="C246">
        <v>60000</v>
      </c>
      <c r="D246" t="s">
        <v>11</v>
      </c>
      <c r="E246" t="s">
        <v>23</v>
      </c>
      <c r="F246" t="s">
        <v>19</v>
      </c>
      <c r="G246" s="2">
        <v>43549</v>
      </c>
      <c r="H246" t="s">
        <v>36</v>
      </c>
      <c r="I246" t="s">
        <v>52</v>
      </c>
      <c r="J246" t="s">
        <v>21</v>
      </c>
      <c r="M246" t="str">
        <f t="shared" si="28"/>
        <v>Frank</v>
      </c>
      <c r="N246">
        <v>30</v>
      </c>
      <c r="O246">
        <f t="shared" si="29"/>
        <v>30</v>
      </c>
      <c r="P246">
        <v>60000</v>
      </c>
      <c r="Q246">
        <f t="shared" si="30"/>
        <v>60000</v>
      </c>
      <c r="R246" t="str">
        <f t="shared" si="31"/>
        <v>Male</v>
      </c>
      <c r="S246" t="str">
        <f t="shared" si="32"/>
        <v>Sales</v>
      </c>
      <c r="T246" t="str">
        <f t="shared" si="33"/>
        <v>Director</v>
      </c>
      <c r="U246" s="2">
        <v>43549</v>
      </c>
      <c r="V246" t="s">
        <v>36</v>
      </c>
      <c r="W246" t="s">
        <v>52</v>
      </c>
      <c r="X246" t="str">
        <f t="shared" si="34"/>
        <v>user@domain/com</v>
      </c>
      <c r="Y246" t="str">
        <f t="shared" si="35"/>
        <v>user@domain.com</v>
      </c>
      <c r="Z246" t="str">
        <f t="shared" si="27"/>
        <v>123-456-7890</v>
      </c>
    </row>
    <row r="247" spans="1:26" x14ac:dyDescent="0.25">
      <c r="A247" t="s">
        <v>22</v>
      </c>
      <c r="B247">
        <v>50</v>
      </c>
      <c r="C247" t="s">
        <v>30</v>
      </c>
      <c r="D247" t="s">
        <v>11</v>
      </c>
      <c r="E247" t="s">
        <v>12</v>
      </c>
      <c r="F247" t="s">
        <v>19</v>
      </c>
      <c r="G247" s="2">
        <v>43881</v>
      </c>
      <c r="H247" t="s">
        <v>14</v>
      </c>
      <c r="I247" t="s">
        <v>53</v>
      </c>
      <c r="J247" t="s">
        <v>21</v>
      </c>
      <c r="M247" t="str">
        <f t="shared" si="28"/>
        <v>Hannah</v>
      </c>
      <c r="N247">
        <v>50</v>
      </c>
      <c r="O247">
        <f t="shared" si="29"/>
        <v>50</v>
      </c>
      <c r="P247" t="s">
        <v>30</v>
      </c>
      <c r="Q247">
        <f t="shared" si="30"/>
        <v>60000</v>
      </c>
      <c r="R247" t="str">
        <f t="shared" si="31"/>
        <v>Male</v>
      </c>
      <c r="S247" t="str">
        <f t="shared" si="32"/>
        <v>HR</v>
      </c>
      <c r="T247" t="str">
        <f t="shared" si="33"/>
        <v>Director</v>
      </c>
      <c r="U247" s="2">
        <v>43881</v>
      </c>
      <c r="V247" t="s">
        <v>14</v>
      </c>
      <c r="W247" t="s">
        <v>53</v>
      </c>
      <c r="X247" t="str">
        <f t="shared" si="34"/>
        <v>name@company/org</v>
      </c>
      <c r="Y247" t="str">
        <f t="shared" si="35"/>
        <v>name@company.org</v>
      </c>
      <c r="Z247" t="str">
        <f t="shared" si="27"/>
        <v>123-456-7890</v>
      </c>
    </row>
    <row r="248" spans="1:26" x14ac:dyDescent="0.25">
      <c r="A248" t="s">
        <v>42</v>
      </c>
      <c r="B248">
        <v>30</v>
      </c>
      <c r="C248">
        <v>65000</v>
      </c>
      <c r="D248" t="s">
        <v>17</v>
      </c>
      <c r="E248" t="s">
        <v>12</v>
      </c>
      <c r="F248" t="s">
        <v>19</v>
      </c>
      <c r="G248" s="2">
        <v>43549</v>
      </c>
      <c r="H248" t="s">
        <v>24</v>
      </c>
      <c r="I248" t="s">
        <v>15</v>
      </c>
      <c r="J248" t="s">
        <v>25</v>
      </c>
      <c r="M248" t="str">
        <f t="shared" si="28"/>
        <v>Alice</v>
      </c>
      <c r="N248">
        <v>30</v>
      </c>
      <c r="O248">
        <f t="shared" si="29"/>
        <v>30</v>
      </c>
      <c r="P248">
        <v>65000</v>
      </c>
      <c r="Q248">
        <f t="shared" si="30"/>
        <v>65000</v>
      </c>
      <c r="R248" t="str">
        <f t="shared" si="31"/>
        <v>Female</v>
      </c>
      <c r="S248" t="str">
        <f t="shared" si="32"/>
        <v>HR</v>
      </c>
      <c r="T248" t="str">
        <f t="shared" si="33"/>
        <v>Director</v>
      </c>
      <c r="U248" s="2">
        <v>43549</v>
      </c>
      <c r="V248" t="s">
        <v>24</v>
      </c>
      <c r="W248" t="s">
        <v>15</v>
      </c>
      <c r="X248" t="str">
        <f t="shared" si="34"/>
        <v>Email not provided</v>
      </c>
      <c r="Y248" t="str">
        <f t="shared" si="35"/>
        <v>Email not provided</v>
      </c>
      <c r="Z248" t="str">
        <f t="shared" si="27"/>
        <v>098-765-4321</v>
      </c>
    </row>
    <row r="249" spans="1:26" x14ac:dyDescent="0.25">
      <c r="A249" t="s">
        <v>22</v>
      </c>
      <c r="B249" t="s">
        <v>15</v>
      </c>
      <c r="C249">
        <v>70000</v>
      </c>
      <c r="D249" t="s">
        <v>17</v>
      </c>
      <c r="E249" t="s">
        <v>18</v>
      </c>
      <c r="F249" t="s">
        <v>13</v>
      </c>
      <c r="G249" s="2">
        <v>43881</v>
      </c>
      <c r="H249" t="s">
        <v>28</v>
      </c>
      <c r="I249" t="s">
        <v>15</v>
      </c>
      <c r="J249" t="s">
        <v>21</v>
      </c>
      <c r="M249" t="str">
        <f t="shared" si="28"/>
        <v>Hannah</v>
      </c>
      <c r="N249" t="s">
        <v>15</v>
      </c>
      <c r="O249">
        <f t="shared" si="29"/>
        <v>35</v>
      </c>
      <c r="P249">
        <v>70000</v>
      </c>
      <c r="Q249">
        <f t="shared" si="30"/>
        <v>70000</v>
      </c>
      <c r="R249" t="str">
        <f t="shared" si="31"/>
        <v>Female</v>
      </c>
      <c r="S249" t="str">
        <f t="shared" si="32"/>
        <v>Finance</v>
      </c>
      <c r="T249" t="str">
        <f t="shared" si="33"/>
        <v>Manager</v>
      </c>
      <c r="U249" s="2">
        <v>43881</v>
      </c>
      <c r="V249" t="s">
        <v>28</v>
      </c>
      <c r="W249" t="s">
        <v>15</v>
      </c>
      <c r="X249" t="str">
        <f t="shared" si="34"/>
        <v>Email not provided</v>
      </c>
      <c r="Y249" t="str">
        <f t="shared" si="35"/>
        <v>Email not provided</v>
      </c>
      <c r="Z249" t="str">
        <f t="shared" si="27"/>
        <v>123-456-7890</v>
      </c>
    </row>
    <row r="250" spans="1:26" x14ac:dyDescent="0.25">
      <c r="A250" t="s">
        <v>16</v>
      </c>
      <c r="B250">
        <v>50</v>
      </c>
      <c r="C250">
        <v>55000</v>
      </c>
      <c r="D250" t="s">
        <v>32</v>
      </c>
      <c r="E250" t="s">
        <v>27</v>
      </c>
      <c r="F250" t="s">
        <v>35</v>
      </c>
      <c r="G250" s="2">
        <v>43549</v>
      </c>
      <c r="H250" t="s">
        <v>24</v>
      </c>
      <c r="I250" t="s">
        <v>15</v>
      </c>
      <c r="J250" t="s">
        <v>29</v>
      </c>
      <c r="M250" t="str">
        <f t="shared" si="28"/>
        <v>David</v>
      </c>
      <c r="N250">
        <v>50</v>
      </c>
      <c r="O250">
        <f t="shared" si="29"/>
        <v>50</v>
      </c>
      <c r="P250">
        <v>55000</v>
      </c>
      <c r="Q250">
        <f t="shared" si="30"/>
        <v>55000</v>
      </c>
      <c r="R250" t="str">
        <f t="shared" si="31"/>
        <v>Other</v>
      </c>
      <c r="S250" t="str">
        <f t="shared" si="32"/>
        <v>IT</v>
      </c>
      <c r="T250" t="str">
        <f t="shared" si="33"/>
        <v>Clerk</v>
      </c>
      <c r="U250" s="2">
        <v>43549</v>
      </c>
      <c r="V250" t="s">
        <v>24</v>
      </c>
      <c r="W250" t="s">
        <v>15</v>
      </c>
      <c r="X250" t="str">
        <f t="shared" si="34"/>
        <v>Email not provided</v>
      </c>
      <c r="Y250" t="str">
        <f t="shared" si="35"/>
        <v>Email not provided</v>
      </c>
      <c r="Z250" t="str">
        <f t="shared" si="27"/>
        <v>Phone not provided</v>
      </c>
    </row>
    <row r="251" spans="1:26" x14ac:dyDescent="0.25">
      <c r="A251" t="s">
        <v>42</v>
      </c>
      <c r="B251">
        <v>35</v>
      </c>
      <c r="C251">
        <v>60000</v>
      </c>
      <c r="D251" t="s">
        <v>32</v>
      </c>
      <c r="E251" t="s">
        <v>33</v>
      </c>
      <c r="F251" t="s">
        <v>38</v>
      </c>
      <c r="G251" s="1">
        <v>43195</v>
      </c>
      <c r="H251" t="s">
        <v>28</v>
      </c>
      <c r="J251" t="s">
        <v>29</v>
      </c>
      <c r="M251" t="str">
        <f t="shared" si="28"/>
        <v>Alice</v>
      </c>
      <c r="N251">
        <v>35</v>
      </c>
      <c r="O251">
        <f t="shared" si="29"/>
        <v>35</v>
      </c>
      <c r="P251">
        <v>60000</v>
      </c>
      <c r="Q251">
        <f t="shared" si="30"/>
        <v>60000</v>
      </c>
      <c r="R251" t="str">
        <f t="shared" si="31"/>
        <v>Other</v>
      </c>
      <c r="S251" t="str">
        <f t="shared" si="32"/>
        <v>Marketing</v>
      </c>
      <c r="T251" t="str">
        <f t="shared" si="33"/>
        <v>Analyst</v>
      </c>
      <c r="U251" s="2">
        <v>43195</v>
      </c>
      <c r="V251" t="s">
        <v>28</v>
      </c>
      <c r="X251" t="str">
        <f t="shared" si="34"/>
        <v>Email not provided</v>
      </c>
      <c r="Y251" t="str">
        <f t="shared" si="35"/>
        <v>Email not provided</v>
      </c>
      <c r="Z251" t="str">
        <f t="shared" si="27"/>
        <v>Phone not provided</v>
      </c>
    </row>
    <row r="252" spans="1:26" x14ac:dyDescent="0.25">
      <c r="A252" t="s">
        <v>22</v>
      </c>
      <c r="B252">
        <v>25</v>
      </c>
      <c r="C252" t="s">
        <v>30</v>
      </c>
      <c r="D252" t="s">
        <v>17</v>
      </c>
      <c r="E252" t="s">
        <v>33</v>
      </c>
      <c r="F252" t="s">
        <v>13</v>
      </c>
      <c r="G252" s="2">
        <v>43800</v>
      </c>
      <c r="H252" t="s">
        <v>24</v>
      </c>
      <c r="I252" t="s">
        <v>52</v>
      </c>
      <c r="J252" t="s">
        <v>21</v>
      </c>
      <c r="M252" t="str">
        <f t="shared" si="28"/>
        <v>Hannah</v>
      </c>
      <c r="N252">
        <v>25</v>
      </c>
      <c r="O252">
        <f t="shared" si="29"/>
        <v>25</v>
      </c>
      <c r="P252" t="s">
        <v>30</v>
      </c>
      <c r="Q252">
        <f t="shared" si="30"/>
        <v>60000</v>
      </c>
      <c r="R252" t="str">
        <f t="shared" si="31"/>
        <v>Female</v>
      </c>
      <c r="S252" t="str">
        <f t="shared" si="32"/>
        <v>Marketing</v>
      </c>
      <c r="T252" t="str">
        <f t="shared" si="33"/>
        <v>Manager</v>
      </c>
      <c r="U252" s="2">
        <v>43800</v>
      </c>
      <c r="V252" t="s">
        <v>24</v>
      </c>
      <c r="W252" t="s">
        <v>52</v>
      </c>
      <c r="X252" t="str">
        <f t="shared" si="34"/>
        <v>user@domain/com</v>
      </c>
      <c r="Y252" t="str">
        <f t="shared" si="35"/>
        <v>user@domain.com</v>
      </c>
      <c r="Z252" t="str">
        <f t="shared" si="27"/>
        <v>123-456-7890</v>
      </c>
    </row>
    <row r="253" spans="1:26" x14ac:dyDescent="0.25">
      <c r="A253" t="s">
        <v>16</v>
      </c>
      <c r="B253">
        <v>35</v>
      </c>
      <c r="C253" t="s">
        <v>30</v>
      </c>
      <c r="D253" t="s">
        <v>11</v>
      </c>
      <c r="E253" t="s">
        <v>27</v>
      </c>
      <c r="F253" t="s">
        <v>37</v>
      </c>
      <c r="G253" s="2">
        <v>43549</v>
      </c>
      <c r="H253" t="s">
        <v>24</v>
      </c>
      <c r="I253" t="s">
        <v>52</v>
      </c>
      <c r="J253" t="s">
        <v>29</v>
      </c>
      <c r="M253" t="str">
        <f t="shared" si="28"/>
        <v>David</v>
      </c>
      <c r="N253">
        <v>35</v>
      </c>
      <c r="O253">
        <f t="shared" si="29"/>
        <v>35</v>
      </c>
      <c r="P253" t="s">
        <v>30</v>
      </c>
      <c r="Q253">
        <f t="shared" si="30"/>
        <v>60000</v>
      </c>
      <c r="R253" t="str">
        <f t="shared" si="31"/>
        <v>Male</v>
      </c>
      <c r="S253" t="str">
        <f t="shared" si="32"/>
        <v>IT</v>
      </c>
      <c r="T253" t="str">
        <f t="shared" si="33"/>
        <v>Assistant</v>
      </c>
      <c r="U253" s="2">
        <v>43549</v>
      </c>
      <c r="V253" t="s">
        <v>24</v>
      </c>
      <c r="W253" t="s">
        <v>52</v>
      </c>
      <c r="X253" t="str">
        <f t="shared" si="34"/>
        <v>user@domain/com</v>
      </c>
      <c r="Y253" t="str">
        <f t="shared" si="35"/>
        <v>user@domain.com</v>
      </c>
      <c r="Z253" t="str">
        <f t="shared" si="27"/>
        <v>Phone not provided</v>
      </c>
    </row>
    <row r="254" spans="1:26" x14ac:dyDescent="0.25">
      <c r="A254" t="s">
        <v>40</v>
      </c>
      <c r="B254">
        <v>40</v>
      </c>
      <c r="C254">
        <v>55000</v>
      </c>
      <c r="D254" t="s">
        <v>11</v>
      </c>
      <c r="E254" t="s">
        <v>12</v>
      </c>
      <c r="F254" t="s">
        <v>35</v>
      </c>
      <c r="G254" s="2">
        <v>43549</v>
      </c>
      <c r="H254" t="s">
        <v>36</v>
      </c>
      <c r="J254" t="s">
        <v>15</v>
      </c>
      <c r="M254" t="str">
        <f t="shared" si="28"/>
        <v>Frank</v>
      </c>
      <c r="N254">
        <v>40</v>
      </c>
      <c r="O254">
        <f t="shared" si="29"/>
        <v>40</v>
      </c>
      <c r="P254">
        <v>55000</v>
      </c>
      <c r="Q254">
        <f t="shared" si="30"/>
        <v>55000</v>
      </c>
      <c r="R254" t="str">
        <f t="shared" si="31"/>
        <v>Male</v>
      </c>
      <c r="S254" t="str">
        <f t="shared" si="32"/>
        <v>HR</v>
      </c>
      <c r="T254" t="str">
        <f t="shared" si="33"/>
        <v>Clerk</v>
      </c>
      <c r="U254" s="2">
        <v>43549</v>
      </c>
      <c r="V254" t="s">
        <v>36</v>
      </c>
      <c r="X254" t="str">
        <f t="shared" si="34"/>
        <v>Email not provided</v>
      </c>
      <c r="Y254" t="str">
        <f t="shared" si="35"/>
        <v>Email not provided</v>
      </c>
      <c r="Z254" t="str">
        <f t="shared" si="27"/>
        <v>Phone not provided</v>
      </c>
    </row>
    <row r="255" spans="1:26" x14ac:dyDescent="0.25">
      <c r="A255" t="s">
        <v>22</v>
      </c>
      <c r="B255" t="s">
        <v>15</v>
      </c>
      <c r="C255">
        <v>65000</v>
      </c>
      <c r="D255" t="s">
        <v>11</v>
      </c>
      <c r="E255" t="s">
        <v>18</v>
      </c>
      <c r="F255" t="s">
        <v>35</v>
      </c>
      <c r="G255" s="1">
        <v>43195</v>
      </c>
      <c r="H255" t="s">
        <v>20</v>
      </c>
      <c r="I255" t="s">
        <v>51</v>
      </c>
      <c r="J255" t="s">
        <v>29</v>
      </c>
      <c r="M255" t="str">
        <f t="shared" si="28"/>
        <v>Hannah</v>
      </c>
      <c r="N255" t="s">
        <v>15</v>
      </c>
      <c r="O255">
        <f t="shared" si="29"/>
        <v>35</v>
      </c>
      <c r="P255">
        <v>65000</v>
      </c>
      <c r="Q255">
        <f t="shared" si="30"/>
        <v>65000</v>
      </c>
      <c r="R255" t="str">
        <f t="shared" si="31"/>
        <v>Male</v>
      </c>
      <c r="S255" t="str">
        <f t="shared" si="32"/>
        <v>Finance</v>
      </c>
      <c r="T255" t="str">
        <f t="shared" si="33"/>
        <v>Clerk</v>
      </c>
      <c r="U255" s="2">
        <v>43195</v>
      </c>
      <c r="V255" t="s">
        <v>20</v>
      </c>
      <c r="W255" t="s">
        <v>51</v>
      </c>
      <c r="X255" t="str">
        <f t="shared" si="34"/>
        <v>email@example/com</v>
      </c>
      <c r="Y255" t="str">
        <f t="shared" si="35"/>
        <v>email@example.com</v>
      </c>
      <c r="Z255" t="str">
        <f t="shared" si="27"/>
        <v>Phone not provided</v>
      </c>
    </row>
    <row r="256" spans="1:26" x14ac:dyDescent="0.25">
      <c r="A256" t="s">
        <v>16</v>
      </c>
      <c r="B256">
        <v>35</v>
      </c>
      <c r="C256">
        <v>55000</v>
      </c>
      <c r="D256" t="s">
        <v>11</v>
      </c>
      <c r="E256" t="s">
        <v>18</v>
      </c>
      <c r="F256" t="s">
        <v>37</v>
      </c>
      <c r="G256" s="2">
        <v>43549</v>
      </c>
      <c r="H256" t="s">
        <v>14</v>
      </c>
      <c r="I256" t="s">
        <v>15</v>
      </c>
      <c r="J256" t="s">
        <v>21</v>
      </c>
      <c r="M256" t="str">
        <f t="shared" si="28"/>
        <v>David</v>
      </c>
      <c r="N256">
        <v>35</v>
      </c>
      <c r="O256">
        <f t="shared" si="29"/>
        <v>35</v>
      </c>
      <c r="P256">
        <v>55000</v>
      </c>
      <c r="Q256">
        <f t="shared" si="30"/>
        <v>55000</v>
      </c>
      <c r="R256" t="str">
        <f t="shared" si="31"/>
        <v>Male</v>
      </c>
      <c r="S256" t="str">
        <f t="shared" si="32"/>
        <v>Finance</v>
      </c>
      <c r="T256" t="str">
        <f t="shared" si="33"/>
        <v>Assistant</v>
      </c>
      <c r="U256" s="2">
        <v>43549</v>
      </c>
      <c r="V256" t="s">
        <v>14</v>
      </c>
      <c r="W256" t="s">
        <v>15</v>
      </c>
      <c r="X256" t="str">
        <f t="shared" si="34"/>
        <v>Email not provided</v>
      </c>
      <c r="Y256" t="str">
        <f t="shared" si="35"/>
        <v>Email not provided</v>
      </c>
      <c r="Z256" t="str">
        <f t="shared" si="27"/>
        <v>123-456-7890</v>
      </c>
    </row>
    <row r="257" spans="1:26" x14ac:dyDescent="0.25">
      <c r="A257" t="s">
        <v>34</v>
      </c>
      <c r="B257">
        <v>30</v>
      </c>
      <c r="C257" t="s">
        <v>30</v>
      </c>
      <c r="D257" t="s">
        <v>11</v>
      </c>
      <c r="E257" t="s">
        <v>33</v>
      </c>
      <c r="F257" t="s">
        <v>37</v>
      </c>
      <c r="G257" s="2">
        <v>43845</v>
      </c>
      <c r="H257" t="s">
        <v>14</v>
      </c>
      <c r="I257" t="s">
        <v>15</v>
      </c>
      <c r="J257" t="s">
        <v>39</v>
      </c>
      <c r="M257" t="str">
        <f t="shared" si="28"/>
        <v>Charlie</v>
      </c>
      <c r="N257">
        <v>30</v>
      </c>
      <c r="O257">
        <f t="shared" si="29"/>
        <v>30</v>
      </c>
      <c r="P257" t="s">
        <v>30</v>
      </c>
      <c r="Q257">
        <f t="shared" si="30"/>
        <v>60000</v>
      </c>
      <c r="R257" t="str">
        <f t="shared" si="31"/>
        <v>Male</v>
      </c>
      <c r="S257" t="str">
        <f t="shared" si="32"/>
        <v>Marketing</v>
      </c>
      <c r="T257" t="str">
        <f t="shared" si="33"/>
        <v>Assistant</v>
      </c>
      <c r="U257" s="2">
        <v>43845</v>
      </c>
      <c r="V257" t="s">
        <v>14</v>
      </c>
      <c r="W257" t="s">
        <v>15</v>
      </c>
      <c r="X257" t="str">
        <f t="shared" si="34"/>
        <v>Email not provided</v>
      </c>
      <c r="Y257" t="str">
        <f t="shared" si="35"/>
        <v>Email not provided</v>
      </c>
      <c r="Z257" t="str">
        <f t="shared" si="27"/>
        <v>555-555-5555</v>
      </c>
    </row>
    <row r="258" spans="1:26" x14ac:dyDescent="0.25">
      <c r="A258" t="s">
        <v>43</v>
      </c>
      <c r="B258">
        <v>40</v>
      </c>
      <c r="C258">
        <v>50000</v>
      </c>
      <c r="D258" t="s">
        <v>32</v>
      </c>
      <c r="E258" t="s">
        <v>18</v>
      </c>
      <c r="F258" t="s">
        <v>37</v>
      </c>
      <c r="G258" s="1">
        <v>43195</v>
      </c>
      <c r="H258" t="s">
        <v>14</v>
      </c>
      <c r="I258" t="s">
        <v>51</v>
      </c>
      <c r="J258" t="s">
        <v>15</v>
      </c>
      <c r="M258" t="str">
        <f t="shared" si="28"/>
        <v>Ivy</v>
      </c>
      <c r="N258">
        <v>40</v>
      </c>
      <c r="O258">
        <f t="shared" si="29"/>
        <v>40</v>
      </c>
      <c r="P258">
        <v>50000</v>
      </c>
      <c r="Q258">
        <f t="shared" si="30"/>
        <v>50000</v>
      </c>
      <c r="R258" t="str">
        <f t="shared" si="31"/>
        <v>Other</v>
      </c>
      <c r="S258" t="str">
        <f t="shared" si="32"/>
        <v>Finance</v>
      </c>
      <c r="T258" t="str">
        <f t="shared" si="33"/>
        <v>Assistant</v>
      </c>
      <c r="U258" s="2">
        <v>43195</v>
      </c>
      <c r="V258" t="s">
        <v>14</v>
      </c>
      <c r="W258" t="s">
        <v>51</v>
      </c>
      <c r="X258" t="str">
        <f t="shared" si="34"/>
        <v>email@example/com</v>
      </c>
      <c r="Y258" t="str">
        <f t="shared" si="35"/>
        <v>email@example.com</v>
      </c>
      <c r="Z258" t="str">
        <f t="shared" ref="Z258:Z321" si="36">IF(OR(TRIM(J258)="", LOWER(J258)="nan"), "Phone not provided", TRIM(J258))</f>
        <v>Phone not provided</v>
      </c>
    </row>
    <row r="259" spans="1:26" x14ac:dyDescent="0.25">
      <c r="A259" t="s">
        <v>34</v>
      </c>
      <c r="B259">
        <v>40</v>
      </c>
      <c r="C259">
        <v>60000</v>
      </c>
      <c r="D259" t="s">
        <v>17</v>
      </c>
      <c r="E259" t="s">
        <v>27</v>
      </c>
      <c r="F259" t="s">
        <v>38</v>
      </c>
      <c r="G259" s="2">
        <v>43845</v>
      </c>
      <c r="H259" t="s">
        <v>28</v>
      </c>
      <c r="I259" t="s">
        <v>53</v>
      </c>
      <c r="J259" t="s">
        <v>25</v>
      </c>
      <c r="M259" t="str">
        <f t="shared" ref="M259:M322" si="37">PROPER(TRIM(CLEAN(A259:A1258)))</f>
        <v>Charlie</v>
      </c>
      <c r="N259">
        <v>40</v>
      </c>
      <c r="O259">
        <f t="shared" ref="O259:O322" si="38">IF(ISNUMBER(N259),N259,MEDIAN($N$2:$N$1001))</f>
        <v>40</v>
      </c>
      <c r="P259">
        <v>60000</v>
      </c>
      <c r="Q259">
        <f t="shared" ref="Q259:Q322" si="39">IF(ISNUMBER(P259),P259,MEDIAN(P259:P1258))</f>
        <v>60000</v>
      </c>
      <c r="R259" t="str">
        <f t="shared" ref="R259:R322" si="40">PROPER(TRIM(CLEAN(D259:D1258)))</f>
        <v>Female</v>
      </c>
      <c r="S259" t="str">
        <f t="shared" ref="S259:S322" si="41">TRIM(CLEAN(E259:E1258))</f>
        <v>IT</v>
      </c>
      <c r="T259" t="str">
        <f t="shared" ref="T259:T322" si="42">TRIM(CLEAN(F259:F1258))</f>
        <v>Analyst</v>
      </c>
      <c r="U259" s="2">
        <v>43845</v>
      </c>
      <c r="V259" t="s">
        <v>28</v>
      </c>
      <c r="W259" t="s">
        <v>53</v>
      </c>
      <c r="X259" t="str">
        <f t="shared" ref="X259:X322" si="43">IF(
   OR(TRIM(W259)="",LOWER(W259)="nan"),
   "Email not provided",
   W259
)</f>
        <v>name@company/org</v>
      </c>
      <c r="Y259" t="str">
        <f t="shared" ref="Y259:Y322" si="44">SUBSTITUTE(X259,"/",".")</f>
        <v>name@company.org</v>
      </c>
      <c r="Z259" t="str">
        <f t="shared" si="36"/>
        <v>098-765-4321</v>
      </c>
    </row>
    <row r="260" spans="1:26" x14ac:dyDescent="0.25">
      <c r="A260" t="s">
        <v>43</v>
      </c>
      <c r="B260">
        <v>35</v>
      </c>
      <c r="C260">
        <v>55000</v>
      </c>
      <c r="D260" t="s">
        <v>32</v>
      </c>
      <c r="E260" t="s">
        <v>12</v>
      </c>
      <c r="F260" t="s">
        <v>19</v>
      </c>
      <c r="G260" s="1">
        <v>43195</v>
      </c>
      <c r="H260" t="s">
        <v>14</v>
      </c>
      <c r="I260" t="s">
        <v>53</v>
      </c>
      <c r="J260" t="s">
        <v>21</v>
      </c>
      <c r="M260" t="str">
        <f t="shared" si="37"/>
        <v>Ivy</v>
      </c>
      <c r="N260">
        <v>35</v>
      </c>
      <c r="O260">
        <f t="shared" si="38"/>
        <v>35</v>
      </c>
      <c r="P260">
        <v>55000</v>
      </c>
      <c r="Q260">
        <f t="shared" si="39"/>
        <v>55000</v>
      </c>
      <c r="R260" t="str">
        <f t="shared" si="40"/>
        <v>Other</v>
      </c>
      <c r="S260" t="str">
        <f t="shared" si="41"/>
        <v>HR</v>
      </c>
      <c r="T260" t="str">
        <f t="shared" si="42"/>
        <v>Director</v>
      </c>
      <c r="U260" s="2">
        <v>43195</v>
      </c>
      <c r="V260" t="s">
        <v>14</v>
      </c>
      <c r="W260" t="s">
        <v>53</v>
      </c>
      <c r="X260" t="str">
        <f t="shared" si="43"/>
        <v>name@company/org</v>
      </c>
      <c r="Y260" t="str">
        <f t="shared" si="44"/>
        <v>name@company.org</v>
      </c>
      <c r="Z260" t="str">
        <f t="shared" si="36"/>
        <v>123-456-7890</v>
      </c>
    </row>
    <row r="261" spans="1:26" x14ac:dyDescent="0.25">
      <c r="A261" t="s">
        <v>41</v>
      </c>
      <c r="B261">
        <v>35</v>
      </c>
      <c r="C261" t="s">
        <v>30</v>
      </c>
      <c r="D261" t="s">
        <v>11</v>
      </c>
      <c r="E261" t="s">
        <v>27</v>
      </c>
      <c r="F261" t="s">
        <v>35</v>
      </c>
      <c r="G261" s="2">
        <v>43549</v>
      </c>
      <c r="H261" t="s">
        <v>14</v>
      </c>
      <c r="I261" t="s">
        <v>52</v>
      </c>
      <c r="J261" t="s">
        <v>25</v>
      </c>
      <c r="M261" t="str">
        <f t="shared" si="37"/>
        <v>Bob</v>
      </c>
      <c r="N261">
        <v>35</v>
      </c>
      <c r="O261">
        <f t="shared" si="38"/>
        <v>35</v>
      </c>
      <c r="P261" t="s">
        <v>30</v>
      </c>
      <c r="Q261">
        <f t="shared" si="39"/>
        <v>60000</v>
      </c>
      <c r="R261" t="str">
        <f t="shared" si="40"/>
        <v>Male</v>
      </c>
      <c r="S261" t="str">
        <f t="shared" si="41"/>
        <v>IT</v>
      </c>
      <c r="T261" t="str">
        <f t="shared" si="42"/>
        <v>Clerk</v>
      </c>
      <c r="U261" s="2">
        <v>43549</v>
      </c>
      <c r="V261" t="s">
        <v>14</v>
      </c>
      <c r="W261" t="s">
        <v>52</v>
      </c>
      <c r="X261" t="str">
        <f t="shared" si="43"/>
        <v>user@domain/com</v>
      </c>
      <c r="Y261" t="str">
        <f t="shared" si="44"/>
        <v>user@domain.com</v>
      </c>
      <c r="Z261" t="str">
        <f t="shared" si="36"/>
        <v>098-765-4321</v>
      </c>
    </row>
    <row r="262" spans="1:26" x14ac:dyDescent="0.25">
      <c r="A262" t="s">
        <v>41</v>
      </c>
      <c r="B262" t="s">
        <v>15</v>
      </c>
      <c r="C262">
        <v>65000</v>
      </c>
      <c r="D262" t="s">
        <v>11</v>
      </c>
      <c r="E262" t="s">
        <v>23</v>
      </c>
      <c r="F262" t="s">
        <v>19</v>
      </c>
      <c r="G262" s="2">
        <v>43845</v>
      </c>
      <c r="H262" t="s">
        <v>36</v>
      </c>
      <c r="J262" t="s">
        <v>39</v>
      </c>
      <c r="M262" t="str">
        <f t="shared" si="37"/>
        <v>Bob</v>
      </c>
      <c r="N262" t="s">
        <v>15</v>
      </c>
      <c r="O262">
        <f t="shared" si="38"/>
        <v>35</v>
      </c>
      <c r="P262">
        <v>65000</v>
      </c>
      <c r="Q262">
        <f t="shared" si="39"/>
        <v>65000</v>
      </c>
      <c r="R262" t="str">
        <f t="shared" si="40"/>
        <v>Male</v>
      </c>
      <c r="S262" t="str">
        <f t="shared" si="41"/>
        <v>Sales</v>
      </c>
      <c r="T262" t="str">
        <f t="shared" si="42"/>
        <v>Director</v>
      </c>
      <c r="U262" s="2">
        <v>43845</v>
      </c>
      <c r="V262" t="s">
        <v>36</v>
      </c>
      <c r="X262" t="str">
        <f t="shared" si="43"/>
        <v>Email not provided</v>
      </c>
      <c r="Y262" t="str">
        <f t="shared" si="44"/>
        <v>Email not provided</v>
      </c>
      <c r="Z262" t="str">
        <f t="shared" si="36"/>
        <v>555-555-5555</v>
      </c>
    </row>
    <row r="263" spans="1:26" x14ac:dyDescent="0.25">
      <c r="A263" t="s">
        <v>41</v>
      </c>
      <c r="B263">
        <v>25</v>
      </c>
      <c r="C263" t="s">
        <v>30</v>
      </c>
      <c r="D263" t="s">
        <v>11</v>
      </c>
      <c r="E263" t="s">
        <v>33</v>
      </c>
      <c r="F263" t="s">
        <v>19</v>
      </c>
      <c r="G263" s="2">
        <v>43549</v>
      </c>
      <c r="H263" t="s">
        <v>24</v>
      </c>
      <c r="I263" t="s">
        <v>52</v>
      </c>
      <c r="J263" t="s">
        <v>25</v>
      </c>
      <c r="M263" t="str">
        <f t="shared" si="37"/>
        <v>Bob</v>
      </c>
      <c r="N263">
        <v>25</v>
      </c>
      <c r="O263">
        <f t="shared" si="38"/>
        <v>25</v>
      </c>
      <c r="P263" t="s">
        <v>30</v>
      </c>
      <c r="Q263">
        <f t="shared" si="39"/>
        <v>60000</v>
      </c>
      <c r="R263" t="str">
        <f t="shared" si="40"/>
        <v>Male</v>
      </c>
      <c r="S263" t="str">
        <f t="shared" si="41"/>
        <v>Marketing</v>
      </c>
      <c r="T263" t="str">
        <f t="shared" si="42"/>
        <v>Director</v>
      </c>
      <c r="U263" s="2">
        <v>43549</v>
      </c>
      <c r="V263" t="s">
        <v>24</v>
      </c>
      <c r="W263" t="s">
        <v>52</v>
      </c>
      <c r="X263" t="str">
        <f t="shared" si="43"/>
        <v>user@domain/com</v>
      </c>
      <c r="Y263" t="str">
        <f t="shared" si="44"/>
        <v>user@domain.com</v>
      </c>
      <c r="Z263" t="str">
        <f t="shared" si="36"/>
        <v>098-765-4321</v>
      </c>
    </row>
    <row r="264" spans="1:26" x14ac:dyDescent="0.25">
      <c r="A264" t="s">
        <v>40</v>
      </c>
      <c r="B264">
        <v>35</v>
      </c>
      <c r="C264">
        <v>65000</v>
      </c>
      <c r="D264" t="s">
        <v>11</v>
      </c>
      <c r="E264" t="s">
        <v>18</v>
      </c>
      <c r="F264" t="s">
        <v>37</v>
      </c>
      <c r="G264" s="1">
        <v>43195</v>
      </c>
      <c r="H264" t="s">
        <v>14</v>
      </c>
      <c r="I264" t="s">
        <v>53</v>
      </c>
      <c r="J264" t="s">
        <v>21</v>
      </c>
      <c r="M264" t="str">
        <f t="shared" si="37"/>
        <v>Frank</v>
      </c>
      <c r="N264">
        <v>35</v>
      </c>
      <c r="O264">
        <f t="shared" si="38"/>
        <v>35</v>
      </c>
      <c r="P264">
        <v>65000</v>
      </c>
      <c r="Q264">
        <f t="shared" si="39"/>
        <v>65000</v>
      </c>
      <c r="R264" t="str">
        <f t="shared" si="40"/>
        <v>Male</v>
      </c>
      <c r="S264" t="str">
        <f t="shared" si="41"/>
        <v>Finance</v>
      </c>
      <c r="T264" t="str">
        <f t="shared" si="42"/>
        <v>Assistant</v>
      </c>
      <c r="U264" s="2">
        <v>43195</v>
      </c>
      <c r="V264" t="s">
        <v>14</v>
      </c>
      <c r="W264" t="s">
        <v>53</v>
      </c>
      <c r="X264" t="str">
        <f t="shared" si="43"/>
        <v>name@company/org</v>
      </c>
      <c r="Y264" t="str">
        <f t="shared" si="44"/>
        <v>name@company.org</v>
      </c>
      <c r="Z264" t="str">
        <f t="shared" si="36"/>
        <v>123-456-7890</v>
      </c>
    </row>
    <row r="265" spans="1:26" x14ac:dyDescent="0.25">
      <c r="A265" t="s">
        <v>34</v>
      </c>
      <c r="B265">
        <v>35</v>
      </c>
      <c r="C265">
        <v>55000</v>
      </c>
      <c r="D265" t="s">
        <v>17</v>
      </c>
      <c r="E265" t="s">
        <v>23</v>
      </c>
      <c r="F265" t="s">
        <v>38</v>
      </c>
      <c r="G265" s="2">
        <v>43549</v>
      </c>
      <c r="H265" t="s">
        <v>20</v>
      </c>
      <c r="I265" t="s">
        <v>51</v>
      </c>
      <c r="J265" t="s">
        <v>21</v>
      </c>
      <c r="M265" t="str">
        <f t="shared" si="37"/>
        <v>Charlie</v>
      </c>
      <c r="N265">
        <v>35</v>
      </c>
      <c r="O265">
        <f t="shared" si="38"/>
        <v>35</v>
      </c>
      <c r="P265">
        <v>55000</v>
      </c>
      <c r="Q265">
        <f t="shared" si="39"/>
        <v>55000</v>
      </c>
      <c r="R265" t="str">
        <f t="shared" si="40"/>
        <v>Female</v>
      </c>
      <c r="S265" t="str">
        <f t="shared" si="41"/>
        <v>Sales</v>
      </c>
      <c r="T265" t="str">
        <f t="shared" si="42"/>
        <v>Analyst</v>
      </c>
      <c r="U265" s="2">
        <v>43549</v>
      </c>
      <c r="V265" t="s">
        <v>20</v>
      </c>
      <c r="W265" t="s">
        <v>51</v>
      </c>
      <c r="X265" t="str">
        <f t="shared" si="43"/>
        <v>email@example/com</v>
      </c>
      <c r="Y265" t="str">
        <f t="shared" si="44"/>
        <v>email@example.com</v>
      </c>
      <c r="Z265" t="str">
        <f t="shared" si="36"/>
        <v>123-456-7890</v>
      </c>
    </row>
    <row r="266" spans="1:26" x14ac:dyDescent="0.25">
      <c r="A266" t="s">
        <v>43</v>
      </c>
      <c r="B266">
        <v>50</v>
      </c>
      <c r="C266">
        <v>65000</v>
      </c>
      <c r="D266" t="s">
        <v>11</v>
      </c>
      <c r="E266" t="s">
        <v>18</v>
      </c>
      <c r="F266" t="s">
        <v>13</v>
      </c>
      <c r="G266" s="2">
        <v>43845</v>
      </c>
      <c r="H266" t="s">
        <v>14</v>
      </c>
      <c r="I266" t="s">
        <v>52</v>
      </c>
      <c r="J266" t="s">
        <v>39</v>
      </c>
      <c r="M266" t="str">
        <f t="shared" si="37"/>
        <v>Ivy</v>
      </c>
      <c r="N266">
        <v>50</v>
      </c>
      <c r="O266">
        <f t="shared" si="38"/>
        <v>50</v>
      </c>
      <c r="P266">
        <v>65000</v>
      </c>
      <c r="Q266">
        <f t="shared" si="39"/>
        <v>65000</v>
      </c>
      <c r="R266" t="str">
        <f t="shared" si="40"/>
        <v>Male</v>
      </c>
      <c r="S266" t="str">
        <f t="shared" si="41"/>
        <v>Finance</v>
      </c>
      <c r="T266" t="str">
        <f t="shared" si="42"/>
        <v>Manager</v>
      </c>
      <c r="U266" s="2">
        <v>43845</v>
      </c>
      <c r="V266" t="s">
        <v>14</v>
      </c>
      <c r="W266" t="s">
        <v>52</v>
      </c>
      <c r="X266" t="str">
        <f t="shared" si="43"/>
        <v>user@domain/com</v>
      </c>
      <c r="Y266" t="str">
        <f t="shared" si="44"/>
        <v>user@domain.com</v>
      </c>
      <c r="Z266" t="str">
        <f t="shared" si="36"/>
        <v>555-555-5555</v>
      </c>
    </row>
    <row r="267" spans="1:26" x14ac:dyDescent="0.25">
      <c r="A267" t="s">
        <v>16</v>
      </c>
      <c r="B267">
        <v>30</v>
      </c>
      <c r="C267">
        <v>70000</v>
      </c>
      <c r="D267" t="s">
        <v>17</v>
      </c>
      <c r="E267" t="s">
        <v>12</v>
      </c>
      <c r="F267" t="s">
        <v>38</v>
      </c>
      <c r="G267" s="2">
        <v>43845</v>
      </c>
      <c r="H267" t="s">
        <v>28</v>
      </c>
      <c r="I267" t="s">
        <v>15</v>
      </c>
      <c r="J267" t="s">
        <v>21</v>
      </c>
      <c r="M267" t="str">
        <f t="shared" si="37"/>
        <v>David</v>
      </c>
      <c r="N267">
        <v>30</v>
      </c>
      <c r="O267">
        <f t="shared" si="38"/>
        <v>30</v>
      </c>
      <c r="P267">
        <v>70000</v>
      </c>
      <c r="Q267">
        <f t="shared" si="39"/>
        <v>70000</v>
      </c>
      <c r="R267" t="str">
        <f t="shared" si="40"/>
        <v>Female</v>
      </c>
      <c r="S267" t="str">
        <f t="shared" si="41"/>
        <v>HR</v>
      </c>
      <c r="T267" t="str">
        <f t="shared" si="42"/>
        <v>Analyst</v>
      </c>
      <c r="U267" s="2">
        <v>43845</v>
      </c>
      <c r="V267" t="s">
        <v>28</v>
      </c>
      <c r="W267" t="s">
        <v>15</v>
      </c>
      <c r="X267" t="str">
        <f t="shared" si="43"/>
        <v>Email not provided</v>
      </c>
      <c r="Y267" t="str">
        <f t="shared" si="44"/>
        <v>Email not provided</v>
      </c>
      <c r="Z267" t="str">
        <f t="shared" si="36"/>
        <v>123-456-7890</v>
      </c>
    </row>
    <row r="268" spans="1:26" x14ac:dyDescent="0.25">
      <c r="A268" t="s">
        <v>42</v>
      </c>
      <c r="B268">
        <v>50</v>
      </c>
      <c r="C268">
        <v>70000</v>
      </c>
      <c r="D268" t="s">
        <v>11</v>
      </c>
      <c r="E268" t="s">
        <v>12</v>
      </c>
      <c r="F268" t="s">
        <v>19</v>
      </c>
      <c r="G268" s="2">
        <v>43549</v>
      </c>
      <c r="H268" t="s">
        <v>28</v>
      </c>
      <c r="I268" t="s">
        <v>15</v>
      </c>
      <c r="J268" t="s">
        <v>39</v>
      </c>
      <c r="M268" t="str">
        <f t="shared" si="37"/>
        <v>Alice</v>
      </c>
      <c r="N268">
        <v>50</v>
      </c>
      <c r="O268">
        <f t="shared" si="38"/>
        <v>50</v>
      </c>
      <c r="P268">
        <v>70000</v>
      </c>
      <c r="Q268">
        <f t="shared" si="39"/>
        <v>70000</v>
      </c>
      <c r="R268" t="str">
        <f t="shared" si="40"/>
        <v>Male</v>
      </c>
      <c r="S268" t="str">
        <f t="shared" si="41"/>
        <v>HR</v>
      </c>
      <c r="T268" t="str">
        <f t="shared" si="42"/>
        <v>Director</v>
      </c>
      <c r="U268" s="2">
        <v>43549</v>
      </c>
      <c r="V268" t="s">
        <v>28</v>
      </c>
      <c r="W268" t="s">
        <v>15</v>
      </c>
      <c r="X268" t="str">
        <f t="shared" si="43"/>
        <v>Email not provided</v>
      </c>
      <c r="Y268" t="str">
        <f t="shared" si="44"/>
        <v>Email not provided</v>
      </c>
      <c r="Z268" t="str">
        <f t="shared" si="36"/>
        <v>555-555-5555</v>
      </c>
    </row>
    <row r="269" spans="1:26" x14ac:dyDescent="0.25">
      <c r="A269" t="s">
        <v>16</v>
      </c>
      <c r="B269">
        <v>50</v>
      </c>
      <c r="C269">
        <v>70000</v>
      </c>
      <c r="D269" t="s">
        <v>17</v>
      </c>
      <c r="E269" t="s">
        <v>12</v>
      </c>
      <c r="F269" t="s">
        <v>38</v>
      </c>
      <c r="G269" s="2">
        <v>43881</v>
      </c>
      <c r="H269" t="s">
        <v>28</v>
      </c>
      <c r="I269" t="s">
        <v>51</v>
      </c>
      <c r="J269" t="s">
        <v>39</v>
      </c>
      <c r="M269" t="str">
        <f t="shared" si="37"/>
        <v>David</v>
      </c>
      <c r="N269">
        <v>50</v>
      </c>
      <c r="O269">
        <f t="shared" si="38"/>
        <v>50</v>
      </c>
      <c r="P269">
        <v>70000</v>
      </c>
      <c r="Q269">
        <f t="shared" si="39"/>
        <v>70000</v>
      </c>
      <c r="R269" t="str">
        <f t="shared" si="40"/>
        <v>Female</v>
      </c>
      <c r="S269" t="str">
        <f t="shared" si="41"/>
        <v>HR</v>
      </c>
      <c r="T269" t="str">
        <f t="shared" si="42"/>
        <v>Analyst</v>
      </c>
      <c r="U269" s="2">
        <v>43881</v>
      </c>
      <c r="V269" t="s">
        <v>28</v>
      </c>
      <c r="W269" t="s">
        <v>51</v>
      </c>
      <c r="X269" t="str">
        <f t="shared" si="43"/>
        <v>email@example/com</v>
      </c>
      <c r="Y269" t="str">
        <f t="shared" si="44"/>
        <v>email@example.com</v>
      </c>
      <c r="Z269" t="str">
        <f t="shared" si="36"/>
        <v>555-555-5555</v>
      </c>
    </row>
    <row r="270" spans="1:26" x14ac:dyDescent="0.25">
      <c r="A270" t="s">
        <v>42</v>
      </c>
      <c r="B270">
        <v>40</v>
      </c>
      <c r="C270">
        <v>50000</v>
      </c>
      <c r="D270" t="s">
        <v>32</v>
      </c>
      <c r="E270" t="s">
        <v>18</v>
      </c>
      <c r="F270" t="s">
        <v>37</v>
      </c>
      <c r="G270" s="1">
        <v>43195</v>
      </c>
      <c r="H270" t="s">
        <v>14</v>
      </c>
      <c r="I270" t="s">
        <v>53</v>
      </c>
      <c r="J270" t="s">
        <v>21</v>
      </c>
      <c r="M270" t="str">
        <f t="shared" si="37"/>
        <v>Alice</v>
      </c>
      <c r="N270">
        <v>40</v>
      </c>
      <c r="O270">
        <f t="shared" si="38"/>
        <v>40</v>
      </c>
      <c r="P270">
        <v>50000</v>
      </c>
      <c r="Q270">
        <f t="shared" si="39"/>
        <v>50000</v>
      </c>
      <c r="R270" t="str">
        <f t="shared" si="40"/>
        <v>Other</v>
      </c>
      <c r="S270" t="str">
        <f t="shared" si="41"/>
        <v>Finance</v>
      </c>
      <c r="T270" t="str">
        <f t="shared" si="42"/>
        <v>Assistant</v>
      </c>
      <c r="U270" s="2">
        <v>43195</v>
      </c>
      <c r="V270" t="s">
        <v>14</v>
      </c>
      <c r="W270" t="s">
        <v>53</v>
      </c>
      <c r="X270" t="str">
        <f t="shared" si="43"/>
        <v>name@company/org</v>
      </c>
      <c r="Y270" t="str">
        <f t="shared" si="44"/>
        <v>name@company.org</v>
      </c>
      <c r="Z270" t="str">
        <f t="shared" si="36"/>
        <v>123-456-7890</v>
      </c>
    </row>
    <row r="271" spans="1:26" x14ac:dyDescent="0.25">
      <c r="A271" t="s">
        <v>26</v>
      </c>
      <c r="B271">
        <v>25</v>
      </c>
      <c r="C271">
        <v>55000</v>
      </c>
      <c r="D271" t="s">
        <v>11</v>
      </c>
      <c r="E271" t="s">
        <v>23</v>
      </c>
      <c r="F271" t="s">
        <v>13</v>
      </c>
      <c r="G271" s="1">
        <v>43195</v>
      </c>
      <c r="H271" t="s">
        <v>36</v>
      </c>
      <c r="I271" t="s">
        <v>15</v>
      </c>
      <c r="J271" t="s">
        <v>29</v>
      </c>
      <c r="M271" t="str">
        <f t="shared" si="37"/>
        <v>Eve</v>
      </c>
      <c r="N271">
        <v>25</v>
      </c>
      <c r="O271">
        <f t="shared" si="38"/>
        <v>25</v>
      </c>
      <c r="P271">
        <v>55000</v>
      </c>
      <c r="Q271">
        <f t="shared" si="39"/>
        <v>55000</v>
      </c>
      <c r="R271" t="str">
        <f t="shared" si="40"/>
        <v>Male</v>
      </c>
      <c r="S271" t="str">
        <f t="shared" si="41"/>
        <v>Sales</v>
      </c>
      <c r="T271" t="str">
        <f t="shared" si="42"/>
        <v>Manager</v>
      </c>
      <c r="U271" s="2">
        <v>43195</v>
      </c>
      <c r="V271" t="s">
        <v>36</v>
      </c>
      <c r="W271" t="s">
        <v>15</v>
      </c>
      <c r="X271" t="str">
        <f t="shared" si="43"/>
        <v>Email not provided</v>
      </c>
      <c r="Y271" t="str">
        <f t="shared" si="44"/>
        <v>Email not provided</v>
      </c>
      <c r="Z271" t="str">
        <f t="shared" si="36"/>
        <v>Phone not provided</v>
      </c>
    </row>
    <row r="272" spans="1:26" x14ac:dyDescent="0.25">
      <c r="A272" t="s">
        <v>16</v>
      </c>
      <c r="B272">
        <v>30</v>
      </c>
      <c r="C272" t="s">
        <v>30</v>
      </c>
      <c r="D272" t="s">
        <v>17</v>
      </c>
      <c r="E272" t="s">
        <v>12</v>
      </c>
      <c r="F272" t="s">
        <v>37</v>
      </c>
      <c r="G272" s="2">
        <v>43549</v>
      </c>
      <c r="H272" t="s">
        <v>20</v>
      </c>
      <c r="I272" t="s">
        <v>15</v>
      </c>
      <c r="J272" t="s">
        <v>39</v>
      </c>
      <c r="M272" t="str">
        <f t="shared" si="37"/>
        <v>David</v>
      </c>
      <c r="N272">
        <v>30</v>
      </c>
      <c r="O272">
        <f t="shared" si="38"/>
        <v>30</v>
      </c>
      <c r="P272" t="s">
        <v>30</v>
      </c>
      <c r="Q272">
        <f t="shared" si="39"/>
        <v>60000</v>
      </c>
      <c r="R272" t="str">
        <f t="shared" si="40"/>
        <v>Female</v>
      </c>
      <c r="S272" t="str">
        <f t="shared" si="41"/>
        <v>HR</v>
      </c>
      <c r="T272" t="str">
        <f t="shared" si="42"/>
        <v>Assistant</v>
      </c>
      <c r="U272" s="2">
        <v>43549</v>
      </c>
      <c r="V272" t="s">
        <v>20</v>
      </c>
      <c r="W272" t="s">
        <v>15</v>
      </c>
      <c r="X272" t="str">
        <f t="shared" si="43"/>
        <v>Email not provided</v>
      </c>
      <c r="Y272" t="str">
        <f t="shared" si="44"/>
        <v>Email not provided</v>
      </c>
      <c r="Z272" t="str">
        <f t="shared" si="36"/>
        <v>555-555-5555</v>
      </c>
    </row>
    <row r="273" spans="1:26" x14ac:dyDescent="0.25">
      <c r="A273" t="s">
        <v>22</v>
      </c>
      <c r="B273" t="s">
        <v>15</v>
      </c>
      <c r="C273" t="s">
        <v>30</v>
      </c>
      <c r="D273" t="s">
        <v>32</v>
      </c>
      <c r="E273" t="s">
        <v>23</v>
      </c>
      <c r="F273" t="s">
        <v>13</v>
      </c>
      <c r="G273" s="2">
        <v>43881</v>
      </c>
      <c r="H273" t="s">
        <v>14</v>
      </c>
      <c r="J273" t="s">
        <v>21</v>
      </c>
      <c r="M273" t="str">
        <f t="shared" si="37"/>
        <v>Hannah</v>
      </c>
      <c r="N273" t="s">
        <v>15</v>
      </c>
      <c r="O273">
        <f t="shared" si="38"/>
        <v>35</v>
      </c>
      <c r="P273" t="s">
        <v>30</v>
      </c>
      <c r="Q273">
        <f t="shared" si="39"/>
        <v>60000</v>
      </c>
      <c r="R273" t="str">
        <f t="shared" si="40"/>
        <v>Other</v>
      </c>
      <c r="S273" t="str">
        <f t="shared" si="41"/>
        <v>Sales</v>
      </c>
      <c r="T273" t="str">
        <f t="shared" si="42"/>
        <v>Manager</v>
      </c>
      <c r="U273" s="2">
        <v>43881</v>
      </c>
      <c r="V273" t="s">
        <v>14</v>
      </c>
      <c r="X273" t="str">
        <f t="shared" si="43"/>
        <v>Email not provided</v>
      </c>
      <c r="Y273" t="str">
        <f t="shared" si="44"/>
        <v>Email not provided</v>
      </c>
      <c r="Z273" t="str">
        <f t="shared" si="36"/>
        <v>123-456-7890</v>
      </c>
    </row>
    <row r="274" spans="1:26" x14ac:dyDescent="0.25">
      <c r="A274" t="s">
        <v>22</v>
      </c>
      <c r="B274" t="s">
        <v>15</v>
      </c>
      <c r="C274">
        <v>50000</v>
      </c>
      <c r="D274" t="s">
        <v>11</v>
      </c>
      <c r="E274" t="s">
        <v>18</v>
      </c>
      <c r="F274" t="s">
        <v>19</v>
      </c>
      <c r="G274" s="2">
        <v>43845</v>
      </c>
      <c r="H274" t="s">
        <v>36</v>
      </c>
      <c r="I274" t="s">
        <v>52</v>
      </c>
      <c r="J274" t="s">
        <v>29</v>
      </c>
      <c r="M274" t="str">
        <f t="shared" si="37"/>
        <v>Hannah</v>
      </c>
      <c r="N274" t="s">
        <v>15</v>
      </c>
      <c r="O274">
        <f t="shared" si="38"/>
        <v>35</v>
      </c>
      <c r="P274">
        <v>50000</v>
      </c>
      <c r="Q274">
        <f t="shared" si="39"/>
        <v>50000</v>
      </c>
      <c r="R274" t="str">
        <f t="shared" si="40"/>
        <v>Male</v>
      </c>
      <c r="S274" t="str">
        <f t="shared" si="41"/>
        <v>Finance</v>
      </c>
      <c r="T274" t="str">
        <f t="shared" si="42"/>
        <v>Director</v>
      </c>
      <c r="U274" s="2">
        <v>43845</v>
      </c>
      <c r="V274" t="s">
        <v>36</v>
      </c>
      <c r="W274" t="s">
        <v>52</v>
      </c>
      <c r="X274" t="str">
        <f t="shared" si="43"/>
        <v>user@domain/com</v>
      </c>
      <c r="Y274" t="str">
        <f t="shared" si="44"/>
        <v>user@domain.com</v>
      </c>
      <c r="Z274" t="str">
        <f t="shared" si="36"/>
        <v>Phone not provided</v>
      </c>
    </row>
    <row r="275" spans="1:26" x14ac:dyDescent="0.25">
      <c r="A275" t="s">
        <v>10</v>
      </c>
      <c r="B275">
        <v>35</v>
      </c>
      <c r="C275">
        <v>65000</v>
      </c>
      <c r="D275" t="s">
        <v>11</v>
      </c>
      <c r="E275" t="s">
        <v>23</v>
      </c>
      <c r="F275" t="s">
        <v>13</v>
      </c>
      <c r="G275" s="2">
        <v>43800</v>
      </c>
      <c r="H275" t="s">
        <v>36</v>
      </c>
      <c r="I275" t="s">
        <v>53</v>
      </c>
      <c r="J275" t="s">
        <v>39</v>
      </c>
      <c r="M275" t="str">
        <f t="shared" si="37"/>
        <v>Grace</v>
      </c>
      <c r="N275">
        <v>35</v>
      </c>
      <c r="O275">
        <f t="shared" si="38"/>
        <v>35</v>
      </c>
      <c r="P275">
        <v>65000</v>
      </c>
      <c r="Q275">
        <f t="shared" si="39"/>
        <v>65000</v>
      </c>
      <c r="R275" t="str">
        <f t="shared" si="40"/>
        <v>Male</v>
      </c>
      <c r="S275" t="str">
        <f t="shared" si="41"/>
        <v>Sales</v>
      </c>
      <c r="T275" t="str">
        <f t="shared" si="42"/>
        <v>Manager</v>
      </c>
      <c r="U275" s="2">
        <v>43800</v>
      </c>
      <c r="V275" t="s">
        <v>36</v>
      </c>
      <c r="W275" t="s">
        <v>53</v>
      </c>
      <c r="X275" t="str">
        <f t="shared" si="43"/>
        <v>name@company/org</v>
      </c>
      <c r="Y275" t="str">
        <f t="shared" si="44"/>
        <v>name@company.org</v>
      </c>
      <c r="Z275" t="str">
        <f t="shared" si="36"/>
        <v>555-555-5555</v>
      </c>
    </row>
    <row r="276" spans="1:26" x14ac:dyDescent="0.25">
      <c r="A276" t="s">
        <v>34</v>
      </c>
      <c r="B276">
        <v>35</v>
      </c>
      <c r="C276">
        <v>50000</v>
      </c>
      <c r="D276" t="s">
        <v>11</v>
      </c>
      <c r="E276" t="s">
        <v>18</v>
      </c>
      <c r="F276" t="s">
        <v>13</v>
      </c>
      <c r="G276" s="2">
        <v>43800</v>
      </c>
      <c r="H276" t="s">
        <v>14</v>
      </c>
      <c r="I276" t="s">
        <v>52</v>
      </c>
      <c r="J276" t="s">
        <v>29</v>
      </c>
      <c r="M276" t="str">
        <f t="shared" si="37"/>
        <v>Charlie</v>
      </c>
      <c r="N276">
        <v>35</v>
      </c>
      <c r="O276">
        <f t="shared" si="38"/>
        <v>35</v>
      </c>
      <c r="P276">
        <v>50000</v>
      </c>
      <c r="Q276">
        <f t="shared" si="39"/>
        <v>50000</v>
      </c>
      <c r="R276" t="str">
        <f t="shared" si="40"/>
        <v>Male</v>
      </c>
      <c r="S276" t="str">
        <f t="shared" si="41"/>
        <v>Finance</v>
      </c>
      <c r="T276" t="str">
        <f t="shared" si="42"/>
        <v>Manager</v>
      </c>
      <c r="U276" s="2">
        <v>43800</v>
      </c>
      <c r="V276" t="s">
        <v>14</v>
      </c>
      <c r="W276" t="s">
        <v>52</v>
      </c>
      <c r="X276" t="str">
        <f t="shared" si="43"/>
        <v>user@domain/com</v>
      </c>
      <c r="Y276" t="str">
        <f t="shared" si="44"/>
        <v>user@domain.com</v>
      </c>
      <c r="Z276" t="str">
        <f t="shared" si="36"/>
        <v>Phone not provided</v>
      </c>
    </row>
    <row r="277" spans="1:26" x14ac:dyDescent="0.25">
      <c r="A277" t="s">
        <v>42</v>
      </c>
      <c r="B277" t="s">
        <v>15</v>
      </c>
      <c r="C277">
        <v>65000</v>
      </c>
      <c r="D277" t="s">
        <v>17</v>
      </c>
      <c r="E277" t="s">
        <v>18</v>
      </c>
      <c r="F277" t="s">
        <v>13</v>
      </c>
      <c r="G277" s="2">
        <v>43549</v>
      </c>
      <c r="H277" t="s">
        <v>14</v>
      </c>
      <c r="I277" t="s">
        <v>53</v>
      </c>
      <c r="J277" t="s">
        <v>15</v>
      </c>
      <c r="M277" t="str">
        <f t="shared" si="37"/>
        <v>Alice</v>
      </c>
      <c r="N277" t="s">
        <v>15</v>
      </c>
      <c r="O277">
        <f t="shared" si="38"/>
        <v>35</v>
      </c>
      <c r="P277">
        <v>65000</v>
      </c>
      <c r="Q277">
        <f t="shared" si="39"/>
        <v>65000</v>
      </c>
      <c r="R277" t="str">
        <f t="shared" si="40"/>
        <v>Female</v>
      </c>
      <c r="S277" t="str">
        <f t="shared" si="41"/>
        <v>Finance</v>
      </c>
      <c r="T277" t="str">
        <f t="shared" si="42"/>
        <v>Manager</v>
      </c>
      <c r="U277" s="2">
        <v>43549</v>
      </c>
      <c r="V277" t="s">
        <v>14</v>
      </c>
      <c r="W277" t="s">
        <v>53</v>
      </c>
      <c r="X277" t="str">
        <f t="shared" si="43"/>
        <v>name@company/org</v>
      </c>
      <c r="Y277" t="str">
        <f t="shared" si="44"/>
        <v>name@company.org</v>
      </c>
      <c r="Z277" t="str">
        <f t="shared" si="36"/>
        <v>Phone not provided</v>
      </c>
    </row>
    <row r="278" spans="1:26" x14ac:dyDescent="0.25">
      <c r="A278" t="s">
        <v>42</v>
      </c>
      <c r="B278">
        <v>35</v>
      </c>
      <c r="C278">
        <v>65000</v>
      </c>
      <c r="D278" t="s">
        <v>17</v>
      </c>
      <c r="E278" t="s">
        <v>33</v>
      </c>
      <c r="F278" t="s">
        <v>38</v>
      </c>
      <c r="G278" s="2">
        <v>43881</v>
      </c>
      <c r="H278" t="s">
        <v>36</v>
      </c>
      <c r="I278" t="s">
        <v>15</v>
      </c>
      <c r="J278" t="s">
        <v>15</v>
      </c>
      <c r="M278" t="str">
        <f t="shared" si="37"/>
        <v>Alice</v>
      </c>
      <c r="N278">
        <v>35</v>
      </c>
      <c r="O278">
        <f t="shared" si="38"/>
        <v>35</v>
      </c>
      <c r="P278">
        <v>65000</v>
      </c>
      <c r="Q278">
        <f t="shared" si="39"/>
        <v>65000</v>
      </c>
      <c r="R278" t="str">
        <f t="shared" si="40"/>
        <v>Female</v>
      </c>
      <c r="S278" t="str">
        <f t="shared" si="41"/>
        <v>Marketing</v>
      </c>
      <c r="T278" t="str">
        <f t="shared" si="42"/>
        <v>Analyst</v>
      </c>
      <c r="U278" s="2">
        <v>43881</v>
      </c>
      <c r="V278" t="s">
        <v>36</v>
      </c>
      <c r="W278" t="s">
        <v>15</v>
      </c>
      <c r="X278" t="str">
        <f t="shared" si="43"/>
        <v>Email not provided</v>
      </c>
      <c r="Y278" t="str">
        <f t="shared" si="44"/>
        <v>Email not provided</v>
      </c>
      <c r="Z278" t="str">
        <f t="shared" si="36"/>
        <v>Phone not provided</v>
      </c>
    </row>
    <row r="279" spans="1:26" x14ac:dyDescent="0.25">
      <c r="A279" t="s">
        <v>34</v>
      </c>
      <c r="B279">
        <v>25</v>
      </c>
      <c r="C279">
        <v>60000</v>
      </c>
      <c r="D279" t="s">
        <v>32</v>
      </c>
      <c r="E279" t="s">
        <v>18</v>
      </c>
      <c r="F279" t="s">
        <v>38</v>
      </c>
      <c r="G279" s="2">
        <v>43881</v>
      </c>
      <c r="H279" t="s">
        <v>36</v>
      </c>
      <c r="J279" t="s">
        <v>29</v>
      </c>
      <c r="M279" t="str">
        <f t="shared" si="37"/>
        <v>Charlie</v>
      </c>
      <c r="N279">
        <v>25</v>
      </c>
      <c r="O279">
        <f t="shared" si="38"/>
        <v>25</v>
      </c>
      <c r="P279">
        <v>60000</v>
      </c>
      <c r="Q279">
        <f t="shared" si="39"/>
        <v>60000</v>
      </c>
      <c r="R279" t="str">
        <f t="shared" si="40"/>
        <v>Other</v>
      </c>
      <c r="S279" t="str">
        <f t="shared" si="41"/>
        <v>Finance</v>
      </c>
      <c r="T279" t="str">
        <f t="shared" si="42"/>
        <v>Analyst</v>
      </c>
      <c r="U279" s="2">
        <v>43881</v>
      </c>
      <c r="V279" t="s">
        <v>36</v>
      </c>
      <c r="X279" t="str">
        <f t="shared" si="43"/>
        <v>Email not provided</v>
      </c>
      <c r="Y279" t="str">
        <f t="shared" si="44"/>
        <v>Email not provided</v>
      </c>
      <c r="Z279" t="str">
        <f t="shared" si="36"/>
        <v>Phone not provided</v>
      </c>
    </row>
    <row r="280" spans="1:26" x14ac:dyDescent="0.25">
      <c r="A280" t="s">
        <v>40</v>
      </c>
      <c r="B280">
        <v>50</v>
      </c>
      <c r="C280" t="s">
        <v>30</v>
      </c>
      <c r="D280" t="s">
        <v>17</v>
      </c>
      <c r="E280" t="s">
        <v>18</v>
      </c>
      <c r="F280" t="s">
        <v>19</v>
      </c>
      <c r="G280" s="1">
        <v>43195</v>
      </c>
      <c r="H280" t="s">
        <v>36</v>
      </c>
      <c r="I280" t="s">
        <v>52</v>
      </c>
      <c r="J280" t="s">
        <v>39</v>
      </c>
      <c r="M280" t="str">
        <f t="shared" si="37"/>
        <v>Frank</v>
      </c>
      <c r="N280">
        <v>50</v>
      </c>
      <c r="O280">
        <f t="shared" si="38"/>
        <v>50</v>
      </c>
      <c r="P280" t="s">
        <v>30</v>
      </c>
      <c r="Q280">
        <f t="shared" si="39"/>
        <v>60000</v>
      </c>
      <c r="R280" t="str">
        <f t="shared" si="40"/>
        <v>Female</v>
      </c>
      <c r="S280" t="str">
        <f t="shared" si="41"/>
        <v>Finance</v>
      </c>
      <c r="T280" t="str">
        <f t="shared" si="42"/>
        <v>Director</v>
      </c>
      <c r="U280" s="2">
        <v>43195</v>
      </c>
      <c r="V280" t="s">
        <v>36</v>
      </c>
      <c r="W280" t="s">
        <v>52</v>
      </c>
      <c r="X280" t="str">
        <f t="shared" si="43"/>
        <v>user@domain/com</v>
      </c>
      <c r="Y280" t="str">
        <f t="shared" si="44"/>
        <v>user@domain.com</v>
      </c>
      <c r="Z280" t="str">
        <f t="shared" si="36"/>
        <v>555-555-5555</v>
      </c>
    </row>
    <row r="281" spans="1:26" x14ac:dyDescent="0.25">
      <c r="A281" t="s">
        <v>10</v>
      </c>
      <c r="B281">
        <v>35</v>
      </c>
      <c r="C281">
        <v>70000</v>
      </c>
      <c r="D281" t="s">
        <v>17</v>
      </c>
      <c r="E281" t="s">
        <v>27</v>
      </c>
      <c r="F281" t="s">
        <v>13</v>
      </c>
      <c r="G281" s="2">
        <v>43845</v>
      </c>
      <c r="H281" t="s">
        <v>14</v>
      </c>
      <c r="I281" t="s">
        <v>15</v>
      </c>
      <c r="J281" t="s">
        <v>21</v>
      </c>
      <c r="M281" t="str">
        <f t="shared" si="37"/>
        <v>Grace</v>
      </c>
      <c r="N281">
        <v>35</v>
      </c>
      <c r="O281">
        <f t="shared" si="38"/>
        <v>35</v>
      </c>
      <c r="P281">
        <v>70000</v>
      </c>
      <c r="Q281">
        <f t="shared" si="39"/>
        <v>70000</v>
      </c>
      <c r="R281" t="str">
        <f t="shared" si="40"/>
        <v>Female</v>
      </c>
      <c r="S281" t="str">
        <f t="shared" si="41"/>
        <v>IT</v>
      </c>
      <c r="T281" t="str">
        <f t="shared" si="42"/>
        <v>Manager</v>
      </c>
      <c r="U281" s="2">
        <v>43845</v>
      </c>
      <c r="V281" t="s">
        <v>14</v>
      </c>
      <c r="W281" t="s">
        <v>15</v>
      </c>
      <c r="X281" t="str">
        <f t="shared" si="43"/>
        <v>Email not provided</v>
      </c>
      <c r="Y281" t="str">
        <f t="shared" si="44"/>
        <v>Email not provided</v>
      </c>
      <c r="Z281" t="str">
        <f t="shared" si="36"/>
        <v>123-456-7890</v>
      </c>
    </row>
    <row r="282" spans="1:26" x14ac:dyDescent="0.25">
      <c r="A282" t="s">
        <v>40</v>
      </c>
      <c r="B282">
        <v>40</v>
      </c>
      <c r="C282">
        <v>65000</v>
      </c>
      <c r="D282" t="s">
        <v>11</v>
      </c>
      <c r="E282" t="s">
        <v>12</v>
      </c>
      <c r="F282" t="s">
        <v>35</v>
      </c>
      <c r="G282" s="2">
        <v>43881</v>
      </c>
      <c r="H282" t="s">
        <v>36</v>
      </c>
      <c r="I282" t="s">
        <v>53</v>
      </c>
      <c r="J282" t="s">
        <v>25</v>
      </c>
      <c r="M282" t="str">
        <f t="shared" si="37"/>
        <v>Frank</v>
      </c>
      <c r="N282">
        <v>40</v>
      </c>
      <c r="O282">
        <f t="shared" si="38"/>
        <v>40</v>
      </c>
      <c r="P282">
        <v>65000</v>
      </c>
      <c r="Q282">
        <f t="shared" si="39"/>
        <v>65000</v>
      </c>
      <c r="R282" t="str">
        <f t="shared" si="40"/>
        <v>Male</v>
      </c>
      <c r="S282" t="str">
        <f t="shared" si="41"/>
        <v>HR</v>
      </c>
      <c r="T282" t="str">
        <f t="shared" si="42"/>
        <v>Clerk</v>
      </c>
      <c r="U282" s="2">
        <v>43881</v>
      </c>
      <c r="V282" t="s">
        <v>36</v>
      </c>
      <c r="W282" t="s">
        <v>53</v>
      </c>
      <c r="X282" t="str">
        <f t="shared" si="43"/>
        <v>name@company/org</v>
      </c>
      <c r="Y282" t="str">
        <f t="shared" si="44"/>
        <v>name@company.org</v>
      </c>
      <c r="Z282" t="str">
        <f t="shared" si="36"/>
        <v>098-765-4321</v>
      </c>
    </row>
    <row r="283" spans="1:26" x14ac:dyDescent="0.25">
      <c r="A283" t="s">
        <v>40</v>
      </c>
      <c r="B283">
        <v>35</v>
      </c>
      <c r="C283">
        <v>60000</v>
      </c>
      <c r="D283" t="s">
        <v>11</v>
      </c>
      <c r="E283" t="s">
        <v>33</v>
      </c>
      <c r="F283" t="s">
        <v>19</v>
      </c>
      <c r="G283" s="2">
        <v>43800</v>
      </c>
      <c r="H283" t="s">
        <v>28</v>
      </c>
      <c r="I283" t="s">
        <v>52</v>
      </c>
      <c r="J283" t="s">
        <v>21</v>
      </c>
      <c r="M283" t="str">
        <f t="shared" si="37"/>
        <v>Frank</v>
      </c>
      <c r="N283">
        <v>35</v>
      </c>
      <c r="O283">
        <f t="shared" si="38"/>
        <v>35</v>
      </c>
      <c r="P283">
        <v>60000</v>
      </c>
      <c r="Q283">
        <f t="shared" si="39"/>
        <v>60000</v>
      </c>
      <c r="R283" t="str">
        <f t="shared" si="40"/>
        <v>Male</v>
      </c>
      <c r="S283" t="str">
        <f t="shared" si="41"/>
        <v>Marketing</v>
      </c>
      <c r="T283" t="str">
        <f t="shared" si="42"/>
        <v>Director</v>
      </c>
      <c r="U283" s="2">
        <v>43800</v>
      </c>
      <c r="V283" t="s">
        <v>28</v>
      </c>
      <c r="W283" t="s">
        <v>52</v>
      </c>
      <c r="X283" t="str">
        <f t="shared" si="43"/>
        <v>user@domain/com</v>
      </c>
      <c r="Y283" t="str">
        <f t="shared" si="44"/>
        <v>user@domain.com</v>
      </c>
      <c r="Z283" t="str">
        <f t="shared" si="36"/>
        <v>123-456-7890</v>
      </c>
    </row>
    <row r="284" spans="1:26" x14ac:dyDescent="0.25">
      <c r="A284" t="s">
        <v>40</v>
      </c>
      <c r="B284">
        <v>30</v>
      </c>
      <c r="C284" t="s">
        <v>30</v>
      </c>
      <c r="D284" t="s">
        <v>11</v>
      </c>
      <c r="E284" t="s">
        <v>33</v>
      </c>
      <c r="F284" t="s">
        <v>13</v>
      </c>
      <c r="G284" s="2">
        <v>43845</v>
      </c>
      <c r="H284" t="s">
        <v>14</v>
      </c>
      <c r="I284" t="s">
        <v>52</v>
      </c>
      <c r="J284" t="s">
        <v>25</v>
      </c>
      <c r="M284" t="str">
        <f t="shared" si="37"/>
        <v>Frank</v>
      </c>
      <c r="N284">
        <v>30</v>
      </c>
      <c r="O284">
        <f t="shared" si="38"/>
        <v>30</v>
      </c>
      <c r="P284" t="s">
        <v>30</v>
      </c>
      <c r="Q284">
        <f t="shared" si="39"/>
        <v>60000</v>
      </c>
      <c r="R284" t="str">
        <f t="shared" si="40"/>
        <v>Male</v>
      </c>
      <c r="S284" t="str">
        <f t="shared" si="41"/>
        <v>Marketing</v>
      </c>
      <c r="T284" t="str">
        <f t="shared" si="42"/>
        <v>Manager</v>
      </c>
      <c r="U284" s="2">
        <v>43845</v>
      </c>
      <c r="V284" t="s">
        <v>14</v>
      </c>
      <c r="W284" t="s">
        <v>52</v>
      </c>
      <c r="X284" t="str">
        <f t="shared" si="43"/>
        <v>user@domain/com</v>
      </c>
      <c r="Y284" t="str">
        <f t="shared" si="44"/>
        <v>user@domain.com</v>
      </c>
      <c r="Z284" t="str">
        <f t="shared" si="36"/>
        <v>098-765-4321</v>
      </c>
    </row>
    <row r="285" spans="1:26" x14ac:dyDescent="0.25">
      <c r="A285" t="s">
        <v>34</v>
      </c>
      <c r="B285">
        <v>25</v>
      </c>
      <c r="C285">
        <v>70000</v>
      </c>
      <c r="D285" t="s">
        <v>11</v>
      </c>
      <c r="E285" t="s">
        <v>33</v>
      </c>
      <c r="F285" t="s">
        <v>13</v>
      </c>
      <c r="G285" s="2">
        <v>43845</v>
      </c>
      <c r="H285" t="s">
        <v>28</v>
      </c>
      <c r="I285" t="s">
        <v>15</v>
      </c>
      <c r="J285" t="s">
        <v>25</v>
      </c>
      <c r="M285" t="str">
        <f t="shared" si="37"/>
        <v>Charlie</v>
      </c>
      <c r="N285">
        <v>25</v>
      </c>
      <c r="O285">
        <f t="shared" si="38"/>
        <v>25</v>
      </c>
      <c r="P285">
        <v>70000</v>
      </c>
      <c r="Q285">
        <f t="shared" si="39"/>
        <v>70000</v>
      </c>
      <c r="R285" t="str">
        <f t="shared" si="40"/>
        <v>Male</v>
      </c>
      <c r="S285" t="str">
        <f t="shared" si="41"/>
        <v>Marketing</v>
      </c>
      <c r="T285" t="str">
        <f t="shared" si="42"/>
        <v>Manager</v>
      </c>
      <c r="U285" s="2">
        <v>43845</v>
      </c>
      <c r="V285" t="s">
        <v>28</v>
      </c>
      <c r="W285" t="s">
        <v>15</v>
      </c>
      <c r="X285" t="str">
        <f t="shared" si="43"/>
        <v>Email not provided</v>
      </c>
      <c r="Y285" t="str">
        <f t="shared" si="44"/>
        <v>Email not provided</v>
      </c>
      <c r="Z285" t="str">
        <f t="shared" si="36"/>
        <v>098-765-4321</v>
      </c>
    </row>
    <row r="286" spans="1:26" x14ac:dyDescent="0.25">
      <c r="A286" t="s">
        <v>40</v>
      </c>
      <c r="B286">
        <v>30</v>
      </c>
      <c r="C286">
        <v>65000</v>
      </c>
      <c r="D286" t="s">
        <v>11</v>
      </c>
      <c r="E286" t="s">
        <v>27</v>
      </c>
      <c r="F286" t="s">
        <v>38</v>
      </c>
      <c r="G286" s="2">
        <v>43549</v>
      </c>
      <c r="H286" t="s">
        <v>24</v>
      </c>
      <c r="I286" t="s">
        <v>52</v>
      </c>
      <c r="J286" t="s">
        <v>39</v>
      </c>
      <c r="M286" t="str">
        <f t="shared" si="37"/>
        <v>Frank</v>
      </c>
      <c r="N286">
        <v>30</v>
      </c>
      <c r="O286">
        <f t="shared" si="38"/>
        <v>30</v>
      </c>
      <c r="P286">
        <v>65000</v>
      </c>
      <c r="Q286">
        <f t="shared" si="39"/>
        <v>65000</v>
      </c>
      <c r="R286" t="str">
        <f t="shared" si="40"/>
        <v>Male</v>
      </c>
      <c r="S286" t="str">
        <f t="shared" si="41"/>
        <v>IT</v>
      </c>
      <c r="T286" t="str">
        <f t="shared" si="42"/>
        <v>Analyst</v>
      </c>
      <c r="U286" s="2">
        <v>43549</v>
      </c>
      <c r="V286" t="s">
        <v>24</v>
      </c>
      <c r="W286" t="s">
        <v>52</v>
      </c>
      <c r="X286" t="str">
        <f t="shared" si="43"/>
        <v>user@domain/com</v>
      </c>
      <c r="Y286" t="str">
        <f t="shared" si="44"/>
        <v>user@domain.com</v>
      </c>
      <c r="Z286" t="str">
        <f t="shared" si="36"/>
        <v>555-555-5555</v>
      </c>
    </row>
    <row r="287" spans="1:26" x14ac:dyDescent="0.25">
      <c r="A287" t="s">
        <v>22</v>
      </c>
      <c r="B287">
        <v>30</v>
      </c>
      <c r="C287">
        <v>65000</v>
      </c>
      <c r="D287" t="s">
        <v>11</v>
      </c>
      <c r="E287" t="s">
        <v>18</v>
      </c>
      <c r="F287" t="s">
        <v>19</v>
      </c>
      <c r="G287" s="2">
        <v>43881</v>
      </c>
      <c r="H287" t="s">
        <v>14</v>
      </c>
      <c r="J287" t="s">
        <v>29</v>
      </c>
      <c r="M287" t="str">
        <f t="shared" si="37"/>
        <v>Hannah</v>
      </c>
      <c r="N287">
        <v>30</v>
      </c>
      <c r="O287">
        <f t="shared" si="38"/>
        <v>30</v>
      </c>
      <c r="P287">
        <v>65000</v>
      </c>
      <c r="Q287">
        <f t="shared" si="39"/>
        <v>65000</v>
      </c>
      <c r="R287" t="str">
        <f t="shared" si="40"/>
        <v>Male</v>
      </c>
      <c r="S287" t="str">
        <f t="shared" si="41"/>
        <v>Finance</v>
      </c>
      <c r="T287" t="str">
        <f t="shared" si="42"/>
        <v>Director</v>
      </c>
      <c r="U287" s="2">
        <v>43881</v>
      </c>
      <c r="V287" t="s">
        <v>14</v>
      </c>
      <c r="X287" t="str">
        <f t="shared" si="43"/>
        <v>Email not provided</v>
      </c>
      <c r="Y287" t="str">
        <f t="shared" si="44"/>
        <v>Email not provided</v>
      </c>
      <c r="Z287" t="str">
        <f t="shared" si="36"/>
        <v>Phone not provided</v>
      </c>
    </row>
    <row r="288" spans="1:26" x14ac:dyDescent="0.25">
      <c r="A288" t="s">
        <v>41</v>
      </c>
      <c r="B288">
        <v>40</v>
      </c>
      <c r="C288">
        <v>50000</v>
      </c>
      <c r="D288" t="s">
        <v>11</v>
      </c>
      <c r="E288" t="s">
        <v>12</v>
      </c>
      <c r="F288" t="s">
        <v>13</v>
      </c>
      <c r="G288" s="2">
        <v>43549</v>
      </c>
      <c r="H288" t="s">
        <v>24</v>
      </c>
      <c r="J288" t="s">
        <v>21</v>
      </c>
      <c r="M288" t="str">
        <f t="shared" si="37"/>
        <v>Bob</v>
      </c>
      <c r="N288">
        <v>40</v>
      </c>
      <c r="O288">
        <f t="shared" si="38"/>
        <v>40</v>
      </c>
      <c r="P288">
        <v>50000</v>
      </c>
      <c r="Q288">
        <f t="shared" si="39"/>
        <v>50000</v>
      </c>
      <c r="R288" t="str">
        <f t="shared" si="40"/>
        <v>Male</v>
      </c>
      <c r="S288" t="str">
        <f t="shared" si="41"/>
        <v>HR</v>
      </c>
      <c r="T288" t="str">
        <f t="shared" si="42"/>
        <v>Manager</v>
      </c>
      <c r="U288" s="2">
        <v>43549</v>
      </c>
      <c r="V288" t="s">
        <v>24</v>
      </c>
      <c r="X288" t="str">
        <f t="shared" si="43"/>
        <v>Email not provided</v>
      </c>
      <c r="Y288" t="str">
        <f t="shared" si="44"/>
        <v>Email not provided</v>
      </c>
      <c r="Z288" t="str">
        <f t="shared" si="36"/>
        <v>123-456-7890</v>
      </c>
    </row>
    <row r="289" spans="1:26" x14ac:dyDescent="0.25">
      <c r="A289" t="s">
        <v>26</v>
      </c>
      <c r="B289">
        <v>25</v>
      </c>
      <c r="C289">
        <v>50000</v>
      </c>
      <c r="D289" t="s">
        <v>32</v>
      </c>
      <c r="E289" t="s">
        <v>23</v>
      </c>
      <c r="F289" t="s">
        <v>13</v>
      </c>
      <c r="G289" s="2">
        <v>43881</v>
      </c>
      <c r="H289" t="s">
        <v>36</v>
      </c>
      <c r="I289" t="s">
        <v>15</v>
      </c>
      <c r="J289" t="s">
        <v>29</v>
      </c>
      <c r="M289" t="str">
        <f t="shared" si="37"/>
        <v>Eve</v>
      </c>
      <c r="N289">
        <v>25</v>
      </c>
      <c r="O289">
        <f t="shared" si="38"/>
        <v>25</v>
      </c>
      <c r="P289">
        <v>50000</v>
      </c>
      <c r="Q289">
        <f t="shared" si="39"/>
        <v>50000</v>
      </c>
      <c r="R289" t="str">
        <f t="shared" si="40"/>
        <v>Other</v>
      </c>
      <c r="S289" t="str">
        <f t="shared" si="41"/>
        <v>Sales</v>
      </c>
      <c r="T289" t="str">
        <f t="shared" si="42"/>
        <v>Manager</v>
      </c>
      <c r="U289" s="2">
        <v>43881</v>
      </c>
      <c r="V289" t="s">
        <v>36</v>
      </c>
      <c r="W289" t="s">
        <v>15</v>
      </c>
      <c r="X289" t="str">
        <f t="shared" si="43"/>
        <v>Email not provided</v>
      </c>
      <c r="Y289" t="str">
        <f t="shared" si="44"/>
        <v>Email not provided</v>
      </c>
      <c r="Z289" t="str">
        <f t="shared" si="36"/>
        <v>Phone not provided</v>
      </c>
    </row>
    <row r="290" spans="1:26" x14ac:dyDescent="0.25">
      <c r="A290" t="s">
        <v>42</v>
      </c>
      <c r="B290">
        <v>25</v>
      </c>
      <c r="C290" t="s">
        <v>30</v>
      </c>
      <c r="D290" t="s">
        <v>32</v>
      </c>
      <c r="E290" t="s">
        <v>18</v>
      </c>
      <c r="F290" t="s">
        <v>19</v>
      </c>
      <c r="G290" s="1">
        <v>43195</v>
      </c>
      <c r="H290" t="s">
        <v>36</v>
      </c>
      <c r="I290" t="s">
        <v>53</v>
      </c>
      <c r="J290" t="s">
        <v>15</v>
      </c>
      <c r="M290" t="str">
        <f t="shared" si="37"/>
        <v>Alice</v>
      </c>
      <c r="N290">
        <v>25</v>
      </c>
      <c r="O290">
        <f t="shared" si="38"/>
        <v>25</v>
      </c>
      <c r="P290" t="s">
        <v>30</v>
      </c>
      <c r="Q290">
        <f t="shared" si="39"/>
        <v>60000</v>
      </c>
      <c r="R290" t="str">
        <f t="shared" si="40"/>
        <v>Other</v>
      </c>
      <c r="S290" t="str">
        <f t="shared" si="41"/>
        <v>Finance</v>
      </c>
      <c r="T290" t="str">
        <f t="shared" si="42"/>
        <v>Director</v>
      </c>
      <c r="U290" s="2">
        <v>43195</v>
      </c>
      <c r="V290" t="s">
        <v>36</v>
      </c>
      <c r="W290" t="s">
        <v>53</v>
      </c>
      <c r="X290" t="str">
        <f t="shared" si="43"/>
        <v>name@company/org</v>
      </c>
      <c r="Y290" t="str">
        <f t="shared" si="44"/>
        <v>name@company.org</v>
      </c>
      <c r="Z290" t="str">
        <f t="shared" si="36"/>
        <v>Phone not provided</v>
      </c>
    </row>
    <row r="291" spans="1:26" x14ac:dyDescent="0.25">
      <c r="A291" t="s">
        <v>42</v>
      </c>
      <c r="B291">
        <v>25</v>
      </c>
      <c r="C291">
        <v>70000</v>
      </c>
      <c r="D291" t="s">
        <v>32</v>
      </c>
      <c r="E291" t="s">
        <v>27</v>
      </c>
      <c r="F291" t="s">
        <v>35</v>
      </c>
      <c r="G291" s="2">
        <v>43549</v>
      </c>
      <c r="H291" t="s">
        <v>20</v>
      </c>
      <c r="I291" t="s">
        <v>15</v>
      </c>
      <c r="J291" t="s">
        <v>39</v>
      </c>
      <c r="M291" t="str">
        <f t="shared" si="37"/>
        <v>Alice</v>
      </c>
      <c r="N291">
        <v>25</v>
      </c>
      <c r="O291">
        <f t="shared" si="38"/>
        <v>25</v>
      </c>
      <c r="P291">
        <v>70000</v>
      </c>
      <c r="Q291">
        <f t="shared" si="39"/>
        <v>70000</v>
      </c>
      <c r="R291" t="str">
        <f t="shared" si="40"/>
        <v>Other</v>
      </c>
      <c r="S291" t="str">
        <f t="shared" si="41"/>
        <v>IT</v>
      </c>
      <c r="T291" t="str">
        <f t="shared" si="42"/>
        <v>Clerk</v>
      </c>
      <c r="U291" s="2">
        <v>43549</v>
      </c>
      <c r="V291" t="s">
        <v>20</v>
      </c>
      <c r="W291" t="s">
        <v>15</v>
      </c>
      <c r="X291" t="str">
        <f t="shared" si="43"/>
        <v>Email not provided</v>
      </c>
      <c r="Y291" t="str">
        <f t="shared" si="44"/>
        <v>Email not provided</v>
      </c>
      <c r="Z291" t="str">
        <f t="shared" si="36"/>
        <v>555-555-5555</v>
      </c>
    </row>
    <row r="292" spans="1:26" x14ac:dyDescent="0.25">
      <c r="A292" t="s">
        <v>26</v>
      </c>
      <c r="B292">
        <v>25</v>
      </c>
      <c r="C292">
        <v>65000</v>
      </c>
      <c r="D292" t="s">
        <v>32</v>
      </c>
      <c r="E292" t="s">
        <v>18</v>
      </c>
      <c r="F292" t="s">
        <v>19</v>
      </c>
      <c r="G292" s="2">
        <v>43549</v>
      </c>
      <c r="H292" t="s">
        <v>36</v>
      </c>
      <c r="J292" t="s">
        <v>39</v>
      </c>
      <c r="M292" t="str">
        <f t="shared" si="37"/>
        <v>Eve</v>
      </c>
      <c r="N292">
        <v>25</v>
      </c>
      <c r="O292">
        <f t="shared" si="38"/>
        <v>25</v>
      </c>
      <c r="P292">
        <v>65000</v>
      </c>
      <c r="Q292">
        <f t="shared" si="39"/>
        <v>65000</v>
      </c>
      <c r="R292" t="str">
        <f t="shared" si="40"/>
        <v>Other</v>
      </c>
      <c r="S292" t="str">
        <f t="shared" si="41"/>
        <v>Finance</v>
      </c>
      <c r="T292" t="str">
        <f t="shared" si="42"/>
        <v>Director</v>
      </c>
      <c r="U292" s="2">
        <v>43549</v>
      </c>
      <c r="V292" t="s">
        <v>36</v>
      </c>
      <c r="X292" t="str">
        <f t="shared" si="43"/>
        <v>Email not provided</v>
      </c>
      <c r="Y292" t="str">
        <f t="shared" si="44"/>
        <v>Email not provided</v>
      </c>
      <c r="Z292" t="str">
        <f t="shared" si="36"/>
        <v>555-555-5555</v>
      </c>
    </row>
    <row r="293" spans="1:26" x14ac:dyDescent="0.25">
      <c r="A293" t="s">
        <v>34</v>
      </c>
      <c r="B293">
        <v>25</v>
      </c>
      <c r="C293" t="s">
        <v>30</v>
      </c>
      <c r="D293" t="s">
        <v>11</v>
      </c>
      <c r="E293" t="s">
        <v>18</v>
      </c>
      <c r="F293" t="s">
        <v>19</v>
      </c>
      <c r="G293" s="2">
        <v>43800</v>
      </c>
      <c r="H293" t="s">
        <v>24</v>
      </c>
      <c r="I293" t="s">
        <v>51</v>
      </c>
      <c r="J293" t="s">
        <v>15</v>
      </c>
      <c r="M293" t="str">
        <f t="shared" si="37"/>
        <v>Charlie</v>
      </c>
      <c r="N293">
        <v>25</v>
      </c>
      <c r="O293">
        <f t="shared" si="38"/>
        <v>25</v>
      </c>
      <c r="P293" t="s">
        <v>30</v>
      </c>
      <c r="Q293">
        <f t="shared" si="39"/>
        <v>60000</v>
      </c>
      <c r="R293" t="str">
        <f t="shared" si="40"/>
        <v>Male</v>
      </c>
      <c r="S293" t="str">
        <f t="shared" si="41"/>
        <v>Finance</v>
      </c>
      <c r="T293" t="str">
        <f t="shared" si="42"/>
        <v>Director</v>
      </c>
      <c r="U293" s="2">
        <v>43800</v>
      </c>
      <c r="V293" t="s">
        <v>24</v>
      </c>
      <c r="W293" t="s">
        <v>51</v>
      </c>
      <c r="X293" t="str">
        <f t="shared" si="43"/>
        <v>email@example/com</v>
      </c>
      <c r="Y293" t="str">
        <f t="shared" si="44"/>
        <v>email@example.com</v>
      </c>
      <c r="Z293" t="str">
        <f t="shared" si="36"/>
        <v>Phone not provided</v>
      </c>
    </row>
    <row r="294" spans="1:26" x14ac:dyDescent="0.25">
      <c r="A294" t="s">
        <v>16</v>
      </c>
      <c r="B294">
        <v>40</v>
      </c>
      <c r="C294" t="s">
        <v>30</v>
      </c>
      <c r="D294" t="s">
        <v>32</v>
      </c>
      <c r="E294" t="s">
        <v>27</v>
      </c>
      <c r="F294" t="s">
        <v>35</v>
      </c>
      <c r="G294" s="2">
        <v>43549</v>
      </c>
      <c r="H294" t="s">
        <v>36</v>
      </c>
      <c r="I294" t="s">
        <v>51</v>
      </c>
      <c r="J294" t="s">
        <v>21</v>
      </c>
      <c r="M294" t="str">
        <f t="shared" si="37"/>
        <v>David</v>
      </c>
      <c r="N294">
        <v>40</v>
      </c>
      <c r="O294">
        <f t="shared" si="38"/>
        <v>40</v>
      </c>
      <c r="P294" t="s">
        <v>30</v>
      </c>
      <c r="Q294">
        <f t="shared" si="39"/>
        <v>60000</v>
      </c>
      <c r="R294" t="str">
        <f t="shared" si="40"/>
        <v>Other</v>
      </c>
      <c r="S294" t="str">
        <f t="shared" si="41"/>
        <v>IT</v>
      </c>
      <c r="T294" t="str">
        <f t="shared" si="42"/>
        <v>Clerk</v>
      </c>
      <c r="U294" s="2">
        <v>43549</v>
      </c>
      <c r="V294" t="s">
        <v>36</v>
      </c>
      <c r="W294" t="s">
        <v>51</v>
      </c>
      <c r="X294" t="str">
        <f t="shared" si="43"/>
        <v>email@example/com</v>
      </c>
      <c r="Y294" t="str">
        <f t="shared" si="44"/>
        <v>email@example.com</v>
      </c>
      <c r="Z294" t="str">
        <f t="shared" si="36"/>
        <v>123-456-7890</v>
      </c>
    </row>
    <row r="295" spans="1:26" x14ac:dyDescent="0.25">
      <c r="A295" t="s">
        <v>34</v>
      </c>
      <c r="B295">
        <v>35</v>
      </c>
      <c r="C295">
        <v>55000</v>
      </c>
      <c r="D295" t="s">
        <v>11</v>
      </c>
      <c r="E295" t="s">
        <v>33</v>
      </c>
      <c r="F295" t="s">
        <v>19</v>
      </c>
      <c r="G295" s="2">
        <v>43881</v>
      </c>
      <c r="H295" t="s">
        <v>14</v>
      </c>
      <c r="I295" t="s">
        <v>52</v>
      </c>
      <c r="J295" t="s">
        <v>15</v>
      </c>
      <c r="M295" t="str">
        <f t="shared" si="37"/>
        <v>Charlie</v>
      </c>
      <c r="N295">
        <v>35</v>
      </c>
      <c r="O295">
        <f t="shared" si="38"/>
        <v>35</v>
      </c>
      <c r="P295">
        <v>55000</v>
      </c>
      <c r="Q295">
        <f t="shared" si="39"/>
        <v>55000</v>
      </c>
      <c r="R295" t="str">
        <f t="shared" si="40"/>
        <v>Male</v>
      </c>
      <c r="S295" t="str">
        <f t="shared" si="41"/>
        <v>Marketing</v>
      </c>
      <c r="T295" t="str">
        <f t="shared" si="42"/>
        <v>Director</v>
      </c>
      <c r="U295" s="2">
        <v>43881</v>
      </c>
      <c r="V295" t="s">
        <v>14</v>
      </c>
      <c r="W295" t="s">
        <v>52</v>
      </c>
      <c r="X295" t="str">
        <f t="shared" si="43"/>
        <v>user@domain/com</v>
      </c>
      <c r="Y295" t="str">
        <f t="shared" si="44"/>
        <v>user@domain.com</v>
      </c>
      <c r="Z295" t="str">
        <f t="shared" si="36"/>
        <v>Phone not provided</v>
      </c>
    </row>
    <row r="296" spans="1:26" x14ac:dyDescent="0.25">
      <c r="A296" t="s">
        <v>42</v>
      </c>
      <c r="B296">
        <v>30</v>
      </c>
      <c r="C296">
        <v>50000</v>
      </c>
      <c r="D296" t="s">
        <v>32</v>
      </c>
      <c r="E296" t="s">
        <v>33</v>
      </c>
      <c r="F296" t="s">
        <v>13</v>
      </c>
      <c r="G296" s="2">
        <v>43800</v>
      </c>
      <c r="H296" t="s">
        <v>36</v>
      </c>
      <c r="I296" t="s">
        <v>52</v>
      </c>
      <c r="J296" t="s">
        <v>21</v>
      </c>
      <c r="M296" t="str">
        <f t="shared" si="37"/>
        <v>Alice</v>
      </c>
      <c r="N296">
        <v>30</v>
      </c>
      <c r="O296">
        <f t="shared" si="38"/>
        <v>30</v>
      </c>
      <c r="P296">
        <v>50000</v>
      </c>
      <c r="Q296">
        <f t="shared" si="39"/>
        <v>50000</v>
      </c>
      <c r="R296" t="str">
        <f t="shared" si="40"/>
        <v>Other</v>
      </c>
      <c r="S296" t="str">
        <f t="shared" si="41"/>
        <v>Marketing</v>
      </c>
      <c r="T296" t="str">
        <f t="shared" si="42"/>
        <v>Manager</v>
      </c>
      <c r="U296" s="2">
        <v>43800</v>
      </c>
      <c r="V296" t="s">
        <v>36</v>
      </c>
      <c r="W296" t="s">
        <v>52</v>
      </c>
      <c r="X296" t="str">
        <f t="shared" si="43"/>
        <v>user@domain/com</v>
      </c>
      <c r="Y296" t="str">
        <f t="shared" si="44"/>
        <v>user@domain.com</v>
      </c>
      <c r="Z296" t="str">
        <f t="shared" si="36"/>
        <v>123-456-7890</v>
      </c>
    </row>
    <row r="297" spans="1:26" x14ac:dyDescent="0.25">
      <c r="A297" t="s">
        <v>42</v>
      </c>
      <c r="B297">
        <v>25</v>
      </c>
      <c r="C297">
        <v>70000</v>
      </c>
      <c r="D297" t="s">
        <v>17</v>
      </c>
      <c r="E297" t="s">
        <v>12</v>
      </c>
      <c r="F297" t="s">
        <v>19</v>
      </c>
      <c r="G297" s="2">
        <v>43549</v>
      </c>
      <c r="H297" t="s">
        <v>20</v>
      </c>
      <c r="I297" t="s">
        <v>51</v>
      </c>
      <c r="J297" t="s">
        <v>25</v>
      </c>
      <c r="M297" t="str">
        <f t="shared" si="37"/>
        <v>Alice</v>
      </c>
      <c r="N297">
        <v>25</v>
      </c>
      <c r="O297">
        <f t="shared" si="38"/>
        <v>25</v>
      </c>
      <c r="P297">
        <v>70000</v>
      </c>
      <c r="Q297">
        <f t="shared" si="39"/>
        <v>70000</v>
      </c>
      <c r="R297" t="str">
        <f t="shared" si="40"/>
        <v>Female</v>
      </c>
      <c r="S297" t="str">
        <f t="shared" si="41"/>
        <v>HR</v>
      </c>
      <c r="T297" t="str">
        <f t="shared" si="42"/>
        <v>Director</v>
      </c>
      <c r="U297" s="2">
        <v>43549</v>
      </c>
      <c r="V297" t="s">
        <v>20</v>
      </c>
      <c r="W297" t="s">
        <v>51</v>
      </c>
      <c r="X297" t="str">
        <f t="shared" si="43"/>
        <v>email@example/com</v>
      </c>
      <c r="Y297" t="str">
        <f t="shared" si="44"/>
        <v>email@example.com</v>
      </c>
      <c r="Z297" t="str">
        <f t="shared" si="36"/>
        <v>098-765-4321</v>
      </c>
    </row>
    <row r="298" spans="1:26" x14ac:dyDescent="0.25">
      <c r="A298" t="s">
        <v>26</v>
      </c>
      <c r="B298">
        <v>35</v>
      </c>
      <c r="C298">
        <v>65000</v>
      </c>
      <c r="D298" t="s">
        <v>32</v>
      </c>
      <c r="E298" t="s">
        <v>12</v>
      </c>
      <c r="F298" t="s">
        <v>35</v>
      </c>
      <c r="G298" s="2">
        <v>43549</v>
      </c>
      <c r="H298" t="s">
        <v>36</v>
      </c>
      <c r="J298" t="s">
        <v>39</v>
      </c>
      <c r="M298" t="str">
        <f t="shared" si="37"/>
        <v>Eve</v>
      </c>
      <c r="N298">
        <v>35</v>
      </c>
      <c r="O298">
        <f t="shared" si="38"/>
        <v>35</v>
      </c>
      <c r="P298">
        <v>65000</v>
      </c>
      <c r="Q298">
        <f t="shared" si="39"/>
        <v>65000</v>
      </c>
      <c r="R298" t="str">
        <f t="shared" si="40"/>
        <v>Other</v>
      </c>
      <c r="S298" t="str">
        <f t="shared" si="41"/>
        <v>HR</v>
      </c>
      <c r="T298" t="str">
        <f t="shared" si="42"/>
        <v>Clerk</v>
      </c>
      <c r="U298" s="2">
        <v>43549</v>
      </c>
      <c r="V298" t="s">
        <v>36</v>
      </c>
      <c r="X298" t="str">
        <f t="shared" si="43"/>
        <v>Email not provided</v>
      </c>
      <c r="Y298" t="str">
        <f t="shared" si="44"/>
        <v>Email not provided</v>
      </c>
      <c r="Z298" t="str">
        <f t="shared" si="36"/>
        <v>555-555-5555</v>
      </c>
    </row>
    <row r="299" spans="1:26" x14ac:dyDescent="0.25">
      <c r="A299" t="s">
        <v>40</v>
      </c>
      <c r="B299">
        <v>35</v>
      </c>
      <c r="C299" t="s">
        <v>30</v>
      </c>
      <c r="D299" t="s">
        <v>32</v>
      </c>
      <c r="E299" t="s">
        <v>33</v>
      </c>
      <c r="F299" t="s">
        <v>37</v>
      </c>
      <c r="G299" s="1">
        <v>43195</v>
      </c>
      <c r="H299" t="s">
        <v>24</v>
      </c>
      <c r="I299" t="s">
        <v>52</v>
      </c>
      <c r="J299" t="s">
        <v>21</v>
      </c>
      <c r="M299" t="str">
        <f t="shared" si="37"/>
        <v>Frank</v>
      </c>
      <c r="N299">
        <v>35</v>
      </c>
      <c r="O299">
        <f t="shared" si="38"/>
        <v>35</v>
      </c>
      <c r="P299" t="s">
        <v>30</v>
      </c>
      <c r="Q299">
        <f t="shared" si="39"/>
        <v>60000</v>
      </c>
      <c r="R299" t="str">
        <f t="shared" si="40"/>
        <v>Other</v>
      </c>
      <c r="S299" t="str">
        <f t="shared" si="41"/>
        <v>Marketing</v>
      </c>
      <c r="T299" t="str">
        <f t="shared" si="42"/>
        <v>Assistant</v>
      </c>
      <c r="U299" s="2">
        <v>43195</v>
      </c>
      <c r="V299" t="s">
        <v>24</v>
      </c>
      <c r="W299" t="s">
        <v>52</v>
      </c>
      <c r="X299" t="str">
        <f t="shared" si="43"/>
        <v>user@domain/com</v>
      </c>
      <c r="Y299" t="str">
        <f t="shared" si="44"/>
        <v>user@domain.com</v>
      </c>
      <c r="Z299" t="str">
        <f t="shared" si="36"/>
        <v>123-456-7890</v>
      </c>
    </row>
    <row r="300" spans="1:26" x14ac:dyDescent="0.25">
      <c r="A300" t="s">
        <v>34</v>
      </c>
      <c r="B300">
        <v>30</v>
      </c>
      <c r="C300">
        <v>65000</v>
      </c>
      <c r="D300" t="s">
        <v>11</v>
      </c>
      <c r="E300" t="s">
        <v>23</v>
      </c>
      <c r="F300" t="s">
        <v>19</v>
      </c>
      <c r="G300" s="2">
        <v>43549</v>
      </c>
      <c r="H300" t="s">
        <v>24</v>
      </c>
      <c r="I300" t="s">
        <v>15</v>
      </c>
      <c r="J300" t="s">
        <v>29</v>
      </c>
      <c r="M300" t="str">
        <f t="shared" si="37"/>
        <v>Charlie</v>
      </c>
      <c r="N300">
        <v>30</v>
      </c>
      <c r="O300">
        <f t="shared" si="38"/>
        <v>30</v>
      </c>
      <c r="P300">
        <v>65000</v>
      </c>
      <c r="Q300">
        <f t="shared" si="39"/>
        <v>65000</v>
      </c>
      <c r="R300" t="str">
        <f t="shared" si="40"/>
        <v>Male</v>
      </c>
      <c r="S300" t="str">
        <f t="shared" si="41"/>
        <v>Sales</v>
      </c>
      <c r="T300" t="str">
        <f t="shared" si="42"/>
        <v>Director</v>
      </c>
      <c r="U300" s="2">
        <v>43549</v>
      </c>
      <c r="V300" t="s">
        <v>24</v>
      </c>
      <c r="W300" t="s">
        <v>15</v>
      </c>
      <c r="X300" t="str">
        <f t="shared" si="43"/>
        <v>Email not provided</v>
      </c>
      <c r="Y300" t="str">
        <f t="shared" si="44"/>
        <v>Email not provided</v>
      </c>
      <c r="Z300" t="str">
        <f t="shared" si="36"/>
        <v>Phone not provided</v>
      </c>
    </row>
    <row r="301" spans="1:26" x14ac:dyDescent="0.25">
      <c r="A301" t="s">
        <v>43</v>
      </c>
      <c r="B301">
        <v>40</v>
      </c>
      <c r="C301">
        <v>55000</v>
      </c>
      <c r="D301" t="s">
        <v>32</v>
      </c>
      <c r="E301" t="s">
        <v>18</v>
      </c>
      <c r="F301" t="s">
        <v>38</v>
      </c>
      <c r="G301" s="2">
        <v>43845</v>
      </c>
      <c r="H301" t="s">
        <v>36</v>
      </c>
      <c r="I301" t="s">
        <v>15</v>
      </c>
      <c r="J301" t="s">
        <v>29</v>
      </c>
      <c r="M301" t="str">
        <f t="shared" si="37"/>
        <v>Ivy</v>
      </c>
      <c r="N301">
        <v>40</v>
      </c>
      <c r="O301">
        <f t="shared" si="38"/>
        <v>40</v>
      </c>
      <c r="P301">
        <v>55000</v>
      </c>
      <c r="Q301">
        <f t="shared" si="39"/>
        <v>55000</v>
      </c>
      <c r="R301" t="str">
        <f t="shared" si="40"/>
        <v>Other</v>
      </c>
      <c r="S301" t="str">
        <f t="shared" si="41"/>
        <v>Finance</v>
      </c>
      <c r="T301" t="str">
        <f t="shared" si="42"/>
        <v>Analyst</v>
      </c>
      <c r="U301" s="2">
        <v>43845</v>
      </c>
      <c r="V301" t="s">
        <v>36</v>
      </c>
      <c r="W301" t="s">
        <v>15</v>
      </c>
      <c r="X301" t="str">
        <f t="shared" si="43"/>
        <v>Email not provided</v>
      </c>
      <c r="Y301" t="str">
        <f t="shared" si="44"/>
        <v>Email not provided</v>
      </c>
      <c r="Z301" t="str">
        <f t="shared" si="36"/>
        <v>Phone not provided</v>
      </c>
    </row>
    <row r="302" spans="1:26" x14ac:dyDescent="0.25">
      <c r="A302" t="s">
        <v>26</v>
      </c>
      <c r="B302" t="s">
        <v>15</v>
      </c>
      <c r="C302">
        <v>70000</v>
      </c>
      <c r="D302" t="s">
        <v>17</v>
      </c>
      <c r="E302" t="s">
        <v>23</v>
      </c>
      <c r="F302" t="s">
        <v>13</v>
      </c>
      <c r="G302" s="2">
        <v>43800</v>
      </c>
      <c r="H302" t="s">
        <v>24</v>
      </c>
      <c r="J302" t="s">
        <v>39</v>
      </c>
      <c r="M302" t="str">
        <f t="shared" si="37"/>
        <v>Eve</v>
      </c>
      <c r="N302" t="s">
        <v>15</v>
      </c>
      <c r="O302">
        <f t="shared" si="38"/>
        <v>35</v>
      </c>
      <c r="P302">
        <v>70000</v>
      </c>
      <c r="Q302">
        <f t="shared" si="39"/>
        <v>70000</v>
      </c>
      <c r="R302" t="str">
        <f t="shared" si="40"/>
        <v>Female</v>
      </c>
      <c r="S302" t="str">
        <f t="shared" si="41"/>
        <v>Sales</v>
      </c>
      <c r="T302" t="str">
        <f t="shared" si="42"/>
        <v>Manager</v>
      </c>
      <c r="U302" s="2">
        <v>43800</v>
      </c>
      <c r="V302" t="s">
        <v>24</v>
      </c>
      <c r="X302" t="str">
        <f t="shared" si="43"/>
        <v>Email not provided</v>
      </c>
      <c r="Y302" t="str">
        <f t="shared" si="44"/>
        <v>Email not provided</v>
      </c>
      <c r="Z302" t="str">
        <f t="shared" si="36"/>
        <v>555-555-5555</v>
      </c>
    </row>
    <row r="303" spans="1:26" x14ac:dyDescent="0.25">
      <c r="A303" t="s">
        <v>22</v>
      </c>
      <c r="B303" t="s">
        <v>15</v>
      </c>
      <c r="C303" t="s">
        <v>30</v>
      </c>
      <c r="D303" t="s">
        <v>11</v>
      </c>
      <c r="E303" t="s">
        <v>18</v>
      </c>
      <c r="F303" t="s">
        <v>13</v>
      </c>
      <c r="G303" s="2">
        <v>43845</v>
      </c>
      <c r="H303" t="s">
        <v>24</v>
      </c>
      <c r="I303" t="s">
        <v>52</v>
      </c>
      <c r="J303" t="s">
        <v>15</v>
      </c>
      <c r="M303" t="str">
        <f t="shared" si="37"/>
        <v>Hannah</v>
      </c>
      <c r="N303" t="s">
        <v>15</v>
      </c>
      <c r="O303">
        <f t="shared" si="38"/>
        <v>35</v>
      </c>
      <c r="P303" t="s">
        <v>30</v>
      </c>
      <c r="Q303">
        <f t="shared" si="39"/>
        <v>60000</v>
      </c>
      <c r="R303" t="str">
        <f t="shared" si="40"/>
        <v>Male</v>
      </c>
      <c r="S303" t="str">
        <f t="shared" si="41"/>
        <v>Finance</v>
      </c>
      <c r="T303" t="str">
        <f t="shared" si="42"/>
        <v>Manager</v>
      </c>
      <c r="U303" s="2">
        <v>43845</v>
      </c>
      <c r="V303" t="s">
        <v>24</v>
      </c>
      <c r="W303" t="s">
        <v>52</v>
      </c>
      <c r="X303" t="str">
        <f t="shared" si="43"/>
        <v>user@domain/com</v>
      </c>
      <c r="Y303" t="str">
        <f t="shared" si="44"/>
        <v>user@domain.com</v>
      </c>
      <c r="Z303" t="str">
        <f t="shared" si="36"/>
        <v>Phone not provided</v>
      </c>
    </row>
    <row r="304" spans="1:26" x14ac:dyDescent="0.25">
      <c r="A304" t="s">
        <v>42</v>
      </c>
      <c r="B304">
        <v>35</v>
      </c>
      <c r="C304">
        <v>65000</v>
      </c>
      <c r="D304" t="s">
        <v>11</v>
      </c>
      <c r="E304" t="s">
        <v>33</v>
      </c>
      <c r="F304" t="s">
        <v>38</v>
      </c>
      <c r="G304" s="2">
        <v>43800</v>
      </c>
      <c r="H304" t="s">
        <v>20</v>
      </c>
      <c r="I304" t="s">
        <v>15</v>
      </c>
      <c r="J304" t="s">
        <v>15</v>
      </c>
      <c r="M304" t="str">
        <f t="shared" si="37"/>
        <v>Alice</v>
      </c>
      <c r="N304">
        <v>35</v>
      </c>
      <c r="O304">
        <f t="shared" si="38"/>
        <v>35</v>
      </c>
      <c r="P304">
        <v>65000</v>
      </c>
      <c r="Q304">
        <f t="shared" si="39"/>
        <v>65000</v>
      </c>
      <c r="R304" t="str">
        <f t="shared" si="40"/>
        <v>Male</v>
      </c>
      <c r="S304" t="str">
        <f t="shared" si="41"/>
        <v>Marketing</v>
      </c>
      <c r="T304" t="str">
        <f t="shared" si="42"/>
        <v>Analyst</v>
      </c>
      <c r="U304" s="2">
        <v>43800</v>
      </c>
      <c r="V304" t="s">
        <v>20</v>
      </c>
      <c r="W304" t="s">
        <v>15</v>
      </c>
      <c r="X304" t="str">
        <f t="shared" si="43"/>
        <v>Email not provided</v>
      </c>
      <c r="Y304" t="str">
        <f t="shared" si="44"/>
        <v>Email not provided</v>
      </c>
      <c r="Z304" t="str">
        <f t="shared" si="36"/>
        <v>Phone not provided</v>
      </c>
    </row>
    <row r="305" spans="1:26" x14ac:dyDescent="0.25">
      <c r="A305" t="s">
        <v>26</v>
      </c>
      <c r="B305">
        <v>50</v>
      </c>
      <c r="C305">
        <v>50000</v>
      </c>
      <c r="D305" t="s">
        <v>32</v>
      </c>
      <c r="E305" t="s">
        <v>12</v>
      </c>
      <c r="F305" t="s">
        <v>38</v>
      </c>
      <c r="G305" s="1">
        <v>43195</v>
      </c>
      <c r="H305" t="s">
        <v>14</v>
      </c>
      <c r="I305" t="s">
        <v>52</v>
      </c>
      <c r="J305" t="s">
        <v>21</v>
      </c>
      <c r="M305" t="str">
        <f t="shared" si="37"/>
        <v>Eve</v>
      </c>
      <c r="N305">
        <v>50</v>
      </c>
      <c r="O305">
        <f t="shared" si="38"/>
        <v>50</v>
      </c>
      <c r="P305">
        <v>50000</v>
      </c>
      <c r="Q305">
        <f t="shared" si="39"/>
        <v>50000</v>
      </c>
      <c r="R305" t="str">
        <f t="shared" si="40"/>
        <v>Other</v>
      </c>
      <c r="S305" t="str">
        <f t="shared" si="41"/>
        <v>HR</v>
      </c>
      <c r="T305" t="str">
        <f t="shared" si="42"/>
        <v>Analyst</v>
      </c>
      <c r="U305" s="2">
        <v>43195</v>
      </c>
      <c r="V305" t="s">
        <v>14</v>
      </c>
      <c r="W305" t="s">
        <v>52</v>
      </c>
      <c r="X305" t="str">
        <f t="shared" si="43"/>
        <v>user@domain/com</v>
      </c>
      <c r="Y305" t="str">
        <f t="shared" si="44"/>
        <v>user@domain.com</v>
      </c>
      <c r="Z305" t="str">
        <f t="shared" si="36"/>
        <v>123-456-7890</v>
      </c>
    </row>
    <row r="306" spans="1:26" x14ac:dyDescent="0.25">
      <c r="A306" t="s">
        <v>34</v>
      </c>
      <c r="B306">
        <v>50</v>
      </c>
      <c r="C306">
        <v>55000</v>
      </c>
      <c r="D306" t="s">
        <v>11</v>
      </c>
      <c r="E306" t="s">
        <v>12</v>
      </c>
      <c r="F306" t="s">
        <v>19</v>
      </c>
      <c r="G306" s="2">
        <v>43549</v>
      </c>
      <c r="H306" t="s">
        <v>20</v>
      </c>
      <c r="I306" t="s">
        <v>52</v>
      </c>
      <c r="J306" t="s">
        <v>15</v>
      </c>
      <c r="M306" t="str">
        <f t="shared" si="37"/>
        <v>Charlie</v>
      </c>
      <c r="N306">
        <v>50</v>
      </c>
      <c r="O306">
        <f t="shared" si="38"/>
        <v>50</v>
      </c>
      <c r="P306">
        <v>55000</v>
      </c>
      <c r="Q306">
        <f t="shared" si="39"/>
        <v>55000</v>
      </c>
      <c r="R306" t="str">
        <f t="shared" si="40"/>
        <v>Male</v>
      </c>
      <c r="S306" t="str">
        <f t="shared" si="41"/>
        <v>HR</v>
      </c>
      <c r="T306" t="str">
        <f t="shared" si="42"/>
        <v>Director</v>
      </c>
      <c r="U306" s="2">
        <v>43549</v>
      </c>
      <c r="V306" t="s">
        <v>20</v>
      </c>
      <c r="W306" t="s">
        <v>52</v>
      </c>
      <c r="X306" t="str">
        <f t="shared" si="43"/>
        <v>user@domain/com</v>
      </c>
      <c r="Y306" t="str">
        <f t="shared" si="44"/>
        <v>user@domain.com</v>
      </c>
      <c r="Z306" t="str">
        <f t="shared" si="36"/>
        <v>Phone not provided</v>
      </c>
    </row>
    <row r="307" spans="1:26" x14ac:dyDescent="0.25">
      <c r="A307" t="s">
        <v>42</v>
      </c>
      <c r="B307">
        <v>30</v>
      </c>
      <c r="C307">
        <v>70000</v>
      </c>
      <c r="D307" t="s">
        <v>11</v>
      </c>
      <c r="E307" t="s">
        <v>23</v>
      </c>
      <c r="F307" t="s">
        <v>38</v>
      </c>
      <c r="G307" s="2">
        <v>43549</v>
      </c>
      <c r="H307" t="s">
        <v>28</v>
      </c>
      <c r="I307" t="s">
        <v>15</v>
      </c>
      <c r="J307" t="s">
        <v>39</v>
      </c>
      <c r="M307" t="str">
        <f t="shared" si="37"/>
        <v>Alice</v>
      </c>
      <c r="N307">
        <v>30</v>
      </c>
      <c r="O307">
        <f t="shared" si="38"/>
        <v>30</v>
      </c>
      <c r="P307">
        <v>70000</v>
      </c>
      <c r="Q307">
        <f t="shared" si="39"/>
        <v>70000</v>
      </c>
      <c r="R307" t="str">
        <f t="shared" si="40"/>
        <v>Male</v>
      </c>
      <c r="S307" t="str">
        <f t="shared" si="41"/>
        <v>Sales</v>
      </c>
      <c r="T307" t="str">
        <f t="shared" si="42"/>
        <v>Analyst</v>
      </c>
      <c r="U307" s="2">
        <v>43549</v>
      </c>
      <c r="V307" t="s">
        <v>28</v>
      </c>
      <c r="W307" t="s">
        <v>15</v>
      </c>
      <c r="X307" t="str">
        <f t="shared" si="43"/>
        <v>Email not provided</v>
      </c>
      <c r="Y307" t="str">
        <f t="shared" si="44"/>
        <v>Email not provided</v>
      </c>
      <c r="Z307" t="str">
        <f t="shared" si="36"/>
        <v>555-555-5555</v>
      </c>
    </row>
    <row r="308" spans="1:26" x14ac:dyDescent="0.25">
      <c r="A308" t="s">
        <v>16</v>
      </c>
      <c r="B308" t="s">
        <v>15</v>
      </c>
      <c r="C308">
        <v>55000</v>
      </c>
      <c r="D308" t="s">
        <v>11</v>
      </c>
      <c r="E308" t="s">
        <v>12</v>
      </c>
      <c r="F308" t="s">
        <v>37</v>
      </c>
      <c r="G308" s="2">
        <v>43549</v>
      </c>
      <c r="H308" t="s">
        <v>20</v>
      </c>
      <c r="I308" t="s">
        <v>51</v>
      </c>
      <c r="J308" t="s">
        <v>21</v>
      </c>
      <c r="M308" t="str">
        <f t="shared" si="37"/>
        <v>David</v>
      </c>
      <c r="N308" t="s">
        <v>15</v>
      </c>
      <c r="O308">
        <f t="shared" si="38"/>
        <v>35</v>
      </c>
      <c r="P308">
        <v>55000</v>
      </c>
      <c r="Q308">
        <f t="shared" si="39"/>
        <v>55000</v>
      </c>
      <c r="R308" t="str">
        <f t="shared" si="40"/>
        <v>Male</v>
      </c>
      <c r="S308" t="str">
        <f t="shared" si="41"/>
        <v>HR</v>
      </c>
      <c r="T308" t="str">
        <f t="shared" si="42"/>
        <v>Assistant</v>
      </c>
      <c r="U308" s="2">
        <v>43549</v>
      </c>
      <c r="V308" t="s">
        <v>20</v>
      </c>
      <c r="W308" t="s">
        <v>51</v>
      </c>
      <c r="X308" t="str">
        <f t="shared" si="43"/>
        <v>email@example/com</v>
      </c>
      <c r="Y308" t="str">
        <f t="shared" si="44"/>
        <v>email@example.com</v>
      </c>
      <c r="Z308" t="str">
        <f t="shared" si="36"/>
        <v>123-456-7890</v>
      </c>
    </row>
    <row r="309" spans="1:26" x14ac:dyDescent="0.25">
      <c r="A309" t="s">
        <v>26</v>
      </c>
      <c r="B309">
        <v>35</v>
      </c>
      <c r="C309">
        <v>50000</v>
      </c>
      <c r="D309" t="s">
        <v>11</v>
      </c>
      <c r="E309" t="s">
        <v>33</v>
      </c>
      <c r="F309" t="s">
        <v>35</v>
      </c>
      <c r="G309" s="2">
        <v>43800</v>
      </c>
      <c r="H309" t="s">
        <v>36</v>
      </c>
      <c r="I309" t="s">
        <v>15</v>
      </c>
      <c r="J309" t="s">
        <v>25</v>
      </c>
      <c r="M309" t="str">
        <f t="shared" si="37"/>
        <v>Eve</v>
      </c>
      <c r="N309">
        <v>35</v>
      </c>
      <c r="O309">
        <f t="shared" si="38"/>
        <v>35</v>
      </c>
      <c r="P309">
        <v>50000</v>
      </c>
      <c r="Q309">
        <f t="shared" si="39"/>
        <v>50000</v>
      </c>
      <c r="R309" t="str">
        <f t="shared" si="40"/>
        <v>Male</v>
      </c>
      <c r="S309" t="str">
        <f t="shared" si="41"/>
        <v>Marketing</v>
      </c>
      <c r="T309" t="str">
        <f t="shared" si="42"/>
        <v>Clerk</v>
      </c>
      <c r="U309" s="2">
        <v>43800</v>
      </c>
      <c r="V309" t="s">
        <v>36</v>
      </c>
      <c r="W309" t="s">
        <v>15</v>
      </c>
      <c r="X309" t="str">
        <f t="shared" si="43"/>
        <v>Email not provided</v>
      </c>
      <c r="Y309" t="str">
        <f t="shared" si="44"/>
        <v>Email not provided</v>
      </c>
      <c r="Z309" t="str">
        <f t="shared" si="36"/>
        <v>098-765-4321</v>
      </c>
    </row>
    <row r="310" spans="1:26" x14ac:dyDescent="0.25">
      <c r="A310" t="s">
        <v>10</v>
      </c>
      <c r="B310">
        <v>40</v>
      </c>
      <c r="C310">
        <v>70000</v>
      </c>
      <c r="D310" t="s">
        <v>11</v>
      </c>
      <c r="E310" t="s">
        <v>23</v>
      </c>
      <c r="F310" t="s">
        <v>38</v>
      </c>
      <c r="G310" s="2">
        <v>43549</v>
      </c>
      <c r="H310" t="s">
        <v>14</v>
      </c>
      <c r="J310" t="s">
        <v>15</v>
      </c>
      <c r="M310" t="str">
        <f t="shared" si="37"/>
        <v>Grace</v>
      </c>
      <c r="N310">
        <v>40</v>
      </c>
      <c r="O310">
        <f t="shared" si="38"/>
        <v>40</v>
      </c>
      <c r="P310">
        <v>70000</v>
      </c>
      <c r="Q310">
        <f t="shared" si="39"/>
        <v>70000</v>
      </c>
      <c r="R310" t="str">
        <f t="shared" si="40"/>
        <v>Male</v>
      </c>
      <c r="S310" t="str">
        <f t="shared" si="41"/>
        <v>Sales</v>
      </c>
      <c r="T310" t="str">
        <f t="shared" si="42"/>
        <v>Analyst</v>
      </c>
      <c r="U310" s="2">
        <v>43549</v>
      </c>
      <c r="V310" t="s">
        <v>14</v>
      </c>
      <c r="X310" t="str">
        <f t="shared" si="43"/>
        <v>Email not provided</v>
      </c>
      <c r="Y310" t="str">
        <f t="shared" si="44"/>
        <v>Email not provided</v>
      </c>
      <c r="Z310" t="str">
        <f t="shared" si="36"/>
        <v>Phone not provided</v>
      </c>
    </row>
    <row r="311" spans="1:26" x14ac:dyDescent="0.25">
      <c r="A311" t="s">
        <v>42</v>
      </c>
      <c r="B311" t="s">
        <v>15</v>
      </c>
      <c r="C311">
        <v>55000</v>
      </c>
      <c r="D311" t="s">
        <v>11</v>
      </c>
      <c r="E311" t="s">
        <v>18</v>
      </c>
      <c r="F311" t="s">
        <v>38</v>
      </c>
      <c r="G311" s="2">
        <v>43845</v>
      </c>
      <c r="H311" t="s">
        <v>36</v>
      </c>
      <c r="I311" t="s">
        <v>53</v>
      </c>
      <c r="J311" t="s">
        <v>15</v>
      </c>
      <c r="M311" t="str">
        <f t="shared" si="37"/>
        <v>Alice</v>
      </c>
      <c r="N311" t="s">
        <v>15</v>
      </c>
      <c r="O311">
        <f t="shared" si="38"/>
        <v>35</v>
      </c>
      <c r="P311">
        <v>55000</v>
      </c>
      <c r="Q311">
        <f t="shared" si="39"/>
        <v>55000</v>
      </c>
      <c r="R311" t="str">
        <f t="shared" si="40"/>
        <v>Male</v>
      </c>
      <c r="S311" t="str">
        <f t="shared" si="41"/>
        <v>Finance</v>
      </c>
      <c r="T311" t="str">
        <f t="shared" si="42"/>
        <v>Analyst</v>
      </c>
      <c r="U311" s="2">
        <v>43845</v>
      </c>
      <c r="V311" t="s">
        <v>36</v>
      </c>
      <c r="W311" t="s">
        <v>53</v>
      </c>
      <c r="X311" t="str">
        <f t="shared" si="43"/>
        <v>name@company/org</v>
      </c>
      <c r="Y311" t="str">
        <f t="shared" si="44"/>
        <v>name@company.org</v>
      </c>
      <c r="Z311" t="str">
        <f t="shared" si="36"/>
        <v>Phone not provided</v>
      </c>
    </row>
    <row r="312" spans="1:26" x14ac:dyDescent="0.25">
      <c r="A312" t="s">
        <v>34</v>
      </c>
      <c r="B312">
        <v>35</v>
      </c>
      <c r="C312">
        <v>60000</v>
      </c>
      <c r="D312" t="s">
        <v>17</v>
      </c>
      <c r="E312" t="s">
        <v>12</v>
      </c>
      <c r="F312" t="s">
        <v>37</v>
      </c>
      <c r="G312" s="2">
        <v>43549</v>
      </c>
      <c r="H312" t="s">
        <v>28</v>
      </c>
      <c r="I312" t="s">
        <v>15</v>
      </c>
      <c r="J312" t="s">
        <v>21</v>
      </c>
      <c r="M312" t="str">
        <f t="shared" si="37"/>
        <v>Charlie</v>
      </c>
      <c r="N312">
        <v>35</v>
      </c>
      <c r="O312">
        <f t="shared" si="38"/>
        <v>35</v>
      </c>
      <c r="P312">
        <v>60000</v>
      </c>
      <c r="Q312">
        <f t="shared" si="39"/>
        <v>60000</v>
      </c>
      <c r="R312" t="str">
        <f t="shared" si="40"/>
        <v>Female</v>
      </c>
      <c r="S312" t="str">
        <f t="shared" si="41"/>
        <v>HR</v>
      </c>
      <c r="T312" t="str">
        <f t="shared" si="42"/>
        <v>Assistant</v>
      </c>
      <c r="U312" s="2">
        <v>43549</v>
      </c>
      <c r="V312" t="s">
        <v>28</v>
      </c>
      <c r="W312" t="s">
        <v>15</v>
      </c>
      <c r="X312" t="str">
        <f t="shared" si="43"/>
        <v>Email not provided</v>
      </c>
      <c r="Y312" t="str">
        <f t="shared" si="44"/>
        <v>Email not provided</v>
      </c>
      <c r="Z312" t="str">
        <f t="shared" si="36"/>
        <v>123-456-7890</v>
      </c>
    </row>
    <row r="313" spans="1:26" x14ac:dyDescent="0.25">
      <c r="A313" t="s">
        <v>41</v>
      </c>
      <c r="B313">
        <v>35</v>
      </c>
      <c r="C313">
        <v>50000</v>
      </c>
      <c r="D313" t="s">
        <v>32</v>
      </c>
      <c r="E313" t="s">
        <v>27</v>
      </c>
      <c r="F313" t="s">
        <v>13</v>
      </c>
      <c r="G313" s="1">
        <v>43195</v>
      </c>
      <c r="H313" t="s">
        <v>14</v>
      </c>
      <c r="I313" t="s">
        <v>52</v>
      </c>
      <c r="J313" t="s">
        <v>29</v>
      </c>
      <c r="M313" t="str">
        <f t="shared" si="37"/>
        <v>Bob</v>
      </c>
      <c r="N313">
        <v>35</v>
      </c>
      <c r="O313">
        <f t="shared" si="38"/>
        <v>35</v>
      </c>
      <c r="P313">
        <v>50000</v>
      </c>
      <c r="Q313">
        <f t="shared" si="39"/>
        <v>50000</v>
      </c>
      <c r="R313" t="str">
        <f t="shared" si="40"/>
        <v>Other</v>
      </c>
      <c r="S313" t="str">
        <f t="shared" si="41"/>
        <v>IT</v>
      </c>
      <c r="T313" t="str">
        <f t="shared" si="42"/>
        <v>Manager</v>
      </c>
      <c r="U313" s="2">
        <v>43195</v>
      </c>
      <c r="V313" t="s">
        <v>14</v>
      </c>
      <c r="W313" t="s">
        <v>52</v>
      </c>
      <c r="X313" t="str">
        <f t="shared" si="43"/>
        <v>user@domain/com</v>
      </c>
      <c r="Y313" t="str">
        <f t="shared" si="44"/>
        <v>user@domain.com</v>
      </c>
      <c r="Z313" t="str">
        <f t="shared" si="36"/>
        <v>Phone not provided</v>
      </c>
    </row>
    <row r="314" spans="1:26" x14ac:dyDescent="0.25">
      <c r="A314" t="s">
        <v>43</v>
      </c>
      <c r="B314">
        <v>25</v>
      </c>
      <c r="C314">
        <v>50000</v>
      </c>
      <c r="D314" t="s">
        <v>17</v>
      </c>
      <c r="E314" t="s">
        <v>12</v>
      </c>
      <c r="F314" t="s">
        <v>13</v>
      </c>
      <c r="G314" s="2">
        <v>43845</v>
      </c>
      <c r="H314" t="s">
        <v>24</v>
      </c>
      <c r="I314" t="s">
        <v>52</v>
      </c>
      <c r="J314" t="s">
        <v>15</v>
      </c>
      <c r="M314" t="str">
        <f t="shared" si="37"/>
        <v>Ivy</v>
      </c>
      <c r="N314">
        <v>25</v>
      </c>
      <c r="O314">
        <f t="shared" si="38"/>
        <v>25</v>
      </c>
      <c r="P314">
        <v>50000</v>
      </c>
      <c r="Q314">
        <f t="shared" si="39"/>
        <v>50000</v>
      </c>
      <c r="R314" t="str">
        <f t="shared" si="40"/>
        <v>Female</v>
      </c>
      <c r="S314" t="str">
        <f t="shared" si="41"/>
        <v>HR</v>
      </c>
      <c r="T314" t="str">
        <f t="shared" si="42"/>
        <v>Manager</v>
      </c>
      <c r="U314" s="2">
        <v>43845</v>
      </c>
      <c r="V314" t="s">
        <v>24</v>
      </c>
      <c r="W314" t="s">
        <v>52</v>
      </c>
      <c r="X314" t="str">
        <f t="shared" si="43"/>
        <v>user@domain/com</v>
      </c>
      <c r="Y314" t="str">
        <f t="shared" si="44"/>
        <v>user@domain.com</v>
      </c>
      <c r="Z314" t="str">
        <f t="shared" si="36"/>
        <v>Phone not provided</v>
      </c>
    </row>
    <row r="315" spans="1:26" x14ac:dyDescent="0.25">
      <c r="A315" t="s">
        <v>31</v>
      </c>
      <c r="B315">
        <v>40</v>
      </c>
      <c r="C315">
        <v>50000</v>
      </c>
      <c r="D315" t="s">
        <v>11</v>
      </c>
      <c r="E315" t="s">
        <v>18</v>
      </c>
      <c r="F315" t="s">
        <v>19</v>
      </c>
      <c r="G315" s="2">
        <v>43549</v>
      </c>
      <c r="H315" t="s">
        <v>20</v>
      </c>
      <c r="I315" t="s">
        <v>15</v>
      </c>
      <c r="J315" t="s">
        <v>39</v>
      </c>
      <c r="M315" t="str">
        <f t="shared" si="37"/>
        <v>Jack</v>
      </c>
      <c r="N315">
        <v>40</v>
      </c>
      <c r="O315">
        <f t="shared" si="38"/>
        <v>40</v>
      </c>
      <c r="P315">
        <v>50000</v>
      </c>
      <c r="Q315">
        <f t="shared" si="39"/>
        <v>50000</v>
      </c>
      <c r="R315" t="str">
        <f t="shared" si="40"/>
        <v>Male</v>
      </c>
      <c r="S315" t="str">
        <f t="shared" si="41"/>
        <v>Finance</v>
      </c>
      <c r="T315" t="str">
        <f t="shared" si="42"/>
        <v>Director</v>
      </c>
      <c r="U315" s="2">
        <v>43549</v>
      </c>
      <c r="V315" t="s">
        <v>20</v>
      </c>
      <c r="W315" t="s">
        <v>15</v>
      </c>
      <c r="X315" t="str">
        <f t="shared" si="43"/>
        <v>Email not provided</v>
      </c>
      <c r="Y315" t="str">
        <f t="shared" si="44"/>
        <v>Email not provided</v>
      </c>
      <c r="Z315" t="str">
        <f t="shared" si="36"/>
        <v>555-555-5555</v>
      </c>
    </row>
    <row r="316" spans="1:26" x14ac:dyDescent="0.25">
      <c r="A316" t="s">
        <v>40</v>
      </c>
      <c r="B316">
        <v>25</v>
      </c>
      <c r="C316">
        <v>60000</v>
      </c>
      <c r="D316" t="s">
        <v>11</v>
      </c>
      <c r="E316" t="s">
        <v>23</v>
      </c>
      <c r="F316" t="s">
        <v>37</v>
      </c>
      <c r="G316" s="2">
        <v>43549</v>
      </c>
      <c r="H316" t="s">
        <v>36</v>
      </c>
      <c r="I316" t="s">
        <v>53</v>
      </c>
      <c r="J316" t="s">
        <v>15</v>
      </c>
      <c r="M316" t="str">
        <f t="shared" si="37"/>
        <v>Frank</v>
      </c>
      <c r="N316">
        <v>25</v>
      </c>
      <c r="O316">
        <f t="shared" si="38"/>
        <v>25</v>
      </c>
      <c r="P316">
        <v>60000</v>
      </c>
      <c r="Q316">
        <f t="shared" si="39"/>
        <v>60000</v>
      </c>
      <c r="R316" t="str">
        <f t="shared" si="40"/>
        <v>Male</v>
      </c>
      <c r="S316" t="str">
        <f t="shared" si="41"/>
        <v>Sales</v>
      </c>
      <c r="T316" t="str">
        <f t="shared" si="42"/>
        <v>Assistant</v>
      </c>
      <c r="U316" s="2">
        <v>43549</v>
      </c>
      <c r="V316" t="s">
        <v>36</v>
      </c>
      <c r="W316" t="s">
        <v>53</v>
      </c>
      <c r="X316" t="str">
        <f t="shared" si="43"/>
        <v>name@company/org</v>
      </c>
      <c r="Y316" t="str">
        <f t="shared" si="44"/>
        <v>name@company.org</v>
      </c>
      <c r="Z316" t="str">
        <f t="shared" si="36"/>
        <v>Phone not provided</v>
      </c>
    </row>
    <row r="317" spans="1:26" x14ac:dyDescent="0.25">
      <c r="A317" t="s">
        <v>31</v>
      </c>
      <c r="B317">
        <v>30</v>
      </c>
      <c r="C317">
        <v>60000</v>
      </c>
      <c r="D317" t="s">
        <v>32</v>
      </c>
      <c r="E317" t="s">
        <v>18</v>
      </c>
      <c r="F317" t="s">
        <v>35</v>
      </c>
      <c r="G317" s="2">
        <v>43881</v>
      </c>
      <c r="H317" t="s">
        <v>28</v>
      </c>
      <c r="I317" t="s">
        <v>15</v>
      </c>
      <c r="J317" t="s">
        <v>25</v>
      </c>
      <c r="M317" t="str">
        <f t="shared" si="37"/>
        <v>Jack</v>
      </c>
      <c r="N317">
        <v>30</v>
      </c>
      <c r="O317">
        <f t="shared" si="38"/>
        <v>30</v>
      </c>
      <c r="P317">
        <v>60000</v>
      </c>
      <c r="Q317">
        <f t="shared" si="39"/>
        <v>60000</v>
      </c>
      <c r="R317" t="str">
        <f t="shared" si="40"/>
        <v>Other</v>
      </c>
      <c r="S317" t="str">
        <f t="shared" si="41"/>
        <v>Finance</v>
      </c>
      <c r="T317" t="str">
        <f t="shared" si="42"/>
        <v>Clerk</v>
      </c>
      <c r="U317" s="2">
        <v>43881</v>
      </c>
      <c r="V317" t="s">
        <v>28</v>
      </c>
      <c r="W317" t="s">
        <v>15</v>
      </c>
      <c r="X317" t="str">
        <f t="shared" si="43"/>
        <v>Email not provided</v>
      </c>
      <c r="Y317" t="str">
        <f t="shared" si="44"/>
        <v>Email not provided</v>
      </c>
      <c r="Z317" t="str">
        <f t="shared" si="36"/>
        <v>098-765-4321</v>
      </c>
    </row>
    <row r="318" spans="1:26" x14ac:dyDescent="0.25">
      <c r="A318" t="s">
        <v>34</v>
      </c>
      <c r="B318">
        <v>25</v>
      </c>
      <c r="C318">
        <v>65000</v>
      </c>
      <c r="D318" t="s">
        <v>17</v>
      </c>
      <c r="E318" t="s">
        <v>27</v>
      </c>
      <c r="F318" t="s">
        <v>35</v>
      </c>
      <c r="G318" s="2">
        <v>43800</v>
      </c>
      <c r="H318" t="s">
        <v>24</v>
      </c>
      <c r="I318" t="s">
        <v>53</v>
      </c>
      <c r="J318" t="s">
        <v>15</v>
      </c>
      <c r="M318" t="str">
        <f t="shared" si="37"/>
        <v>Charlie</v>
      </c>
      <c r="N318">
        <v>25</v>
      </c>
      <c r="O318">
        <f t="shared" si="38"/>
        <v>25</v>
      </c>
      <c r="P318">
        <v>65000</v>
      </c>
      <c r="Q318">
        <f t="shared" si="39"/>
        <v>65000</v>
      </c>
      <c r="R318" t="str">
        <f t="shared" si="40"/>
        <v>Female</v>
      </c>
      <c r="S318" t="str">
        <f t="shared" si="41"/>
        <v>IT</v>
      </c>
      <c r="T318" t="str">
        <f t="shared" si="42"/>
        <v>Clerk</v>
      </c>
      <c r="U318" s="2">
        <v>43800</v>
      </c>
      <c r="V318" t="s">
        <v>24</v>
      </c>
      <c r="W318" t="s">
        <v>53</v>
      </c>
      <c r="X318" t="str">
        <f t="shared" si="43"/>
        <v>name@company/org</v>
      </c>
      <c r="Y318" t="str">
        <f t="shared" si="44"/>
        <v>name@company.org</v>
      </c>
      <c r="Z318" t="str">
        <f t="shared" si="36"/>
        <v>Phone not provided</v>
      </c>
    </row>
    <row r="319" spans="1:26" x14ac:dyDescent="0.25">
      <c r="A319" t="s">
        <v>22</v>
      </c>
      <c r="B319">
        <v>25</v>
      </c>
      <c r="C319" t="s">
        <v>30</v>
      </c>
      <c r="D319" t="s">
        <v>32</v>
      </c>
      <c r="E319" t="s">
        <v>33</v>
      </c>
      <c r="F319" t="s">
        <v>37</v>
      </c>
      <c r="G319" s="2">
        <v>43845</v>
      </c>
      <c r="H319" t="s">
        <v>20</v>
      </c>
      <c r="I319" t="s">
        <v>53</v>
      </c>
      <c r="J319" t="s">
        <v>29</v>
      </c>
      <c r="M319" t="str">
        <f t="shared" si="37"/>
        <v>Hannah</v>
      </c>
      <c r="N319">
        <v>25</v>
      </c>
      <c r="O319">
        <f t="shared" si="38"/>
        <v>25</v>
      </c>
      <c r="P319" t="s">
        <v>30</v>
      </c>
      <c r="Q319">
        <f t="shared" si="39"/>
        <v>60000</v>
      </c>
      <c r="R319" t="str">
        <f t="shared" si="40"/>
        <v>Other</v>
      </c>
      <c r="S319" t="str">
        <f t="shared" si="41"/>
        <v>Marketing</v>
      </c>
      <c r="T319" t="str">
        <f t="shared" si="42"/>
        <v>Assistant</v>
      </c>
      <c r="U319" s="2">
        <v>43845</v>
      </c>
      <c r="V319" t="s">
        <v>20</v>
      </c>
      <c r="W319" t="s">
        <v>53</v>
      </c>
      <c r="X319" t="str">
        <f t="shared" si="43"/>
        <v>name@company/org</v>
      </c>
      <c r="Y319" t="str">
        <f t="shared" si="44"/>
        <v>name@company.org</v>
      </c>
      <c r="Z319" t="str">
        <f t="shared" si="36"/>
        <v>Phone not provided</v>
      </c>
    </row>
    <row r="320" spans="1:26" x14ac:dyDescent="0.25">
      <c r="A320" t="s">
        <v>22</v>
      </c>
      <c r="B320" t="s">
        <v>15</v>
      </c>
      <c r="C320">
        <v>55000</v>
      </c>
      <c r="D320" t="s">
        <v>17</v>
      </c>
      <c r="E320" t="s">
        <v>12</v>
      </c>
      <c r="F320" t="s">
        <v>35</v>
      </c>
      <c r="G320" s="2">
        <v>43881</v>
      </c>
      <c r="H320" t="s">
        <v>24</v>
      </c>
      <c r="J320" t="s">
        <v>15</v>
      </c>
      <c r="M320" t="str">
        <f t="shared" si="37"/>
        <v>Hannah</v>
      </c>
      <c r="N320" t="s">
        <v>15</v>
      </c>
      <c r="O320">
        <f t="shared" si="38"/>
        <v>35</v>
      </c>
      <c r="P320">
        <v>55000</v>
      </c>
      <c r="Q320">
        <f t="shared" si="39"/>
        <v>55000</v>
      </c>
      <c r="R320" t="str">
        <f t="shared" si="40"/>
        <v>Female</v>
      </c>
      <c r="S320" t="str">
        <f t="shared" si="41"/>
        <v>HR</v>
      </c>
      <c r="T320" t="str">
        <f t="shared" si="42"/>
        <v>Clerk</v>
      </c>
      <c r="U320" s="2">
        <v>43881</v>
      </c>
      <c r="V320" t="s">
        <v>24</v>
      </c>
      <c r="X320" t="str">
        <f t="shared" si="43"/>
        <v>Email not provided</v>
      </c>
      <c r="Y320" t="str">
        <f t="shared" si="44"/>
        <v>Email not provided</v>
      </c>
      <c r="Z320" t="str">
        <f t="shared" si="36"/>
        <v>Phone not provided</v>
      </c>
    </row>
    <row r="321" spans="1:26" x14ac:dyDescent="0.25">
      <c r="A321" t="s">
        <v>41</v>
      </c>
      <c r="B321">
        <v>50</v>
      </c>
      <c r="C321">
        <v>65000</v>
      </c>
      <c r="D321" t="s">
        <v>11</v>
      </c>
      <c r="E321" t="s">
        <v>23</v>
      </c>
      <c r="F321" t="s">
        <v>13</v>
      </c>
      <c r="G321" s="1">
        <v>43195</v>
      </c>
      <c r="H321" t="s">
        <v>20</v>
      </c>
      <c r="I321" t="s">
        <v>52</v>
      </c>
      <c r="J321" t="s">
        <v>21</v>
      </c>
      <c r="M321" t="str">
        <f t="shared" si="37"/>
        <v>Bob</v>
      </c>
      <c r="N321">
        <v>50</v>
      </c>
      <c r="O321">
        <f t="shared" si="38"/>
        <v>50</v>
      </c>
      <c r="P321">
        <v>65000</v>
      </c>
      <c r="Q321">
        <f t="shared" si="39"/>
        <v>65000</v>
      </c>
      <c r="R321" t="str">
        <f t="shared" si="40"/>
        <v>Male</v>
      </c>
      <c r="S321" t="str">
        <f t="shared" si="41"/>
        <v>Sales</v>
      </c>
      <c r="T321" t="str">
        <f t="shared" si="42"/>
        <v>Manager</v>
      </c>
      <c r="U321" s="2">
        <v>43195</v>
      </c>
      <c r="V321" t="s">
        <v>20</v>
      </c>
      <c r="W321" t="s">
        <v>52</v>
      </c>
      <c r="X321" t="str">
        <f t="shared" si="43"/>
        <v>user@domain/com</v>
      </c>
      <c r="Y321" t="str">
        <f t="shared" si="44"/>
        <v>user@domain.com</v>
      </c>
      <c r="Z321" t="str">
        <f t="shared" si="36"/>
        <v>123-456-7890</v>
      </c>
    </row>
    <row r="322" spans="1:26" x14ac:dyDescent="0.25">
      <c r="A322" t="s">
        <v>40</v>
      </c>
      <c r="B322">
        <v>35</v>
      </c>
      <c r="C322">
        <v>55000</v>
      </c>
      <c r="D322" t="s">
        <v>32</v>
      </c>
      <c r="E322" t="s">
        <v>33</v>
      </c>
      <c r="F322" t="s">
        <v>35</v>
      </c>
      <c r="G322" s="2">
        <v>43800</v>
      </c>
      <c r="H322" t="s">
        <v>14</v>
      </c>
      <c r="I322" t="s">
        <v>52</v>
      </c>
      <c r="J322" t="s">
        <v>15</v>
      </c>
      <c r="M322" t="str">
        <f t="shared" si="37"/>
        <v>Frank</v>
      </c>
      <c r="N322">
        <v>35</v>
      </c>
      <c r="O322">
        <f t="shared" si="38"/>
        <v>35</v>
      </c>
      <c r="P322">
        <v>55000</v>
      </c>
      <c r="Q322">
        <f t="shared" si="39"/>
        <v>55000</v>
      </c>
      <c r="R322" t="str">
        <f t="shared" si="40"/>
        <v>Other</v>
      </c>
      <c r="S322" t="str">
        <f t="shared" si="41"/>
        <v>Marketing</v>
      </c>
      <c r="T322" t="str">
        <f t="shared" si="42"/>
        <v>Clerk</v>
      </c>
      <c r="U322" s="2">
        <v>43800</v>
      </c>
      <c r="V322" t="s">
        <v>14</v>
      </c>
      <c r="W322" t="s">
        <v>52</v>
      </c>
      <c r="X322" t="str">
        <f t="shared" si="43"/>
        <v>user@domain/com</v>
      </c>
      <c r="Y322" t="str">
        <f t="shared" si="44"/>
        <v>user@domain.com</v>
      </c>
      <c r="Z322" t="str">
        <f t="shared" ref="Z322:Z385" si="45">IF(OR(TRIM(J322)="", LOWER(J322)="nan"), "Phone not provided", TRIM(J322))</f>
        <v>Phone not provided</v>
      </c>
    </row>
    <row r="323" spans="1:26" x14ac:dyDescent="0.25">
      <c r="A323" t="s">
        <v>10</v>
      </c>
      <c r="B323">
        <v>40</v>
      </c>
      <c r="C323" t="s">
        <v>30</v>
      </c>
      <c r="D323" t="s">
        <v>32</v>
      </c>
      <c r="E323" t="s">
        <v>18</v>
      </c>
      <c r="F323" t="s">
        <v>35</v>
      </c>
      <c r="G323" s="2">
        <v>43845</v>
      </c>
      <c r="H323" t="s">
        <v>24</v>
      </c>
      <c r="I323" t="s">
        <v>53</v>
      </c>
      <c r="J323" t="s">
        <v>29</v>
      </c>
      <c r="M323" t="str">
        <f t="shared" ref="M323:M386" si="46">PROPER(TRIM(CLEAN(A323:A1322)))</f>
        <v>Grace</v>
      </c>
      <c r="N323">
        <v>40</v>
      </c>
      <c r="O323">
        <f t="shared" ref="O323:O386" si="47">IF(ISNUMBER(N323),N323,MEDIAN($N$2:$N$1001))</f>
        <v>40</v>
      </c>
      <c r="P323" t="s">
        <v>30</v>
      </c>
      <c r="Q323">
        <f t="shared" ref="Q323:Q386" si="48">IF(ISNUMBER(P323),P323,MEDIAN(P323:P1322))</f>
        <v>60000</v>
      </c>
      <c r="R323" t="str">
        <f t="shared" ref="R323:R386" si="49">PROPER(TRIM(CLEAN(D323:D1322)))</f>
        <v>Other</v>
      </c>
      <c r="S323" t="str">
        <f t="shared" ref="S323:S386" si="50">TRIM(CLEAN(E323:E1322))</f>
        <v>Finance</v>
      </c>
      <c r="T323" t="str">
        <f t="shared" ref="T323:T386" si="51">TRIM(CLEAN(F323:F1322))</f>
        <v>Clerk</v>
      </c>
      <c r="U323" s="2">
        <v>43845</v>
      </c>
      <c r="V323" t="s">
        <v>24</v>
      </c>
      <c r="W323" t="s">
        <v>53</v>
      </c>
      <c r="X323" t="str">
        <f t="shared" ref="X323:X386" si="52">IF(
   OR(TRIM(W323)="",LOWER(W323)="nan"),
   "Email not provided",
   W323
)</f>
        <v>name@company/org</v>
      </c>
      <c r="Y323" t="str">
        <f t="shared" ref="Y323:Y386" si="53">SUBSTITUTE(X323,"/",".")</f>
        <v>name@company.org</v>
      </c>
      <c r="Z323" t="str">
        <f t="shared" si="45"/>
        <v>Phone not provided</v>
      </c>
    </row>
    <row r="324" spans="1:26" x14ac:dyDescent="0.25">
      <c r="A324" t="s">
        <v>41</v>
      </c>
      <c r="B324">
        <v>25</v>
      </c>
      <c r="C324">
        <v>60000</v>
      </c>
      <c r="D324" t="s">
        <v>11</v>
      </c>
      <c r="E324" t="s">
        <v>23</v>
      </c>
      <c r="F324" t="s">
        <v>37</v>
      </c>
      <c r="G324" s="2">
        <v>43549</v>
      </c>
      <c r="H324" t="s">
        <v>24</v>
      </c>
      <c r="I324" t="s">
        <v>52</v>
      </c>
      <c r="J324" t="s">
        <v>21</v>
      </c>
      <c r="M324" t="str">
        <f t="shared" si="46"/>
        <v>Bob</v>
      </c>
      <c r="N324">
        <v>25</v>
      </c>
      <c r="O324">
        <f t="shared" si="47"/>
        <v>25</v>
      </c>
      <c r="P324">
        <v>60000</v>
      </c>
      <c r="Q324">
        <f t="shared" si="48"/>
        <v>60000</v>
      </c>
      <c r="R324" t="str">
        <f t="shared" si="49"/>
        <v>Male</v>
      </c>
      <c r="S324" t="str">
        <f t="shared" si="50"/>
        <v>Sales</v>
      </c>
      <c r="T324" t="str">
        <f t="shared" si="51"/>
        <v>Assistant</v>
      </c>
      <c r="U324" s="2">
        <v>43549</v>
      </c>
      <c r="V324" t="s">
        <v>24</v>
      </c>
      <c r="W324" t="s">
        <v>52</v>
      </c>
      <c r="X324" t="str">
        <f t="shared" si="52"/>
        <v>user@domain/com</v>
      </c>
      <c r="Y324" t="str">
        <f t="shared" si="53"/>
        <v>user@domain.com</v>
      </c>
      <c r="Z324" t="str">
        <f t="shared" si="45"/>
        <v>123-456-7890</v>
      </c>
    </row>
    <row r="325" spans="1:26" x14ac:dyDescent="0.25">
      <c r="A325" t="s">
        <v>31</v>
      </c>
      <c r="B325">
        <v>40</v>
      </c>
      <c r="C325" t="s">
        <v>30</v>
      </c>
      <c r="D325" t="s">
        <v>32</v>
      </c>
      <c r="E325" t="s">
        <v>33</v>
      </c>
      <c r="F325" t="s">
        <v>37</v>
      </c>
      <c r="G325" s="2">
        <v>43845</v>
      </c>
      <c r="H325" t="s">
        <v>24</v>
      </c>
      <c r="I325" t="s">
        <v>51</v>
      </c>
      <c r="J325" t="s">
        <v>39</v>
      </c>
      <c r="M325" t="str">
        <f t="shared" si="46"/>
        <v>Jack</v>
      </c>
      <c r="N325">
        <v>40</v>
      </c>
      <c r="O325">
        <f t="shared" si="47"/>
        <v>40</v>
      </c>
      <c r="P325" t="s">
        <v>30</v>
      </c>
      <c r="Q325">
        <f t="shared" si="48"/>
        <v>60000</v>
      </c>
      <c r="R325" t="str">
        <f t="shared" si="49"/>
        <v>Other</v>
      </c>
      <c r="S325" t="str">
        <f t="shared" si="50"/>
        <v>Marketing</v>
      </c>
      <c r="T325" t="str">
        <f t="shared" si="51"/>
        <v>Assistant</v>
      </c>
      <c r="U325" s="2">
        <v>43845</v>
      </c>
      <c r="V325" t="s">
        <v>24</v>
      </c>
      <c r="W325" t="s">
        <v>51</v>
      </c>
      <c r="X325" t="str">
        <f t="shared" si="52"/>
        <v>email@example/com</v>
      </c>
      <c r="Y325" t="str">
        <f t="shared" si="53"/>
        <v>email@example.com</v>
      </c>
      <c r="Z325" t="str">
        <f t="shared" si="45"/>
        <v>555-555-5555</v>
      </c>
    </row>
    <row r="326" spans="1:26" x14ac:dyDescent="0.25">
      <c r="A326" t="s">
        <v>41</v>
      </c>
      <c r="B326">
        <v>50</v>
      </c>
      <c r="C326">
        <v>60000</v>
      </c>
      <c r="D326" t="s">
        <v>17</v>
      </c>
      <c r="E326" t="s">
        <v>23</v>
      </c>
      <c r="F326" t="s">
        <v>35</v>
      </c>
      <c r="G326" s="2">
        <v>43549</v>
      </c>
      <c r="H326" t="s">
        <v>14</v>
      </c>
      <c r="I326" t="s">
        <v>53</v>
      </c>
      <c r="J326" t="s">
        <v>21</v>
      </c>
      <c r="M326" t="str">
        <f t="shared" si="46"/>
        <v>Bob</v>
      </c>
      <c r="N326">
        <v>50</v>
      </c>
      <c r="O326">
        <f t="shared" si="47"/>
        <v>50</v>
      </c>
      <c r="P326">
        <v>60000</v>
      </c>
      <c r="Q326">
        <f t="shared" si="48"/>
        <v>60000</v>
      </c>
      <c r="R326" t="str">
        <f t="shared" si="49"/>
        <v>Female</v>
      </c>
      <c r="S326" t="str">
        <f t="shared" si="50"/>
        <v>Sales</v>
      </c>
      <c r="T326" t="str">
        <f t="shared" si="51"/>
        <v>Clerk</v>
      </c>
      <c r="U326" s="2">
        <v>43549</v>
      </c>
      <c r="V326" t="s">
        <v>14</v>
      </c>
      <c r="W326" t="s">
        <v>53</v>
      </c>
      <c r="X326" t="str">
        <f t="shared" si="52"/>
        <v>name@company/org</v>
      </c>
      <c r="Y326" t="str">
        <f t="shared" si="53"/>
        <v>name@company.org</v>
      </c>
      <c r="Z326" t="str">
        <f t="shared" si="45"/>
        <v>123-456-7890</v>
      </c>
    </row>
    <row r="327" spans="1:26" x14ac:dyDescent="0.25">
      <c r="A327" t="s">
        <v>31</v>
      </c>
      <c r="B327">
        <v>50</v>
      </c>
      <c r="C327" t="s">
        <v>30</v>
      </c>
      <c r="D327" t="s">
        <v>17</v>
      </c>
      <c r="E327" t="s">
        <v>27</v>
      </c>
      <c r="F327" t="s">
        <v>38</v>
      </c>
      <c r="G327" s="2">
        <v>43800</v>
      </c>
      <c r="H327" t="s">
        <v>28</v>
      </c>
      <c r="I327" t="s">
        <v>52</v>
      </c>
      <c r="J327" t="s">
        <v>25</v>
      </c>
      <c r="M327" t="str">
        <f t="shared" si="46"/>
        <v>Jack</v>
      </c>
      <c r="N327">
        <v>50</v>
      </c>
      <c r="O327">
        <f t="shared" si="47"/>
        <v>50</v>
      </c>
      <c r="P327" t="s">
        <v>30</v>
      </c>
      <c r="Q327">
        <f t="shared" si="48"/>
        <v>60000</v>
      </c>
      <c r="R327" t="str">
        <f t="shared" si="49"/>
        <v>Female</v>
      </c>
      <c r="S327" t="str">
        <f t="shared" si="50"/>
        <v>IT</v>
      </c>
      <c r="T327" t="str">
        <f t="shared" si="51"/>
        <v>Analyst</v>
      </c>
      <c r="U327" s="2">
        <v>43800</v>
      </c>
      <c r="V327" t="s">
        <v>28</v>
      </c>
      <c r="W327" t="s">
        <v>52</v>
      </c>
      <c r="X327" t="str">
        <f t="shared" si="52"/>
        <v>user@domain/com</v>
      </c>
      <c r="Y327" t="str">
        <f t="shared" si="53"/>
        <v>user@domain.com</v>
      </c>
      <c r="Z327" t="str">
        <f t="shared" si="45"/>
        <v>098-765-4321</v>
      </c>
    </row>
    <row r="328" spans="1:26" x14ac:dyDescent="0.25">
      <c r="A328" t="s">
        <v>42</v>
      </c>
      <c r="B328">
        <v>25</v>
      </c>
      <c r="C328">
        <v>65000</v>
      </c>
      <c r="D328" t="s">
        <v>17</v>
      </c>
      <c r="E328" t="s">
        <v>27</v>
      </c>
      <c r="F328" t="s">
        <v>37</v>
      </c>
      <c r="G328" s="2">
        <v>43549</v>
      </c>
      <c r="H328" t="s">
        <v>20</v>
      </c>
      <c r="I328" t="s">
        <v>51</v>
      </c>
      <c r="J328" t="s">
        <v>21</v>
      </c>
      <c r="M328" t="str">
        <f t="shared" si="46"/>
        <v>Alice</v>
      </c>
      <c r="N328">
        <v>25</v>
      </c>
      <c r="O328">
        <f t="shared" si="47"/>
        <v>25</v>
      </c>
      <c r="P328">
        <v>65000</v>
      </c>
      <c r="Q328">
        <f t="shared" si="48"/>
        <v>65000</v>
      </c>
      <c r="R328" t="str">
        <f t="shared" si="49"/>
        <v>Female</v>
      </c>
      <c r="S328" t="str">
        <f t="shared" si="50"/>
        <v>IT</v>
      </c>
      <c r="T328" t="str">
        <f t="shared" si="51"/>
        <v>Assistant</v>
      </c>
      <c r="U328" s="2">
        <v>43549</v>
      </c>
      <c r="V328" t="s">
        <v>20</v>
      </c>
      <c r="W328" t="s">
        <v>51</v>
      </c>
      <c r="X328" t="str">
        <f t="shared" si="52"/>
        <v>email@example/com</v>
      </c>
      <c r="Y328" t="str">
        <f t="shared" si="53"/>
        <v>email@example.com</v>
      </c>
      <c r="Z328" t="str">
        <f t="shared" si="45"/>
        <v>123-456-7890</v>
      </c>
    </row>
    <row r="329" spans="1:26" x14ac:dyDescent="0.25">
      <c r="A329" t="s">
        <v>22</v>
      </c>
      <c r="B329">
        <v>30</v>
      </c>
      <c r="C329">
        <v>70000</v>
      </c>
      <c r="D329" t="s">
        <v>17</v>
      </c>
      <c r="E329" t="s">
        <v>12</v>
      </c>
      <c r="F329" t="s">
        <v>19</v>
      </c>
      <c r="G329" s="1">
        <v>43195</v>
      </c>
      <c r="H329" t="s">
        <v>24</v>
      </c>
      <c r="J329" t="s">
        <v>39</v>
      </c>
      <c r="M329" t="str">
        <f t="shared" si="46"/>
        <v>Hannah</v>
      </c>
      <c r="N329">
        <v>30</v>
      </c>
      <c r="O329">
        <f t="shared" si="47"/>
        <v>30</v>
      </c>
      <c r="P329">
        <v>70000</v>
      </c>
      <c r="Q329">
        <f t="shared" si="48"/>
        <v>70000</v>
      </c>
      <c r="R329" t="str">
        <f t="shared" si="49"/>
        <v>Female</v>
      </c>
      <c r="S329" t="str">
        <f t="shared" si="50"/>
        <v>HR</v>
      </c>
      <c r="T329" t="str">
        <f t="shared" si="51"/>
        <v>Director</v>
      </c>
      <c r="U329" s="2">
        <v>43195</v>
      </c>
      <c r="V329" t="s">
        <v>24</v>
      </c>
      <c r="X329" t="str">
        <f t="shared" si="52"/>
        <v>Email not provided</v>
      </c>
      <c r="Y329" t="str">
        <f t="shared" si="53"/>
        <v>Email not provided</v>
      </c>
      <c r="Z329" t="str">
        <f t="shared" si="45"/>
        <v>555-555-5555</v>
      </c>
    </row>
    <row r="330" spans="1:26" x14ac:dyDescent="0.25">
      <c r="A330" t="s">
        <v>42</v>
      </c>
      <c r="B330">
        <v>25</v>
      </c>
      <c r="C330">
        <v>65000</v>
      </c>
      <c r="D330" t="s">
        <v>11</v>
      </c>
      <c r="E330" t="s">
        <v>12</v>
      </c>
      <c r="F330" t="s">
        <v>19</v>
      </c>
      <c r="G330" s="2">
        <v>43549</v>
      </c>
      <c r="H330" t="s">
        <v>14</v>
      </c>
      <c r="I330" t="s">
        <v>52</v>
      </c>
      <c r="J330" t="s">
        <v>15</v>
      </c>
      <c r="M330" t="str">
        <f t="shared" si="46"/>
        <v>Alice</v>
      </c>
      <c r="N330">
        <v>25</v>
      </c>
      <c r="O330">
        <f t="shared" si="47"/>
        <v>25</v>
      </c>
      <c r="P330">
        <v>65000</v>
      </c>
      <c r="Q330">
        <f t="shared" si="48"/>
        <v>65000</v>
      </c>
      <c r="R330" t="str">
        <f t="shared" si="49"/>
        <v>Male</v>
      </c>
      <c r="S330" t="str">
        <f t="shared" si="50"/>
        <v>HR</v>
      </c>
      <c r="T330" t="str">
        <f t="shared" si="51"/>
        <v>Director</v>
      </c>
      <c r="U330" s="2">
        <v>43549</v>
      </c>
      <c r="V330" t="s">
        <v>14</v>
      </c>
      <c r="W330" t="s">
        <v>52</v>
      </c>
      <c r="X330" t="str">
        <f t="shared" si="52"/>
        <v>user@domain/com</v>
      </c>
      <c r="Y330" t="str">
        <f t="shared" si="53"/>
        <v>user@domain.com</v>
      </c>
      <c r="Z330" t="str">
        <f t="shared" si="45"/>
        <v>Phone not provided</v>
      </c>
    </row>
    <row r="331" spans="1:26" x14ac:dyDescent="0.25">
      <c r="A331" t="s">
        <v>43</v>
      </c>
      <c r="B331" t="s">
        <v>15</v>
      </c>
      <c r="C331">
        <v>55000</v>
      </c>
      <c r="D331" t="s">
        <v>32</v>
      </c>
      <c r="E331" t="s">
        <v>27</v>
      </c>
      <c r="F331" t="s">
        <v>13</v>
      </c>
      <c r="G331" s="1">
        <v>43195</v>
      </c>
      <c r="H331" t="s">
        <v>28</v>
      </c>
      <c r="I331" t="s">
        <v>51</v>
      </c>
      <c r="J331" t="s">
        <v>21</v>
      </c>
      <c r="M331" t="str">
        <f t="shared" si="46"/>
        <v>Ivy</v>
      </c>
      <c r="N331" t="s">
        <v>15</v>
      </c>
      <c r="O331">
        <f t="shared" si="47"/>
        <v>35</v>
      </c>
      <c r="P331">
        <v>55000</v>
      </c>
      <c r="Q331">
        <f t="shared" si="48"/>
        <v>55000</v>
      </c>
      <c r="R331" t="str">
        <f t="shared" si="49"/>
        <v>Other</v>
      </c>
      <c r="S331" t="str">
        <f t="shared" si="50"/>
        <v>IT</v>
      </c>
      <c r="T331" t="str">
        <f t="shared" si="51"/>
        <v>Manager</v>
      </c>
      <c r="U331" s="2">
        <v>43195</v>
      </c>
      <c r="V331" t="s">
        <v>28</v>
      </c>
      <c r="W331" t="s">
        <v>51</v>
      </c>
      <c r="X331" t="str">
        <f t="shared" si="52"/>
        <v>email@example/com</v>
      </c>
      <c r="Y331" t="str">
        <f t="shared" si="53"/>
        <v>email@example.com</v>
      </c>
      <c r="Z331" t="str">
        <f t="shared" si="45"/>
        <v>123-456-7890</v>
      </c>
    </row>
    <row r="332" spans="1:26" x14ac:dyDescent="0.25">
      <c r="A332" t="s">
        <v>40</v>
      </c>
      <c r="B332">
        <v>35</v>
      </c>
      <c r="C332">
        <v>65000</v>
      </c>
      <c r="D332" t="s">
        <v>17</v>
      </c>
      <c r="E332" t="s">
        <v>23</v>
      </c>
      <c r="F332" t="s">
        <v>35</v>
      </c>
      <c r="G332" s="2">
        <v>43800</v>
      </c>
      <c r="H332" t="s">
        <v>20</v>
      </c>
      <c r="I332" t="s">
        <v>15</v>
      </c>
      <c r="J332" t="s">
        <v>21</v>
      </c>
      <c r="M332" t="str">
        <f t="shared" si="46"/>
        <v>Frank</v>
      </c>
      <c r="N332">
        <v>35</v>
      </c>
      <c r="O332">
        <f t="shared" si="47"/>
        <v>35</v>
      </c>
      <c r="P332">
        <v>65000</v>
      </c>
      <c r="Q332">
        <f t="shared" si="48"/>
        <v>65000</v>
      </c>
      <c r="R332" t="str">
        <f t="shared" si="49"/>
        <v>Female</v>
      </c>
      <c r="S332" t="str">
        <f t="shared" si="50"/>
        <v>Sales</v>
      </c>
      <c r="T332" t="str">
        <f t="shared" si="51"/>
        <v>Clerk</v>
      </c>
      <c r="U332" s="2">
        <v>43800</v>
      </c>
      <c r="V332" t="s">
        <v>20</v>
      </c>
      <c r="W332" t="s">
        <v>15</v>
      </c>
      <c r="X332" t="str">
        <f t="shared" si="52"/>
        <v>Email not provided</v>
      </c>
      <c r="Y332" t="str">
        <f t="shared" si="53"/>
        <v>Email not provided</v>
      </c>
      <c r="Z332" t="str">
        <f t="shared" si="45"/>
        <v>123-456-7890</v>
      </c>
    </row>
    <row r="333" spans="1:26" x14ac:dyDescent="0.25">
      <c r="A333" t="s">
        <v>10</v>
      </c>
      <c r="B333">
        <v>30</v>
      </c>
      <c r="C333">
        <v>50000</v>
      </c>
      <c r="D333" t="s">
        <v>11</v>
      </c>
      <c r="E333" t="s">
        <v>27</v>
      </c>
      <c r="F333" t="s">
        <v>38</v>
      </c>
      <c r="G333" s="2">
        <v>43800</v>
      </c>
      <c r="H333" t="s">
        <v>14</v>
      </c>
      <c r="I333" t="s">
        <v>15</v>
      </c>
      <c r="J333" t="s">
        <v>21</v>
      </c>
      <c r="M333" t="str">
        <f t="shared" si="46"/>
        <v>Grace</v>
      </c>
      <c r="N333">
        <v>30</v>
      </c>
      <c r="O333">
        <f t="shared" si="47"/>
        <v>30</v>
      </c>
      <c r="P333">
        <v>50000</v>
      </c>
      <c r="Q333">
        <f t="shared" si="48"/>
        <v>50000</v>
      </c>
      <c r="R333" t="str">
        <f t="shared" si="49"/>
        <v>Male</v>
      </c>
      <c r="S333" t="str">
        <f t="shared" si="50"/>
        <v>IT</v>
      </c>
      <c r="T333" t="str">
        <f t="shared" si="51"/>
        <v>Analyst</v>
      </c>
      <c r="U333" s="2">
        <v>43800</v>
      </c>
      <c r="V333" t="s">
        <v>14</v>
      </c>
      <c r="W333" t="s">
        <v>15</v>
      </c>
      <c r="X333" t="str">
        <f t="shared" si="52"/>
        <v>Email not provided</v>
      </c>
      <c r="Y333" t="str">
        <f t="shared" si="53"/>
        <v>Email not provided</v>
      </c>
      <c r="Z333" t="str">
        <f t="shared" si="45"/>
        <v>123-456-7890</v>
      </c>
    </row>
    <row r="334" spans="1:26" x14ac:dyDescent="0.25">
      <c r="A334" t="s">
        <v>31</v>
      </c>
      <c r="B334">
        <v>25</v>
      </c>
      <c r="C334">
        <v>55000</v>
      </c>
      <c r="D334" t="s">
        <v>32</v>
      </c>
      <c r="E334" t="s">
        <v>12</v>
      </c>
      <c r="F334" t="s">
        <v>13</v>
      </c>
      <c r="G334" s="2">
        <v>43845</v>
      </c>
      <c r="H334" t="s">
        <v>20</v>
      </c>
      <c r="I334" t="s">
        <v>51</v>
      </c>
      <c r="J334" t="s">
        <v>21</v>
      </c>
      <c r="M334" t="str">
        <f t="shared" si="46"/>
        <v>Jack</v>
      </c>
      <c r="N334">
        <v>25</v>
      </c>
      <c r="O334">
        <f t="shared" si="47"/>
        <v>25</v>
      </c>
      <c r="P334">
        <v>55000</v>
      </c>
      <c r="Q334">
        <f t="shared" si="48"/>
        <v>55000</v>
      </c>
      <c r="R334" t="str">
        <f t="shared" si="49"/>
        <v>Other</v>
      </c>
      <c r="S334" t="str">
        <f t="shared" si="50"/>
        <v>HR</v>
      </c>
      <c r="T334" t="str">
        <f t="shared" si="51"/>
        <v>Manager</v>
      </c>
      <c r="U334" s="2">
        <v>43845</v>
      </c>
      <c r="V334" t="s">
        <v>20</v>
      </c>
      <c r="W334" t="s">
        <v>51</v>
      </c>
      <c r="X334" t="str">
        <f t="shared" si="52"/>
        <v>email@example/com</v>
      </c>
      <c r="Y334" t="str">
        <f t="shared" si="53"/>
        <v>email@example.com</v>
      </c>
      <c r="Z334" t="str">
        <f t="shared" si="45"/>
        <v>123-456-7890</v>
      </c>
    </row>
    <row r="335" spans="1:26" x14ac:dyDescent="0.25">
      <c r="A335" t="s">
        <v>10</v>
      </c>
      <c r="B335">
        <v>40</v>
      </c>
      <c r="C335" t="s">
        <v>30</v>
      </c>
      <c r="D335" t="s">
        <v>32</v>
      </c>
      <c r="E335" t="s">
        <v>27</v>
      </c>
      <c r="F335" t="s">
        <v>35</v>
      </c>
      <c r="G335" s="1">
        <v>43195</v>
      </c>
      <c r="H335" t="s">
        <v>24</v>
      </c>
      <c r="I335" t="s">
        <v>53</v>
      </c>
      <c r="J335" t="s">
        <v>39</v>
      </c>
      <c r="M335" t="str">
        <f t="shared" si="46"/>
        <v>Grace</v>
      </c>
      <c r="N335">
        <v>40</v>
      </c>
      <c r="O335">
        <f t="shared" si="47"/>
        <v>40</v>
      </c>
      <c r="P335" t="s">
        <v>30</v>
      </c>
      <c r="Q335">
        <f t="shared" si="48"/>
        <v>60000</v>
      </c>
      <c r="R335" t="str">
        <f t="shared" si="49"/>
        <v>Other</v>
      </c>
      <c r="S335" t="str">
        <f t="shared" si="50"/>
        <v>IT</v>
      </c>
      <c r="T335" t="str">
        <f t="shared" si="51"/>
        <v>Clerk</v>
      </c>
      <c r="U335" s="2">
        <v>43195</v>
      </c>
      <c r="V335" t="s">
        <v>24</v>
      </c>
      <c r="W335" t="s">
        <v>53</v>
      </c>
      <c r="X335" t="str">
        <f t="shared" si="52"/>
        <v>name@company/org</v>
      </c>
      <c r="Y335" t="str">
        <f t="shared" si="53"/>
        <v>name@company.org</v>
      </c>
      <c r="Z335" t="str">
        <f t="shared" si="45"/>
        <v>555-555-5555</v>
      </c>
    </row>
    <row r="336" spans="1:26" x14ac:dyDescent="0.25">
      <c r="A336" t="s">
        <v>31</v>
      </c>
      <c r="B336">
        <v>30</v>
      </c>
      <c r="C336">
        <v>55000</v>
      </c>
      <c r="D336" t="s">
        <v>11</v>
      </c>
      <c r="E336" t="s">
        <v>27</v>
      </c>
      <c r="F336" t="s">
        <v>37</v>
      </c>
      <c r="G336" s="1">
        <v>43195</v>
      </c>
      <c r="H336" t="s">
        <v>28</v>
      </c>
      <c r="I336" t="s">
        <v>53</v>
      </c>
      <c r="J336" t="s">
        <v>29</v>
      </c>
      <c r="M336" t="str">
        <f t="shared" si="46"/>
        <v>Jack</v>
      </c>
      <c r="N336">
        <v>30</v>
      </c>
      <c r="O336">
        <f t="shared" si="47"/>
        <v>30</v>
      </c>
      <c r="P336">
        <v>55000</v>
      </c>
      <c r="Q336">
        <f t="shared" si="48"/>
        <v>55000</v>
      </c>
      <c r="R336" t="str">
        <f t="shared" si="49"/>
        <v>Male</v>
      </c>
      <c r="S336" t="str">
        <f t="shared" si="50"/>
        <v>IT</v>
      </c>
      <c r="T336" t="str">
        <f t="shared" si="51"/>
        <v>Assistant</v>
      </c>
      <c r="U336" s="2">
        <v>43195</v>
      </c>
      <c r="V336" t="s">
        <v>28</v>
      </c>
      <c r="W336" t="s">
        <v>53</v>
      </c>
      <c r="X336" t="str">
        <f t="shared" si="52"/>
        <v>name@company/org</v>
      </c>
      <c r="Y336" t="str">
        <f t="shared" si="53"/>
        <v>name@company.org</v>
      </c>
      <c r="Z336" t="str">
        <f t="shared" si="45"/>
        <v>Phone not provided</v>
      </c>
    </row>
    <row r="337" spans="1:26" x14ac:dyDescent="0.25">
      <c r="A337" t="s">
        <v>34</v>
      </c>
      <c r="B337">
        <v>30</v>
      </c>
      <c r="C337">
        <v>70000</v>
      </c>
      <c r="D337" t="s">
        <v>11</v>
      </c>
      <c r="E337" t="s">
        <v>23</v>
      </c>
      <c r="F337" t="s">
        <v>19</v>
      </c>
      <c r="G337" s="2">
        <v>43881</v>
      </c>
      <c r="H337" t="s">
        <v>14</v>
      </c>
      <c r="I337" t="s">
        <v>52</v>
      </c>
      <c r="J337" t="s">
        <v>29</v>
      </c>
      <c r="M337" t="str">
        <f t="shared" si="46"/>
        <v>Charlie</v>
      </c>
      <c r="N337">
        <v>30</v>
      </c>
      <c r="O337">
        <f t="shared" si="47"/>
        <v>30</v>
      </c>
      <c r="P337">
        <v>70000</v>
      </c>
      <c r="Q337">
        <f t="shared" si="48"/>
        <v>70000</v>
      </c>
      <c r="R337" t="str">
        <f t="shared" si="49"/>
        <v>Male</v>
      </c>
      <c r="S337" t="str">
        <f t="shared" si="50"/>
        <v>Sales</v>
      </c>
      <c r="T337" t="str">
        <f t="shared" si="51"/>
        <v>Director</v>
      </c>
      <c r="U337" s="2">
        <v>43881</v>
      </c>
      <c r="V337" t="s">
        <v>14</v>
      </c>
      <c r="W337" t="s">
        <v>52</v>
      </c>
      <c r="X337" t="str">
        <f t="shared" si="52"/>
        <v>user@domain/com</v>
      </c>
      <c r="Y337" t="str">
        <f t="shared" si="53"/>
        <v>user@domain.com</v>
      </c>
      <c r="Z337" t="str">
        <f t="shared" si="45"/>
        <v>Phone not provided</v>
      </c>
    </row>
    <row r="338" spans="1:26" x14ac:dyDescent="0.25">
      <c r="A338" t="s">
        <v>41</v>
      </c>
      <c r="B338">
        <v>25</v>
      </c>
      <c r="C338">
        <v>60000</v>
      </c>
      <c r="D338" t="s">
        <v>17</v>
      </c>
      <c r="E338" t="s">
        <v>33</v>
      </c>
      <c r="F338" t="s">
        <v>38</v>
      </c>
      <c r="G338" s="2">
        <v>43881</v>
      </c>
      <c r="H338" t="s">
        <v>28</v>
      </c>
      <c r="I338" t="s">
        <v>15</v>
      </c>
      <c r="J338" t="s">
        <v>21</v>
      </c>
      <c r="M338" t="str">
        <f t="shared" si="46"/>
        <v>Bob</v>
      </c>
      <c r="N338">
        <v>25</v>
      </c>
      <c r="O338">
        <f t="shared" si="47"/>
        <v>25</v>
      </c>
      <c r="P338">
        <v>60000</v>
      </c>
      <c r="Q338">
        <f t="shared" si="48"/>
        <v>60000</v>
      </c>
      <c r="R338" t="str">
        <f t="shared" si="49"/>
        <v>Female</v>
      </c>
      <c r="S338" t="str">
        <f t="shared" si="50"/>
        <v>Marketing</v>
      </c>
      <c r="T338" t="str">
        <f t="shared" si="51"/>
        <v>Analyst</v>
      </c>
      <c r="U338" s="2">
        <v>43881</v>
      </c>
      <c r="V338" t="s">
        <v>28</v>
      </c>
      <c r="W338" t="s">
        <v>15</v>
      </c>
      <c r="X338" t="str">
        <f t="shared" si="52"/>
        <v>Email not provided</v>
      </c>
      <c r="Y338" t="str">
        <f t="shared" si="53"/>
        <v>Email not provided</v>
      </c>
      <c r="Z338" t="str">
        <f t="shared" si="45"/>
        <v>123-456-7890</v>
      </c>
    </row>
    <row r="339" spans="1:26" x14ac:dyDescent="0.25">
      <c r="A339" t="s">
        <v>43</v>
      </c>
      <c r="B339">
        <v>30</v>
      </c>
      <c r="C339" t="s">
        <v>30</v>
      </c>
      <c r="D339" t="s">
        <v>32</v>
      </c>
      <c r="E339" t="s">
        <v>12</v>
      </c>
      <c r="F339" t="s">
        <v>19</v>
      </c>
      <c r="G339" s="2">
        <v>43881</v>
      </c>
      <c r="H339" t="s">
        <v>24</v>
      </c>
      <c r="I339" t="s">
        <v>53</v>
      </c>
      <c r="J339" t="s">
        <v>39</v>
      </c>
      <c r="M339" t="str">
        <f t="shared" si="46"/>
        <v>Ivy</v>
      </c>
      <c r="N339">
        <v>30</v>
      </c>
      <c r="O339">
        <f t="shared" si="47"/>
        <v>30</v>
      </c>
      <c r="P339" t="s">
        <v>30</v>
      </c>
      <c r="Q339">
        <f t="shared" si="48"/>
        <v>60000</v>
      </c>
      <c r="R339" t="str">
        <f t="shared" si="49"/>
        <v>Other</v>
      </c>
      <c r="S339" t="str">
        <f t="shared" si="50"/>
        <v>HR</v>
      </c>
      <c r="T339" t="str">
        <f t="shared" si="51"/>
        <v>Director</v>
      </c>
      <c r="U339" s="2">
        <v>43881</v>
      </c>
      <c r="V339" t="s">
        <v>24</v>
      </c>
      <c r="W339" t="s">
        <v>53</v>
      </c>
      <c r="X339" t="str">
        <f t="shared" si="52"/>
        <v>name@company/org</v>
      </c>
      <c r="Y339" t="str">
        <f t="shared" si="53"/>
        <v>name@company.org</v>
      </c>
      <c r="Z339" t="str">
        <f t="shared" si="45"/>
        <v>555-555-5555</v>
      </c>
    </row>
    <row r="340" spans="1:26" x14ac:dyDescent="0.25">
      <c r="A340" t="s">
        <v>22</v>
      </c>
      <c r="B340">
        <v>40</v>
      </c>
      <c r="C340">
        <v>55000</v>
      </c>
      <c r="D340" t="s">
        <v>32</v>
      </c>
      <c r="E340" t="s">
        <v>23</v>
      </c>
      <c r="F340" t="s">
        <v>37</v>
      </c>
      <c r="G340" s="2">
        <v>43549</v>
      </c>
      <c r="H340" t="s">
        <v>28</v>
      </c>
      <c r="I340" t="s">
        <v>53</v>
      </c>
      <c r="J340" t="s">
        <v>39</v>
      </c>
      <c r="M340" t="str">
        <f t="shared" si="46"/>
        <v>Hannah</v>
      </c>
      <c r="N340">
        <v>40</v>
      </c>
      <c r="O340">
        <f t="shared" si="47"/>
        <v>40</v>
      </c>
      <c r="P340">
        <v>55000</v>
      </c>
      <c r="Q340">
        <f t="shared" si="48"/>
        <v>55000</v>
      </c>
      <c r="R340" t="str">
        <f t="shared" si="49"/>
        <v>Other</v>
      </c>
      <c r="S340" t="str">
        <f t="shared" si="50"/>
        <v>Sales</v>
      </c>
      <c r="T340" t="str">
        <f t="shared" si="51"/>
        <v>Assistant</v>
      </c>
      <c r="U340" s="2">
        <v>43549</v>
      </c>
      <c r="V340" t="s">
        <v>28</v>
      </c>
      <c r="W340" t="s">
        <v>53</v>
      </c>
      <c r="X340" t="str">
        <f t="shared" si="52"/>
        <v>name@company/org</v>
      </c>
      <c r="Y340" t="str">
        <f t="shared" si="53"/>
        <v>name@company.org</v>
      </c>
      <c r="Z340" t="str">
        <f t="shared" si="45"/>
        <v>555-555-5555</v>
      </c>
    </row>
    <row r="341" spans="1:26" x14ac:dyDescent="0.25">
      <c r="A341" t="s">
        <v>31</v>
      </c>
      <c r="B341">
        <v>50</v>
      </c>
      <c r="C341" t="s">
        <v>30</v>
      </c>
      <c r="D341" t="s">
        <v>11</v>
      </c>
      <c r="E341" t="s">
        <v>27</v>
      </c>
      <c r="F341" t="s">
        <v>35</v>
      </c>
      <c r="G341" s="2">
        <v>43881</v>
      </c>
      <c r="H341" t="s">
        <v>28</v>
      </c>
      <c r="I341" t="s">
        <v>15</v>
      </c>
      <c r="J341" t="s">
        <v>21</v>
      </c>
      <c r="M341" t="str">
        <f t="shared" si="46"/>
        <v>Jack</v>
      </c>
      <c r="N341">
        <v>50</v>
      </c>
      <c r="O341">
        <f t="shared" si="47"/>
        <v>50</v>
      </c>
      <c r="P341" t="s">
        <v>30</v>
      </c>
      <c r="Q341">
        <f t="shared" si="48"/>
        <v>60000</v>
      </c>
      <c r="R341" t="str">
        <f t="shared" si="49"/>
        <v>Male</v>
      </c>
      <c r="S341" t="str">
        <f t="shared" si="50"/>
        <v>IT</v>
      </c>
      <c r="T341" t="str">
        <f t="shared" si="51"/>
        <v>Clerk</v>
      </c>
      <c r="U341" s="2">
        <v>43881</v>
      </c>
      <c r="V341" t="s">
        <v>28</v>
      </c>
      <c r="W341" t="s">
        <v>15</v>
      </c>
      <c r="X341" t="str">
        <f t="shared" si="52"/>
        <v>Email not provided</v>
      </c>
      <c r="Y341" t="str">
        <f t="shared" si="53"/>
        <v>Email not provided</v>
      </c>
      <c r="Z341" t="str">
        <f t="shared" si="45"/>
        <v>123-456-7890</v>
      </c>
    </row>
    <row r="342" spans="1:26" x14ac:dyDescent="0.25">
      <c r="A342" t="s">
        <v>10</v>
      </c>
      <c r="B342">
        <v>30</v>
      </c>
      <c r="C342" t="s">
        <v>30</v>
      </c>
      <c r="D342" t="s">
        <v>32</v>
      </c>
      <c r="E342" t="s">
        <v>27</v>
      </c>
      <c r="F342" t="s">
        <v>37</v>
      </c>
      <c r="G342" s="1">
        <v>43195</v>
      </c>
      <c r="H342" t="s">
        <v>36</v>
      </c>
      <c r="J342" t="s">
        <v>25</v>
      </c>
      <c r="M342" t="str">
        <f t="shared" si="46"/>
        <v>Grace</v>
      </c>
      <c r="N342">
        <v>30</v>
      </c>
      <c r="O342">
        <f t="shared" si="47"/>
        <v>30</v>
      </c>
      <c r="P342" t="s">
        <v>30</v>
      </c>
      <c r="Q342">
        <f t="shared" si="48"/>
        <v>60000</v>
      </c>
      <c r="R342" t="str">
        <f t="shared" si="49"/>
        <v>Other</v>
      </c>
      <c r="S342" t="str">
        <f t="shared" si="50"/>
        <v>IT</v>
      </c>
      <c r="T342" t="str">
        <f t="shared" si="51"/>
        <v>Assistant</v>
      </c>
      <c r="U342" s="2">
        <v>43195</v>
      </c>
      <c r="V342" t="s">
        <v>36</v>
      </c>
      <c r="X342" t="str">
        <f t="shared" si="52"/>
        <v>Email not provided</v>
      </c>
      <c r="Y342" t="str">
        <f t="shared" si="53"/>
        <v>Email not provided</v>
      </c>
      <c r="Z342" t="str">
        <f t="shared" si="45"/>
        <v>098-765-4321</v>
      </c>
    </row>
    <row r="343" spans="1:26" x14ac:dyDescent="0.25">
      <c r="A343" t="s">
        <v>43</v>
      </c>
      <c r="B343">
        <v>50</v>
      </c>
      <c r="C343" t="s">
        <v>30</v>
      </c>
      <c r="D343" t="s">
        <v>17</v>
      </c>
      <c r="E343" t="s">
        <v>33</v>
      </c>
      <c r="F343" t="s">
        <v>37</v>
      </c>
      <c r="G343" s="2">
        <v>43549</v>
      </c>
      <c r="H343" t="s">
        <v>28</v>
      </c>
      <c r="I343" t="s">
        <v>53</v>
      </c>
      <c r="J343" t="s">
        <v>21</v>
      </c>
      <c r="M343" t="str">
        <f t="shared" si="46"/>
        <v>Ivy</v>
      </c>
      <c r="N343">
        <v>50</v>
      </c>
      <c r="O343">
        <f t="shared" si="47"/>
        <v>50</v>
      </c>
      <c r="P343" t="s">
        <v>30</v>
      </c>
      <c r="Q343">
        <f t="shared" si="48"/>
        <v>60000</v>
      </c>
      <c r="R343" t="str">
        <f t="shared" si="49"/>
        <v>Female</v>
      </c>
      <c r="S343" t="str">
        <f t="shared" si="50"/>
        <v>Marketing</v>
      </c>
      <c r="T343" t="str">
        <f t="shared" si="51"/>
        <v>Assistant</v>
      </c>
      <c r="U343" s="2">
        <v>43549</v>
      </c>
      <c r="V343" t="s">
        <v>28</v>
      </c>
      <c r="W343" t="s">
        <v>53</v>
      </c>
      <c r="X343" t="str">
        <f t="shared" si="52"/>
        <v>name@company/org</v>
      </c>
      <c r="Y343" t="str">
        <f t="shared" si="53"/>
        <v>name@company.org</v>
      </c>
      <c r="Z343" t="str">
        <f t="shared" si="45"/>
        <v>123-456-7890</v>
      </c>
    </row>
    <row r="344" spans="1:26" x14ac:dyDescent="0.25">
      <c r="A344" t="s">
        <v>16</v>
      </c>
      <c r="B344">
        <v>40</v>
      </c>
      <c r="C344">
        <v>60000</v>
      </c>
      <c r="D344" t="s">
        <v>32</v>
      </c>
      <c r="E344" t="s">
        <v>12</v>
      </c>
      <c r="F344" t="s">
        <v>19</v>
      </c>
      <c r="G344" s="2">
        <v>43800</v>
      </c>
      <c r="H344" t="s">
        <v>20</v>
      </c>
      <c r="I344" t="s">
        <v>51</v>
      </c>
      <c r="J344" t="s">
        <v>25</v>
      </c>
      <c r="M344" t="str">
        <f t="shared" si="46"/>
        <v>David</v>
      </c>
      <c r="N344">
        <v>40</v>
      </c>
      <c r="O344">
        <f t="shared" si="47"/>
        <v>40</v>
      </c>
      <c r="P344">
        <v>60000</v>
      </c>
      <c r="Q344">
        <f t="shared" si="48"/>
        <v>60000</v>
      </c>
      <c r="R344" t="str">
        <f t="shared" si="49"/>
        <v>Other</v>
      </c>
      <c r="S344" t="str">
        <f t="shared" si="50"/>
        <v>HR</v>
      </c>
      <c r="T344" t="str">
        <f t="shared" si="51"/>
        <v>Director</v>
      </c>
      <c r="U344" s="2">
        <v>43800</v>
      </c>
      <c r="V344" t="s">
        <v>20</v>
      </c>
      <c r="W344" t="s">
        <v>51</v>
      </c>
      <c r="X344" t="str">
        <f t="shared" si="52"/>
        <v>email@example/com</v>
      </c>
      <c r="Y344" t="str">
        <f t="shared" si="53"/>
        <v>email@example.com</v>
      </c>
      <c r="Z344" t="str">
        <f t="shared" si="45"/>
        <v>098-765-4321</v>
      </c>
    </row>
    <row r="345" spans="1:26" x14ac:dyDescent="0.25">
      <c r="A345" t="s">
        <v>16</v>
      </c>
      <c r="B345">
        <v>25</v>
      </c>
      <c r="C345">
        <v>65000</v>
      </c>
      <c r="D345" t="s">
        <v>11</v>
      </c>
      <c r="E345" t="s">
        <v>12</v>
      </c>
      <c r="F345" t="s">
        <v>38</v>
      </c>
      <c r="G345" s="2">
        <v>43845</v>
      </c>
      <c r="H345" t="s">
        <v>14</v>
      </c>
      <c r="I345" t="s">
        <v>52</v>
      </c>
      <c r="J345" t="s">
        <v>21</v>
      </c>
      <c r="M345" t="str">
        <f t="shared" si="46"/>
        <v>David</v>
      </c>
      <c r="N345">
        <v>25</v>
      </c>
      <c r="O345">
        <f t="shared" si="47"/>
        <v>25</v>
      </c>
      <c r="P345">
        <v>65000</v>
      </c>
      <c r="Q345">
        <f t="shared" si="48"/>
        <v>65000</v>
      </c>
      <c r="R345" t="str">
        <f t="shared" si="49"/>
        <v>Male</v>
      </c>
      <c r="S345" t="str">
        <f t="shared" si="50"/>
        <v>HR</v>
      </c>
      <c r="T345" t="str">
        <f t="shared" si="51"/>
        <v>Analyst</v>
      </c>
      <c r="U345" s="2">
        <v>43845</v>
      </c>
      <c r="V345" t="s">
        <v>14</v>
      </c>
      <c r="W345" t="s">
        <v>52</v>
      </c>
      <c r="X345" t="str">
        <f t="shared" si="52"/>
        <v>user@domain/com</v>
      </c>
      <c r="Y345" t="str">
        <f t="shared" si="53"/>
        <v>user@domain.com</v>
      </c>
      <c r="Z345" t="str">
        <f t="shared" si="45"/>
        <v>123-456-7890</v>
      </c>
    </row>
    <row r="346" spans="1:26" x14ac:dyDescent="0.25">
      <c r="A346" t="s">
        <v>42</v>
      </c>
      <c r="B346">
        <v>35</v>
      </c>
      <c r="C346" t="s">
        <v>30</v>
      </c>
      <c r="D346" t="s">
        <v>11</v>
      </c>
      <c r="E346" t="s">
        <v>18</v>
      </c>
      <c r="F346" t="s">
        <v>37</v>
      </c>
      <c r="G346" s="2">
        <v>43881</v>
      </c>
      <c r="H346" t="s">
        <v>36</v>
      </c>
      <c r="I346" t="s">
        <v>53</v>
      </c>
      <c r="J346" t="s">
        <v>25</v>
      </c>
      <c r="M346" t="str">
        <f t="shared" si="46"/>
        <v>Alice</v>
      </c>
      <c r="N346">
        <v>35</v>
      </c>
      <c r="O346">
        <f t="shared" si="47"/>
        <v>35</v>
      </c>
      <c r="P346" t="s">
        <v>30</v>
      </c>
      <c r="Q346">
        <f t="shared" si="48"/>
        <v>60000</v>
      </c>
      <c r="R346" t="str">
        <f t="shared" si="49"/>
        <v>Male</v>
      </c>
      <c r="S346" t="str">
        <f t="shared" si="50"/>
        <v>Finance</v>
      </c>
      <c r="T346" t="str">
        <f t="shared" si="51"/>
        <v>Assistant</v>
      </c>
      <c r="U346" s="2">
        <v>43881</v>
      </c>
      <c r="V346" t="s">
        <v>36</v>
      </c>
      <c r="W346" t="s">
        <v>53</v>
      </c>
      <c r="X346" t="str">
        <f t="shared" si="52"/>
        <v>name@company/org</v>
      </c>
      <c r="Y346" t="str">
        <f t="shared" si="53"/>
        <v>name@company.org</v>
      </c>
      <c r="Z346" t="str">
        <f t="shared" si="45"/>
        <v>098-765-4321</v>
      </c>
    </row>
    <row r="347" spans="1:26" x14ac:dyDescent="0.25">
      <c r="A347" t="s">
        <v>22</v>
      </c>
      <c r="B347">
        <v>30</v>
      </c>
      <c r="C347">
        <v>50000</v>
      </c>
      <c r="D347" t="s">
        <v>17</v>
      </c>
      <c r="E347" t="s">
        <v>12</v>
      </c>
      <c r="F347" t="s">
        <v>19</v>
      </c>
      <c r="G347" s="2">
        <v>43800</v>
      </c>
      <c r="H347" t="s">
        <v>14</v>
      </c>
      <c r="I347" t="s">
        <v>53</v>
      </c>
      <c r="J347" t="s">
        <v>25</v>
      </c>
      <c r="M347" t="str">
        <f t="shared" si="46"/>
        <v>Hannah</v>
      </c>
      <c r="N347">
        <v>30</v>
      </c>
      <c r="O347">
        <f t="shared" si="47"/>
        <v>30</v>
      </c>
      <c r="P347">
        <v>50000</v>
      </c>
      <c r="Q347">
        <f t="shared" si="48"/>
        <v>50000</v>
      </c>
      <c r="R347" t="str">
        <f t="shared" si="49"/>
        <v>Female</v>
      </c>
      <c r="S347" t="str">
        <f t="shared" si="50"/>
        <v>HR</v>
      </c>
      <c r="T347" t="str">
        <f t="shared" si="51"/>
        <v>Director</v>
      </c>
      <c r="U347" s="2">
        <v>43800</v>
      </c>
      <c r="V347" t="s">
        <v>14</v>
      </c>
      <c r="W347" t="s">
        <v>53</v>
      </c>
      <c r="X347" t="str">
        <f t="shared" si="52"/>
        <v>name@company/org</v>
      </c>
      <c r="Y347" t="str">
        <f t="shared" si="53"/>
        <v>name@company.org</v>
      </c>
      <c r="Z347" t="str">
        <f t="shared" si="45"/>
        <v>098-765-4321</v>
      </c>
    </row>
    <row r="348" spans="1:26" x14ac:dyDescent="0.25">
      <c r="A348" t="s">
        <v>34</v>
      </c>
      <c r="B348">
        <v>35</v>
      </c>
      <c r="C348">
        <v>70000</v>
      </c>
      <c r="D348" t="s">
        <v>17</v>
      </c>
      <c r="E348" t="s">
        <v>33</v>
      </c>
      <c r="F348" t="s">
        <v>38</v>
      </c>
      <c r="G348" s="1">
        <v>43195</v>
      </c>
      <c r="H348" t="s">
        <v>14</v>
      </c>
      <c r="J348" t="s">
        <v>21</v>
      </c>
      <c r="M348" t="str">
        <f t="shared" si="46"/>
        <v>Charlie</v>
      </c>
      <c r="N348">
        <v>35</v>
      </c>
      <c r="O348">
        <f t="shared" si="47"/>
        <v>35</v>
      </c>
      <c r="P348">
        <v>70000</v>
      </c>
      <c r="Q348">
        <f t="shared" si="48"/>
        <v>70000</v>
      </c>
      <c r="R348" t="str">
        <f t="shared" si="49"/>
        <v>Female</v>
      </c>
      <c r="S348" t="str">
        <f t="shared" si="50"/>
        <v>Marketing</v>
      </c>
      <c r="T348" t="str">
        <f t="shared" si="51"/>
        <v>Analyst</v>
      </c>
      <c r="U348" s="2">
        <v>43195</v>
      </c>
      <c r="V348" t="s">
        <v>14</v>
      </c>
      <c r="X348" t="str">
        <f t="shared" si="52"/>
        <v>Email not provided</v>
      </c>
      <c r="Y348" t="str">
        <f t="shared" si="53"/>
        <v>Email not provided</v>
      </c>
      <c r="Z348" t="str">
        <f t="shared" si="45"/>
        <v>123-456-7890</v>
      </c>
    </row>
    <row r="349" spans="1:26" x14ac:dyDescent="0.25">
      <c r="A349" t="s">
        <v>10</v>
      </c>
      <c r="B349">
        <v>40</v>
      </c>
      <c r="C349">
        <v>60000</v>
      </c>
      <c r="D349" t="s">
        <v>32</v>
      </c>
      <c r="E349" t="s">
        <v>18</v>
      </c>
      <c r="F349" t="s">
        <v>35</v>
      </c>
      <c r="G349" s="2">
        <v>43845</v>
      </c>
      <c r="H349" t="s">
        <v>24</v>
      </c>
      <c r="I349" t="s">
        <v>51</v>
      </c>
      <c r="J349" t="s">
        <v>25</v>
      </c>
      <c r="M349" t="str">
        <f t="shared" si="46"/>
        <v>Grace</v>
      </c>
      <c r="N349">
        <v>40</v>
      </c>
      <c r="O349">
        <f t="shared" si="47"/>
        <v>40</v>
      </c>
      <c r="P349">
        <v>60000</v>
      </c>
      <c r="Q349">
        <f t="shared" si="48"/>
        <v>60000</v>
      </c>
      <c r="R349" t="str">
        <f t="shared" si="49"/>
        <v>Other</v>
      </c>
      <c r="S349" t="str">
        <f t="shared" si="50"/>
        <v>Finance</v>
      </c>
      <c r="T349" t="str">
        <f t="shared" si="51"/>
        <v>Clerk</v>
      </c>
      <c r="U349" s="2">
        <v>43845</v>
      </c>
      <c r="V349" t="s">
        <v>24</v>
      </c>
      <c r="W349" t="s">
        <v>51</v>
      </c>
      <c r="X349" t="str">
        <f t="shared" si="52"/>
        <v>email@example/com</v>
      </c>
      <c r="Y349" t="str">
        <f t="shared" si="53"/>
        <v>email@example.com</v>
      </c>
      <c r="Z349" t="str">
        <f t="shared" si="45"/>
        <v>098-765-4321</v>
      </c>
    </row>
    <row r="350" spans="1:26" x14ac:dyDescent="0.25">
      <c r="A350" t="s">
        <v>41</v>
      </c>
      <c r="B350">
        <v>30</v>
      </c>
      <c r="C350">
        <v>55000</v>
      </c>
      <c r="D350" t="s">
        <v>32</v>
      </c>
      <c r="E350" t="s">
        <v>18</v>
      </c>
      <c r="F350" t="s">
        <v>35</v>
      </c>
      <c r="G350" s="2">
        <v>43800</v>
      </c>
      <c r="H350" t="s">
        <v>24</v>
      </c>
      <c r="I350" t="s">
        <v>52</v>
      </c>
      <c r="J350" t="s">
        <v>15</v>
      </c>
      <c r="M350" t="str">
        <f t="shared" si="46"/>
        <v>Bob</v>
      </c>
      <c r="N350">
        <v>30</v>
      </c>
      <c r="O350">
        <f t="shared" si="47"/>
        <v>30</v>
      </c>
      <c r="P350">
        <v>55000</v>
      </c>
      <c r="Q350">
        <f t="shared" si="48"/>
        <v>55000</v>
      </c>
      <c r="R350" t="str">
        <f t="shared" si="49"/>
        <v>Other</v>
      </c>
      <c r="S350" t="str">
        <f t="shared" si="50"/>
        <v>Finance</v>
      </c>
      <c r="T350" t="str">
        <f t="shared" si="51"/>
        <v>Clerk</v>
      </c>
      <c r="U350" s="2">
        <v>43800</v>
      </c>
      <c r="V350" t="s">
        <v>24</v>
      </c>
      <c r="W350" t="s">
        <v>52</v>
      </c>
      <c r="X350" t="str">
        <f t="shared" si="52"/>
        <v>user@domain/com</v>
      </c>
      <c r="Y350" t="str">
        <f t="shared" si="53"/>
        <v>user@domain.com</v>
      </c>
      <c r="Z350" t="str">
        <f t="shared" si="45"/>
        <v>Phone not provided</v>
      </c>
    </row>
    <row r="351" spans="1:26" x14ac:dyDescent="0.25">
      <c r="A351" t="s">
        <v>41</v>
      </c>
      <c r="B351">
        <v>50</v>
      </c>
      <c r="C351">
        <v>60000</v>
      </c>
      <c r="D351" t="s">
        <v>11</v>
      </c>
      <c r="E351" t="s">
        <v>27</v>
      </c>
      <c r="F351" t="s">
        <v>13</v>
      </c>
      <c r="G351" s="2">
        <v>43845</v>
      </c>
      <c r="H351" t="s">
        <v>36</v>
      </c>
      <c r="I351" t="s">
        <v>53</v>
      </c>
      <c r="J351" t="s">
        <v>29</v>
      </c>
      <c r="M351" t="str">
        <f t="shared" si="46"/>
        <v>Bob</v>
      </c>
      <c r="N351">
        <v>50</v>
      </c>
      <c r="O351">
        <f t="shared" si="47"/>
        <v>50</v>
      </c>
      <c r="P351">
        <v>60000</v>
      </c>
      <c r="Q351">
        <f t="shared" si="48"/>
        <v>60000</v>
      </c>
      <c r="R351" t="str">
        <f t="shared" si="49"/>
        <v>Male</v>
      </c>
      <c r="S351" t="str">
        <f t="shared" si="50"/>
        <v>IT</v>
      </c>
      <c r="T351" t="str">
        <f t="shared" si="51"/>
        <v>Manager</v>
      </c>
      <c r="U351" s="2">
        <v>43845</v>
      </c>
      <c r="V351" t="s">
        <v>36</v>
      </c>
      <c r="W351" t="s">
        <v>53</v>
      </c>
      <c r="X351" t="str">
        <f t="shared" si="52"/>
        <v>name@company/org</v>
      </c>
      <c r="Y351" t="str">
        <f t="shared" si="53"/>
        <v>name@company.org</v>
      </c>
      <c r="Z351" t="str">
        <f t="shared" si="45"/>
        <v>Phone not provided</v>
      </c>
    </row>
    <row r="352" spans="1:26" x14ac:dyDescent="0.25">
      <c r="A352" t="s">
        <v>10</v>
      </c>
      <c r="B352" t="s">
        <v>15</v>
      </c>
      <c r="C352">
        <v>55000</v>
      </c>
      <c r="D352" t="s">
        <v>17</v>
      </c>
      <c r="E352" t="s">
        <v>27</v>
      </c>
      <c r="F352" t="s">
        <v>19</v>
      </c>
      <c r="G352" s="2">
        <v>43881</v>
      </c>
      <c r="H352" t="s">
        <v>24</v>
      </c>
      <c r="I352" t="s">
        <v>52</v>
      </c>
      <c r="J352" t="s">
        <v>39</v>
      </c>
      <c r="M352" t="str">
        <f t="shared" si="46"/>
        <v>Grace</v>
      </c>
      <c r="N352" t="s">
        <v>15</v>
      </c>
      <c r="O352">
        <f t="shared" si="47"/>
        <v>35</v>
      </c>
      <c r="P352">
        <v>55000</v>
      </c>
      <c r="Q352">
        <f t="shared" si="48"/>
        <v>55000</v>
      </c>
      <c r="R352" t="str">
        <f t="shared" si="49"/>
        <v>Female</v>
      </c>
      <c r="S352" t="str">
        <f t="shared" si="50"/>
        <v>IT</v>
      </c>
      <c r="T352" t="str">
        <f t="shared" si="51"/>
        <v>Director</v>
      </c>
      <c r="U352" s="2">
        <v>43881</v>
      </c>
      <c r="V352" t="s">
        <v>24</v>
      </c>
      <c r="W352" t="s">
        <v>52</v>
      </c>
      <c r="X352" t="str">
        <f t="shared" si="52"/>
        <v>user@domain/com</v>
      </c>
      <c r="Y352" t="str">
        <f t="shared" si="53"/>
        <v>user@domain.com</v>
      </c>
      <c r="Z352" t="str">
        <f t="shared" si="45"/>
        <v>555-555-5555</v>
      </c>
    </row>
    <row r="353" spans="1:26" x14ac:dyDescent="0.25">
      <c r="A353" t="s">
        <v>40</v>
      </c>
      <c r="B353">
        <v>35</v>
      </c>
      <c r="C353">
        <v>60000</v>
      </c>
      <c r="D353" t="s">
        <v>17</v>
      </c>
      <c r="E353" t="s">
        <v>12</v>
      </c>
      <c r="F353" t="s">
        <v>38</v>
      </c>
      <c r="G353" s="1">
        <v>43195</v>
      </c>
      <c r="H353" t="s">
        <v>24</v>
      </c>
      <c r="I353" t="s">
        <v>15</v>
      </c>
      <c r="J353" t="s">
        <v>25</v>
      </c>
      <c r="M353" t="str">
        <f t="shared" si="46"/>
        <v>Frank</v>
      </c>
      <c r="N353">
        <v>35</v>
      </c>
      <c r="O353">
        <f t="shared" si="47"/>
        <v>35</v>
      </c>
      <c r="P353">
        <v>60000</v>
      </c>
      <c r="Q353">
        <f t="shared" si="48"/>
        <v>60000</v>
      </c>
      <c r="R353" t="str">
        <f t="shared" si="49"/>
        <v>Female</v>
      </c>
      <c r="S353" t="str">
        <f t="shared" si="50"/>
        <v>HR</v>
      </c>
      <c r="T353" t="str">
        <f t="shared" si="51"/>
        <v>Analyst</v>
      </c>
      <c r="U353" s="2">
        <v>43195</v>
      </c>
      <c r="V353" t="s">
        <v>24</v>
      </c>
      <c r="W353" t="s">
        <v>15</v>
      </c>
      <c r="X353" t="str">
        <f t="shared" si="52"/>
        <v>Email not provided</v>
      </c>
      <c r="Y353" t="str">
        <f t="shared" si="53"/>
        <v>Email not provided</v>
      </c>
      <c r="Z353" t="str">
        <f t="shared" si="45"/>
        <v>098-765-4321</v>
      </c>
    </row>
    <row r="354" spans="1:26" x14ac:dyDescent="0.25">
      <c r="A354" t="s">
        <v>34</v>
      </c>
      <c r="B354">
        <v>30</v>
      </c>
      <c r="C354">
        <v>55000</v>
      </c>
      <c r="D354" t="s">
        <v>17</v>
      </c>
      <c r="E354" t="s">
        <v>18</v>
      </c>
      <c r="F354" t="s">
        <v>37</v>
      </c>
      <c r="G354" s="2">
        <v>43845</v>
      </c>
      <c r="H354" t="s">
        <v>24</v>
      </c>
      <c r="I354" t="s">
        <v>53</v>
      </c>
      <c r="J354" t="s">
        <v>25</v>
      </c>
      <c r="M354" t="str">
        <f t="shared" si="46"/>
        <v>Charlie</v>
      </c>
      <c r="N354">
        <v>30</v>
      </c>
      <c r="O354">
        <f t="shared" si="47"/>
        <v>30</v>
      </c>
      <c r="P354">
        <v>55000</v>
      </c>
      <c r="Q354">
        <f t="shared" si="48"/>
        <v>55000</v>
      </c>
      <c r="R354" t="str">
        <f t="shared" si="49"/>
        <v>Female</v>
      </c>
      <c r="S354" t="str">
        <f t="shared" si="50"/>
        <v>Finance</v>
      </c>
      <c r="T354" t="str">
        <f t="shared" si="51"/>
        <v>Assistant</v>
      </c>
      <c r="U354" s="2">
        <v>43845</v>
      </c>
      <c r="V354" t="s">
        <v>24</v>
      </c>
      <c r="W354" t="s">
        <v>53</v>
      </c>
      <c r="X354" t="str">
        <f t="shared" si="52"/>
        <v>name@company/org</v>
      </c>
      <c r="Y354" t="str">
        <f t="shared" si="53"/>
        <v>name@company.org</v>
      </c>
      <c r="Z354" t="str">
        <f t="shared" si="45"/>
        <v>098-765-4321</v>
      </c>
    </row>
    <row r="355" spans="1:26" x14ac:dyDescent="0.25">
      <c r="A355" t="s">
        <v>43</v>
      </c>
      <c r="B355">
        <v>35</v>
      </c>
      <c r="C355" t="s">
        <v>30</v>
      </c>
      <c r="D355" t="s">
        <v>32</v>
      </c>
      <c r="E355" t="s">
        <v>27</v>
      </c>
      <c r="F355" t="s">
        <v>35</v>
      </c>
      <c r="G355" s="2">
        <v>43800</v>
      </c>
      <c r="H355" t="s">
        <v>14</v>
      </c>
      <c r="I355" t="s">
        <v>53</v>
      </c>
      <c r="J355" t="s">
        <v>39</v>
      </c>
      <c r="M355" t="str">
        <f t="shared" si="46"/>
        <v>Ivy</v>
      </c>
      <c r="N355">
        <v>35</v>
      </c>
      <c r="O355">
        <f t="shared" si="47"/>
        <v>35</v>
      </c>
      <c r="P355" t="s">
        <v>30</v>
      </c>
      <c r="Q355">
        <f t="shared" si="48"/>
        <v>60000</v>
      </c>
      <c r="R355" t="str">
        <f t="shared" si="49"/>
        <v>Other</v>
      </c>
      <c r="S355" t="str">
        <f t="shared" si="50"/>
        <v>IT</v>
      </c>
      <c r="T355" t="str">
        <f t="shared" si="51"/>
        <v>Clerk</v>
      </c>
      <c r="U355" s="2">
        <v>43800</v>
      </c>
      <c r="V355" t="s">
        <v>14</v>
      </c>
      <c r="W355" t="s">
        <v>53</v>
      </c>
      <c r="X355" t="str">
        <f t="shared" si="52"/>
        <v>name@company/org</v>
      </c>
      <c r="Y355" t="str">
        <f t="shared" si="53"/>
        <v>name@company.org</v>
      </c>
      <c r="Z355" t="str">
        <f t="shared" si="45"/>
        <v>555-555-5555</v>
      </c>
    </row>
    <row r="356" spans="1:26" x14ac:dyDescent="0.25">
      <c r="A356" t="s">
        <v>31</v>
      </c>
      <c r="B356">
        <v>30</v>
      </c>
      <c r="C356">
        <v>65000</v>
      </c>
      <c r="D356" t="s">
        <v>17</v>
      </c>
      <c r="E356" t="s">
        <v>33</v>
      </c>
      <c r="F356" t="s">
        <v>38</v>
      </c>
      <c r="G356" s="2">
        <v>43881</v>
      </c>
      <c r="H356" t="s">
        <v>36</v>
      </c>
      <c r="I356" t="s">
        <v>15</v>
      </c>
      <c r="J356" t="s">
        <v>25</v>
      </c>
      <c r="M356" t="str">
        <f t="shared" si="46"/>
        <v>Jack</v>
      </c>
      <c r="N356">
        <v>30</v>
      </c>
      <c r="O356">
        <f t="shared" si="47"/>
        <v>30</v>
      </c>
      <c r="P356">
        <v>65000</v>
      </c>
      <c r="Q356">
        <f t="shared" si="48"/>
        <v>65000</v>
      </c>
      <c r="R356" t="str">
        <f t="shared" si="49"/>
        <v>Female</v>
      </c>
      <c r="S356" t="str">
        <f t="shared" si="50"/>
        <v>Marketing</v>
      </c>
      <c r="T356" t="str">
        <f t="shared" si="51"/>
        <v>Analyst</v>
      </c>
      <c r="U356" s="2">
        <v>43881</v>
      </c>
      <c r="V356" t="s">
        <v>36</v>
      </c>
      <c r="W356" t="s">
        <v>15</v>
      </c>
      <c r="X356" t="str">
        <f t="shared" si="52"/>
        <v>Email not provided</v>
      </c>
      <c r="Y356" t="str">
        <f t="shared" si="53"/>
        <v>Email not provided</v>
      </c>
      <c r="Z356" t="str">
        <f t="shared" si="45"/>
        <v>098-765-4321</v>
      </c>
    </row>
    <row r="357" spans="1:26" x14ac:dyDescent="0.25">
      <c r="A357" t="s">
        <v>40</v>
      </c>
      <c r="B357">
        <v>25</v>
      </c>
      <c r="C357">
        <v>55000</v>
      </c>
      <c r="D357" t="s">
        <v>11</v>
      </c>
      <c r="E357" t="s">
        <v>27</v>
      </c>
      <c r="F357" t="s">
        <v>19</v>
      </c>
      <c r="G357" s="2">
        <v>43881</v>
      </c>
      <c r="H357" t="s">
        <v>14</v>
      </c>
      <c r="J357" t="s">
        <v>39</v>
      </c>
      <c r="M357" t="str">
        <f t="shared" si="46"/>
        <v>Frank</v>
      </c>
      <c r="N357">
        <v>25</v>
      </c>
      <c r="O357">
        <f t="shared" si="47"/>
        <v>25</v>
      </c>
      <c r="P357">
        <v>55000</v>
      </c>
      <c r="Q357">
        <f t="shared" si="48"/>
        <v>55000</v>
      </c>
      <c r="R357" t="str">
        <f t="shared" si="49"/>
        <v>Male</v>
      </c>
      <c r="S357" t="str">
        <f t="shared" si="50"/>
        <v>IT</v>
      </c>
      <c r="T357" t="str">
        <f t="shared" si="51"/>
        <v>Director</v>
      </c>
      <c r="U357" s="2">
        <v>43881</v>
      </c>
      <c r="V357" t="s">
        <v>14</v>
      </c>
      <c r="X357" t="str">
        <f t="shared" si="52"/>
        <v>Email not provided</v>
      </c>
      <c r="Y357" t="str">
        <f t="shared" si="53"/>
        <v>Email not provided</v>
      </c>
      <c r="Z357" t="str">
        <f t="shared" si="45"/>
        <v>555-555-5555</v>
      </c>
    </row>
    <row r="358" spans="1:26" x14ac:dyDescent="0.25">
      <c r="A358" t="s">
        <v>31</v>
      </c>
      <c r="B358">
        <v>50</v>
      </c>
      <c r="C358">
        <v>55000</v>
      </c>
      <c r="D358" t="s">
        <v>11</v>
      </c>
      <c r="E358" t="s">
        <v>27</v>
      </c>
      <c r="F358" t="s">
        <v>13</v>
      </c>
      <c r="G358" s="2">
        <v>43800</v>
      </c>
      <c r="H358" t="s">
        <v>20</v>
      </c>
      <c r="I358" t="s">
        <v>53</v>
      </c>
      <c r="J358" t="s">
        <v>21</v>
      </c>
      <c r="M358" t="str">
        <f t="shared" si="46"/>
        <v>Jack</v>
      </c>
      <c r="N358">
        <v>50</v>
      </c>
      <c r="O358">
        <f t="shared" si="47"/>
        <v>50</v>
      </c>
      <c r="P358">
        <v>55000</v>
      </c>
      <c r="Q358">
        <f t="shared" si="48"/>
        <v>55000</v>
      </c>
      <c r="R358" t="str">
        <f t="shared" si="49"/>
        <v>Male</v>
      </c>
      <c r="S358" t="str">
        <f t="shared" si="50"/>
        <v>IT</v>
      </c>
      <c r="T358" t="str">
        <f t="shared" si="51"/>
        <v>Manager</v>
      </c>
      <c r="U358" s="2">
        <v>43800</v>
      </c>
      <c r="V358" t="s">
        <v>20</v>
      </c>
      <c r="W358" t="s">
        <v>53</v>
      </c>
      <c r="X358" t="str">
        <f t="shared" si="52"/>
        <v>name@company/org</v>
      </c>
      <c r="Y358" t="str">
        <f t="shared" si="53"/>
        <v>name@company.org</v>
      </c>
      <c r="Z358" t="str">
        <f t="shared" si="45"/>
        <v>123-456-7890</v>
      </c>
    </row>
    <row r="359" spans="1:26" x14ac:dyDescent="0.25">
      <c r="A359" t="s">
        <v>31</v>
      </c>
      <c r="B359">
        <v>35</v>
      </c>
      <c r="C359">
        <v>50000</v>
      </c>
      <c r="D359" t="s">
        <v>32</v>
      </c>
      <c r="E359" t="s">
        <v>18</v>
      </c>
      <c r="F359" t="s">
        <v>35</v>
      </c>
      <c r="G359" s="2">
        <v>43800</v>
      </c>
      <c r="H359" t="s">
        <v>14</v>
      </c>
      <c r="I359" t="s">
        <v>52</v>
      </c>
      <c r="J359" t="s">
        <v>15</v>
      </c>
      <c r="M359" t="str">
        <f t="shared" si="46"/>
        <v>Jack</v>
      </c>
      <c r="N359">
        <v>35</v>
      </c>
      <c r="O359">
        <f t="shared" si="47"/>
        <v>35</v>
      </c>
      <c r="P359">
        <v>50000</v>
      </c>
      <c r="Q359">
        <f t="shared" si="48"/>
        <v>50000</v>
      </c>
      <c r="R359" t="str">
        <f t="shared" si="49"/>
        <v>Other</v>
      </c>
      <c r="S359" t="str">
        <f t="shared" si="50"/>
        <v>Finance</v>
      </c>
      <c r="T359" t="str">
        <f t="shared" si="51"/>
        <v>Clerk</v>
      </c>
      <c r="U359" s="2">
        <v>43800</v>
      </c>
      <c r="V359" t="s">
        <v>14</v>
      </c>
      <c r="W359" t="s">
        <v>52</v>
      </c>
      <c r="X359" t="str">
        <f t="shared" si="52"/>
        <v>user@domain/com</v>
      </c>
      <c r="Y359" t="str">
        <f t="shared" si="53"/>
        <v>user@domain.com</v>
      </c>
      <c r="Z359" t="str">
        <f t="shared" si="45"/>
        <v>Phone not provided</v>
      </c>
    </row>
    <row r="360" spans="1:26" x14ac:dyDescent="0.25">
      <c r="A360" t="s">
        <v>40</v>
      </c>
      <c r="B360" t="s">
        <v>15</v>
      </c>
      <c r="C360">
        <v>55000</v>
      </c>
      <c r="D360" t="s">
        <v>32</v>
      </c>
      <c r="E360" t="s">
        <v>18</v>
      </c>
      <c r="F360" t="s">
        <v>38</v>
      </c>
      <c r="G360" s="2">
        <v>43845</v>
      </c>
      <c r="H360" t="s">
        <v>20</v>
      </c>
      <c r="I360" t="s">
        <v>51</v>
      </c>
      <c r="J360" t="s">
        <v>15</v>
      </c>
      <c r="M360" t="str">
        <f t="shared" si="46"/>
        <v>Frank</v>
      </c>
      <c r="N360" t="s">
        <v>15</v>
      </c>
      <c r="O360">
        <f t="shared" si="47"/>
        <v>35</v>
      </c>
      <c r="P360">
        <v>55000</v>
      </c>
      <c r="Q360">
        <f t="shared" si="48"/>
        <v>55000</v>
      </c>
      <c r="R360" t="str">
        <f t="shared" si="49"/>
        <v>Other</v>
      </c>
      <c r="S360" t="str">
        <f t="shared" si="50"/>
        <v>Finance</v>
      </c>
      <c r="T360" t="str">
        <f t="shared" si="51"/>
        <v>Analyst</v>
      </c>
      <c r="U360" s="2">
        <v>43845</v>
      </c>
      <c r="V360" t="s">
        <v>20</v>
      </c>
      <c r="W360" t="s">
        <v>51</v>
      </c>
      <c r="X360" t="str">
        <f t="shared" si="52"/>
        <v>email@example/com</v>
      </c>
      <c r="Y360" t="str">
        <f t="shared" si="53"/>
        <v>email@example.com</v>
      </c>
      <c r="Z360" t="str">
        <f t="shared" si="45"/>
        <v>Phone not provided</v>
      </c>
    </row>
    <row r="361" spans="1:26" x14ac:dyDescent="0.25">
      <c r="A361" t="s">
        <v>42</v>
      </c>
      <c r="B361" t="s">
        <v>15</v>
      </c>
      <c r="C361">
        <v>50000</v>
      </c>
      <c r="D361" t="s">
        <v>17</v>
      </c>
      <c r="E361" t="s">
        <v>23</v>
      </c>
      <c r="F361" t="s">
        <v>38</v>
      </c>
      <c r="G361" s="2">
        <v>43549</v>
      </c>
      <c r="H361" t="s">
        <v>28</v>
      </c>
      <c r="I361" t="s">
        <v>52</v>
      </c>
      <c r="J361" t="s">
        <v>29</v>
      </c>
      <c r="M361" t="str">
        <f t="shared" si="46"/>
        <v>Alice</v>
      </c>
      <c r="N361" t="s">
        <v>15</v>
      </c>
      <c r="O361">
        <f t="shared" si="47"/>
        <v>35</v>
      </c>
      <c r="P361">
        <v>50000</v>
      </c>
      <c r="Q361">
        <f t="shared" si="48"/>
        <v>50000</v>
      </c>
      <c r="R361" t="str">
        <f t="shared" si="49"/>
        <v>Female</v>
      </c>
      <c r="S361" t="str">
        <f t="shared" si="50"/>
        <v>Sales</v>
      </c>
      <c r="T361" t="str">
        <f t="shared" si="51"/>
        <v>Analyst</v>
      </c>
      <c r="U361" s="2">
        <v>43549</v>
      </c>
      <c r="V361" t="s">
        <v>28</v>
      </c>
      <c r="W361" t="s">
        <v>52</v>
      </c>
      <c r="X361" t="str">
        <f t="shared" si="52"/>
        <v>user@domain/com</v>
      </c>
      <c r="Y361" t="str">
        <f t="shared" si="53"/>
        <v>user@domain.com</v>
      </c>
      <c r="Z361" t="str">
        <f t="shared" si="45"/>
        <v>Phone not provided</v>
      </c>
    </row>
    <row r="362" spans="1:26" x14ac:dyDescent="0.25">
      <c r="A362" t="s">
        <v>16</v>
      </c>
      <c r="B362">
        <v>40</v>
      </c>
      <c r="C362">
        <v>70000</v>
      </c>
      <c r="D362" t="s">
        <v>32</v>
      </c>
      <c r="E362" t="s">
        <v>33</v>
      </c>
      <c r="F362" t="s">
        <v>38</v>
      </c>
      <c r="G362" s="2">
        <v>43881</v>
      </c>
      <c r="H362" t="s">
        <v>28</v>
      </c>
      <c r="J362" t="s">
        <v>25</v>
      </c>
      <c r="M362" t="str">
        <f t="shared" si="46"/>
        <v>David</v>
      </c>
      <c r="N362">
        <v>40</v>
      </c>
      <c r="O362">
        <f t="shared" si="47"/>
        <v>40</v>
      </c>
      <c r="P362">
        <v>70000</v>
      </c>
      <c r="Q362">
        <f t="shared" si="48"/>
        <v>70000</v>
      </c>
      <c r="R362" t="str">
        <f t="shared" si="49"/>
        <v>Other</v>
      </c>
      <c r="S362" t="str">
        <f t="shared" si="50"/>
        <v>Marketing</v>
      </c>
      <c r="T362" t="str">
        <f t="shared" si="51"/>
        <v>Analyst</v>
      </c>
      <c r="U362" s="2">
        <v>43881</v>
      </c>
      <c r="V362" t="s">
        <v>28</v>
      </c>
      <c r="X362" t="str">
        <f t="shared" si="52"/>
        <v>Email not provided</v>
      </c>
      <c r="Y362" t="str">
        <f t="shared" si="53"/>
        <v>Email not provided</v>
      </c>
      <c r="Z362" t="str">
        <f t="shared" si="45"/>
        <v>098-765-4321</v>
      </c>
    </row>
    <row r="363" spans="1:26" x14ac:dyDescent="0.25">
      <c r="A363" t="s">
        <v>31</v>
      </c>
      <c r="B363">
        <v>30</v>
      </c>
      <c r="C363" t="s">
        <v>30</v>
      </c>
      <c r="D363" t="s">
        <v>11</v>
      </c>
      <c r="E363" t="s">
        <v>18</v>
      </c>
      <c r="F363" t="s">
        <v>19</v>
      </c>
      <c r="G363" s="2">
        <v>43845</v>
      </c>
      <c r="H363" t="s">
        <v>20</v>
      </c>
      <c r="I363" t="s">
        <v>51</v>
      </c>
      <c r="J363" t="s">
        <v>29</v>
      </c>
      <c r="M363" t="str">
        <f t="shared" si="46"/>
        <v>Jack</v>
      </c>
      <c r="N363">
        <v>30</v>
      </c>
      <c r="O363">
        <f t="shared" si="47"/>
        <v>30</v>
      </c>
      <c r="P363" t="s">
        <v>30</v>
      </c>
      <c r="Q363">
        <f t="shared" si="48"/>
        <v>60000</v>
      </c>
      <c r="R363" t="str">
        <f t="shared" si="49"/>
        <v>Male</v>
      </c>
      <c r="S363" t="str">
        <f t="shared" si="50"/>
        <v>Finance</v>
      </c>
      <c r="T363" t="str">
        <f t="shared" si="51"/>
        <v>Director</v>
      </c>
      <c r="U363" s="2">
        <v>43845</v>
      </c>
      <c r="V363" t="s">
        <v>20</v>
      </c>
      <c r="W363" t="s">
        <v>51</v>
      </c>
      <c r="X363" t="str">
        <f t="shared" si="52"/>
        <v>email@example/com</v>
      </c>
      <c r="Y363" t="str">
        <f t="shared" si="53"/>
        <v>email@example.com</v>
      </c>
      <c r="Z363" t="str">
        <f t="shared" si="45"/>
        <v>Phone not provided</v>
      </c>
    </row>
    <row r="364" spans="1:26" x14ac:dyDescent="0.25">
      <c r="A364" t="s">
        <v>40</v>
      </c>
      <c r="B364">
        <v>35</v>
      </c>
      <c r="C364">
        <v>50000</v>
      </c>
      <c r="D364" t="s">
        <v>17</v>
      </c>
      <c r="E364" t="s">
        <v>12</v>
      </c>
      <c r="F364" t="s">
        <v>19</v>
      </c>
      <c r="G364" s="2">
        <v>43800</v>
      </c>
      <c r="H364" t="s">
        <v>20</v>
      </c>
      <c r="I364" t="s">
        <v>52</v>
      </c>
      <c r="J364" t="s">
        <v>21</v>
      </c>
      <c r="M364" t="str">
        <f t="shared" si="46"/>
        <v>Frank</v>
      </c>
      <c r="N364">
        <v>35</v>
      </c>
      <c r="O364">
        <f t="shared" si="47"/>
        <v>35</v>
      </c>
      <c r="P364">
        <v>50000</v>
      </c>
      <c r="Q364">
        <f t="shared" si="48"/>
        <v>50000</v>
      </c>
      <c r="R364" t="str">
        <f t="shared" si="49"/>
        <v>Female</v>
      </c>
      <c r="S364" t="str">
        <f t="shared" si="50"/>
        <v>HR</v>
      </c>
      <c r="T364" t="str">
        <f t="shared" si="51"/>
        <v>Director</v>
      </c>
      <c r="U364" s="2">
        <v>43800</v>
      </c>
      <c r="V364" t="s">
        <v>20</v>
      </c>
      <c r="W364" t="s">
        <v>52</v>
      </c>
      <c r="X364" t="str">
        <f t="shared" si="52"/>
        <v>user@domain/com</v>
      </c>
      <c r="Y364" t="str">
        <f t="shared" si="53"/>
        <v>user@domain.com</v>
      </c>
      <c r="Z364" t="str">
        <f t="shared" si="45"/>
        <v>123-456-7890</v>
      </c>
    </row>
    <row r="365" spans="1:26" x14ac:dyDescent="0.25">
      <c r="A365" t="s">
        <v>40</v>
      </c>
      <c r="B365">
        <v>40</v>
      </c>
      <c r="C365">
        <v>65000</v>
      </c>
      <c r="D365" t="s">
        <v>11</v>
      </c>
      <c r="E365" t="s">
        <v>33</v>
      </c>
      <c r="F365" t="s">
        <v>19</v>
      </c>
      <c r="G365" s="2">
        <v>43845</v>
      </c>
      <c r="H365" t="s">
        <v>14</v>
      </c>
      <c r="I365" t="s">
        <v>52</v>
      </c>
      <c r="J365" t="s">
        <v>15</v>
      </c>
      <c r="M365" t="str">
        <f t="shared" si="46"/>
        <v>Frank</v>
      </c>
      <c r="N365">
        <v>40</v>
      </c>
      <c r="O365">
        <f t="shared" si="47"/>
        <v>40</v>
      </c>
      <c r="P365">
        <v>65000</v>
      </c>
      <c r="Q365">
        <f t="shared" si="48"/>
        <v>65000</v>
      </c>
      <c r="R365" t="str">
        <f t="shared" si="49"/>
        <v>Male</v>
      </c>
      <c r="S365" t="str">
        <f t="shared" si="50"/>
        <v>Marketing</v>
      </c>
      <c r="T365" t="str">
        <f t="shared" si="51"/>
        <v>Director</v>
      </c>
      <c r="U365" s="2">
        <v>43845</v>
      </c>
      <c r="V365" t="s">
        <v>14</v>
      </c>
      <c r="W365" t="s">
        <v>52</v>
      </c>
      <c r="X365" t="str">
        <f t="shared" si="52"/>
        <v>user@domain/com</v>
      </c>
      <c r="Y365" t="str">
        <f t="shared" si="53"/>
        <v>user@domain.com</v>
      </c>
      <c r="Z365" t="str">
        <f t="shared" si="45"/>
        <v>Phone not provided</v>
      </c>
    </row>
    <row r="366" spans="1:26" x14ac:dyDescent="0.25">
      <c r="A366" t="s">
        <v>26</v>
      </c>
      <c r="B366">
        <v>35</v>
      </c>
      <c r="C366" t="s">
        <v>30</v>
      </c>
      <c r="D366" t="s">
        <v>17</v>
      </c>
      <c r="E366" t="s">
        <v>33</v>
      </c>
      <c r="F366" t="s">
        <v>37</v>
      </c>
      <c r="G366" s="2">
        <v>43800</v>
      </c>
      <c r="H366" t="s">
        <v>20</v>
      </c>
      <c r="I366" t="s">
        <v>15</v>
      </c>
      <c r="J366" t="s">
        <v>21</v>
      </c>
      <c r="M366" t="str">
        <f t="shared" si="46"/>
        <v>Eve</v>
      </c>
      <c r="N366">
        <v>35</v>
      </c>
      <c r="O366">
        <f t="shared" si="47"/>
        <v>35</v>
      </c>
      <c r="P366" t="s">
        <v>30</v>
      </c>
      <c r="Q366">
        <f t="shared" si="48"/>
        <v>60000</v>
      </c>
      <c r="R366" t="str">
        <f t="shared" si="49"/>
        <v>Female</v>
      </c>
      <c r="S366" t="str">
        <f t="shared" si="50"/>
        <v>Marketing</v>
      </c>
      <c r="T366" t="str">
        <f t="shared" si="51"/>
        <v>Assistant</v>
      </c>
      <c r="U366" s="2">
        <v>43800</v>
      </c>
      <c r="V366" t="s">
        <v>20</v>
      </c>
      <c r="W366" t="s">
        <v>15</v>
      </c>
      <c r="X366" t="str">
        <f t="shared" si="52"/>
        <v>Email not provided</v>
      </c>
      <c r="Y366" t="str">
        <f t="shared" si="53"/>
        <v>Email not provided</v>
      </c>
      <c r="Z366" t="str">
        <f t="shared" si="45"/>
        <v>123-456-7890</v>
      </c>
    </row>
    <row r="367" spans="1:26" x14ac:dyDescent="0.25">
      <c r="A367" t="s">
        <v>42</v>
      </c>
      <c r="B367">
        <v>30</v>
      </c>
      <c r="C367">
        <v>50000</v>
      </c>
      <c r="D367" t="s">
        <v>32</v>
      </c>
      <c r="E367" t="s">
        <v>18</v>
      </c>
      <c r="F367" t="s">
        <v>38</v>
      </c>
      <c r="G367" s="1">
        <v>43195</v>
      </c>
      <c r="H367" t="s">
        <v>36</v>
      </c>
      <c r="J367" t="s">
        <v>21</v>
      </c>
      <c r="M367" t="str">
        <f t="shared" si="46"/>
        <v>Alice</v>
      </c>
      <c r="N367">
        <v>30</v>
      </c>
      <c r="O367">
        <f t="shared" si="47"/>
        <v>30</v>
      </c>
      <c r="P367">
        <v>50000</v>
      </c>
      <c r="Q367">
        <f t="shared" si="48"/>
        <v>50000</v>
      </c>
      <c r="R367" t="str">
        <f t="shared" si="49"/>
        <v>Other</v>
      </c>
      <c r="S367" t="str">
        <f t="shared" si="50"/>
        <v>Finance</v>
      </c>
      <c r="T367" t="str">
        <f t="shared" si="51"/>
        <v>Analyst</v>
      </c>
      <c r="U367" s="2">
        <v>43195</v>
      </c>
      <c r="V367" t="s">
        <v>36</v>
      </c>
      <c r="X367" t="str">
        <f t="shared" si="52"/>
        <v>Email not provided</v>
      </c>
      <c r="Y367" t="str">
        <f t="shared" si="53"/>
        <v>Email not provided</v>
      </c>
      <c r="Z367" t="str">
        <f t="shared" si="45"/>
        <v>123-456-7890</v>
      </c>
    </row>
    <row r="368" spans="1:26" x14ac:dyDescent="0.25">
      <c r="A368" t="s">
        <v>22</v>
      </c>
      <c r="B368" t="s">
        <v>15</v>
      </c>
      <c r="C368" t="s">
        <v>30</v>
      </c>
      <c r="D368" t="s">
        <v>17</v>
      </c>
      <c r="E368" t="s">
        <v>33</v>
      </c>
      <c r="F368" t="s">
        <v>35</v>
      </c>
      <c r="G368" s="2">
        <v>43800</v>
      </c>
      <c r="H368" t="s">
        <v>28</v>
      </c>
      <c r="I368" t="s">
        <v>15</v>
      </c>
      <c r="J368" t="s">
        <v>25</v>
      </c>
      <c r="M368" t="str">
        <f t="shared" si="46"/>
        <v>Hannah</v>
      </c>
      <c r="N368" t="s">
        <v>15</v>
      </c>
      <c r="O368">
        <f t="shared" si="47"/>
        <v>35</v>
      </c>
      <c r="P368" t="s">
        <v>30</v>
      </c>
      <c r="Q368">
        <f t="shared" si="48"/>
        <v>60000</v>
      </c>
      <c r="R368" t="str">
        <f t="shared" si="49"/>
        <v>Female</v>
      </c>
      <c r="S368" t="str">
        <f t="shared" si="50"/>
        <v>Marketing</v>
      </c>
      <c r="T368" t="str">
        <f t="shared" si="51"/>
        <v>Clerk</v>
      </c>
      <c r="U368" s="2">
        <v>43800</v>
      </c>
      <c r="V368" t="s">
        <v>28</v>
      </c>
      <c r="W368" t="s">
        <v>15</v>
      </c>
      <c r="X368" t="str">
        <f t="shared" si="52"/>
        <v>Email not provided</v>
      </c>
      <c r="Y368" t="str">
        <f t="shared" si="53"/>
        <v>Email not provided</v>
      </c>
      <c r="Z368" t="str">
        <f t="shared" si="45"/>
        <v>098-765-4321</v>
      </c>
    </row>
    <row r="369" spans="1:26" x14ac:dyDescent="0.25">
      <c r="A369" t="s">
        <v>26</v>
      </c>
      <c r="B369">
        <v>25</v>
      </c>
      <c r="C369" t="s">
        <v>30</v>
      </c>
      <c r="D369" t="s">
        <v>17</v>
      </c>
      <c r="E369" t="s">
        <v>18</v>
      </c>
      <c r="F369" t="s">
        <v>19</v>
      </c>
      <c r="G369" s="2">
        <v>43800</v>
      </c>
      <c r="H369" t="s">
        <v>28</v>
      </c>
      <c r="I369" t="s">
        <v>51</v>
      </c>
      <c r="J369" t="s">
        <v>21</v>
      </c>
      <c r="M369" t="str">
        <f t="shared" si="46"/>
        <v>Eve</v>
      </c>
      <c r="N369">
        <v>25</v>
      </c>
      <c r="O369">
        <f t="shared" si="47"/>
        <v>25</v>
      </c>
      <c r="P369" t="s">
        <v>30</v>
      </c>
      <c r="Q369">
        <f t="shared" si="48"/>
        <v>60000</v>
      </c>
      <c r="R369" t="str">
        <f t="shared" si="49"/>
        <v>Female</v>
      </c>
      <c r="S369" t="str">
        <f t="shared" si="50"/>
        <v>Finance</v>
      </c>
      <c r="T369" t="str">
        <f t="shared" si="51"/>
        <v>Director</v>
      </c>
      <c r="U369" s="2">
        <v>43800</v>
      </c>
      <c r="V369" t="s">
        <v>28</v>
      </c>
      <c r="W369" t="s">
        <v>51</v>
      </c>
      <c r="X369" t="str">
        <f t="shared" si="52"/>
        <v>email@example/com</v>
      </c>
      <c r="Y369" t="str">
        <f t="shared" si="53"/>
        <v>email@example.com</v>
      </c>
      <c r="Z369" t="str">
        <f t="shared" si="45"/>
        <v>123-456-7890</v>
      </c>
    </row>
    <row r="370" spans="1:26" x14ac:dyDescent="0.25">
      <c r="A370" t="s">
        <v>26</v>
      </c>
      <c r="B370" t="s">
        <v>15</v>
      </c>
      <c r="C370" t="s">
        <v>30</v>
      </c>
      <c r="D370" t="s">
        <v>11</v>
      </c>
      <c r="E370" t="s">
        <v>27</v>
      </c>
      <c r="F370" t="s">
        <v>19</v>
      </c>
      <c r="G370" s="2">
        <v>43800</v>
      </c>
      <c r="H370" t="s">
        <v>20</v>
      </c>
      <c r="I370" t="s">
        <v>15</v>
      </c>
      <c r="J370" t="s">
        <v>15</v>
      </c>
      <c r="M370" t="str">
        <f t="shared" si="46"/>
        <v>Eve</v>
      </c>
      <c r="N370" t="s">
        <v>15</v>
      </c>
      <c r="O370">
        <f t="shared" si="47"/>
        <v>35</v>
      </c>
      <c r="P370" t="s">
        <v>30</v>
      </c>
      <c r="Q370">
        <f t="shared" si="48"/>
        <v>60000</v>
      </c>
      <c r="R370" t="str">
        <f t="shared" si="49"/>
        <v>Male</v>
      </c>
      <c r="S370" t="str">
        <f t="shared" si="50"/>
        <v>IT</v>
      </c>
      <c r="T370" t="str">
        <f t="shared" si="51"/>
        <v>Director</v>
      </c>
      <c r="U370" s="2">
        <v>43800</v>
      </c>
      <c r="V370" t="s">
        <v>20</v>
      </c>
      <c r="W370" t="s">
        <v>15</v>
      </c>
      <c r="X370" t="str">
        <f t="shared" si="52"/>
        <v>Email not provided</v>
      </c>
      <c r="Y370" t="str">
        <f t="shared" si="53"/>
        <v>Email not provided</v>
      </c>
      <c r="Z370" t="str">
        <f t="shared" si="45"/>
        <v>Phone not provided</v>
      </c>
    </row>
    <row r="371" spans="1:26" x14ac:dyDescent="0.25">
      <c r="A371" t="s">
        <v>10</v>
      </c>
      <c r="B371">
        <v>40</v>
      </c>
      <c r="C371">
        <v>70000</v>
      </c>
      <c r="D371" t="s">
        <v>11</v>
      </c>
      <c r="E371" t="s">
        <v>23</v>
      </c>
      <c r="F371" t="s">
        <v>38</v>
      </c>
      <c r="G371" s="2">
        <v>43549</v>
      </c>
      <c r="H371" t="s">
        <v>24</v>
      </c>
      <c r="J371" t="s">
        <v>29</v>
      </c>
      <c r="M371" t="str">
        <f t="shared" si="46"/>
        <v>Grace</v>
      </c>
      <c r="N371">
        <v>40</v>
      </c>
      <c r="O371">
        <f t="shared" si="47"/>
        <v>40</v>
      </c>
      <c r="P371">
        <v>70000</v>
      </c>
      <c r="Q371">
        <f t="shared" si="48"/>
        <v>70000</v>
      </c>
      <c r="R371" t="str">
        <f t="shared" si="49"/>
        <v>Male</v>
      </c>
      <c r="S371" t="str">
        <f t="shared" si="50"/>
        <v>Sales</v>
      </c>
      <c r="T371" t="str">
        <f t="shared" si="51"/>
        <v>Analyst</v>
      </c>
      <c r="U371" s="2">
        <v>43549</v>
      </c>
      <c r="V371" t="s">
        <v>24</v>
      </c>
      <c r="X371" t="str">
        <f t="shared" si="52"/>
        <v>Email not provided</v>
      </c>
      <c r="Y371" t="str">
        <f t="shared" si="53"/>
        <v>Email not provided</v>
      </c>
      <c r="Z371" t="str">
        <f t="shared" si="45"/>
        <v>Phone not provided</v>
      </c>
    </row>
    <row r="372" spans="1:26" x14ac:dyDescent="0.25">
      <c r="A372" t="s">
        <v>16</v>
      </c>
      <c r="B372">
        <v>50</v>
      </c>
      <c r="C372">
        <v>65000</v>
      </c>
      <c r="D372" t="s">
        <v>17</v>
      </c>
      <c r="E372" t="s">
        <v>27</v>
      </c>
      <c r="F372" t="s">
        <v>19</v>
      </c>
      <c r="G372" s="2">
        <v>43800</v>
      </c>
      <c r="H372" t="s">
        <v>24</v>
      </c>
      <c r="I372" t="s">
        <v>53</v>
      </c>
      <c r="J372" t="s">
        <v>15</v>
      </c>
      <c r="M372" t="str">
        <f t="shared" si="46"/>
        <v>David</v>
      </c>
      <c r="N372">
        <v>50</v>
      </c>
      <c r="O372">
        <f t="shared" si="47"/>
        <v>50</v>
      </c>
      <c r="P372">
        <v>65000</v>
      </c>
      <c r="Q372">
        <f t="shared" si="48"/>
        <v>65000</v>
      </c>
      <c r="R372" t="str">
        <f t="shared" si="49"/>
        <v>Female</v>
      </c>
      <c r="S372" t="str">
        <f t="shared" si="50"/>
        <v>IT</v>
      </c>
      <c r="T372" t="str">
        <f t="shared" si="51"/>
        <v>Director</v>
      </c>
      <c r="U372" s="2">
        <v>43800</v>
      </c>
      <c r="V372" t="s">
        <v>24</v>
      </c>
      <c r="W372" t="s">
        <v>53</v>
      </c>
      <c r="X372" t="str">
        <f t="shared" si="52"/>
        <v>name@company/org</v>
      </c>
      <c r="Y372" t="str">
        <f t="shared" si="53"/>
        <v>name@company.org</v>
      </c>
      <c r="Z372" t="str">
        <f t="shared" si="45"/>
        <v>Phone not provided</v>
      </c>
    </row>
    <row r="373" spans="1:26" x14ac:dyDescent="0.25">
      <c r="A373" t="s">
        <v>40</v>
      </c>
      <c r="B373">
        <v>25</v>
      </c>
      <c r="C373">
        <v>60000</v>
      </c>
      <c r="D373" t="s">
        <v>32</v>
      </c>
      <c r="E373" t="s">
        <v>18</v>
      </c>
      <c r="F373" t="s">
        <v>37</v>
      </c>
      <c r="G373" s="2">
        <v>43881</v>
      </c>
      <c r="H373" t="s">
        <v>20</v>
      </c>
      <c r="I373" t="s">
        <v>53</v>
      </c>
      <c r="J373" t="s">
        <v>25</v>
      </c>
      <c r="M373" t="str">
        <f t="shared" si="46"/>
        <v>Frank</v>
      </c>
      <c r="N373">
        <v>25</v>
      </c>
      <c r="O373">
        <f t="shared" si="47"/>
        <v>25</v>
      </c>
      <c r="P373">
        <v>60000</v>
      </c>
      <c r="Q373">
        <f t="shared" si="48"/>
        <v>60000</v>
      </c>
      <c r="R373" t="str">
        <f t="shared" si="49"/>
        <v>Other</v>
      </c>
      <c r="S373" t="str">
        <f t="shared" si="50"/>
        <v>Finance</v>
      </c>
      <c r="T373" t="str">
        <f t="shared" si="51"/>
        <v>Assistant</v>
      </c>
      <c r="U373" s="2">
        <v>43881</v>
      </c>
      <c r="V373" t="s">
        <v>20</v>
      </c>
      <c r="W373" t="s">
        <v>53</v>
      </c>
      <c r="X373" t="str">
        <f t="shared" si="52"/>
        <v>name@company/org</v>
      </c>
      <c r="Y373" t="str">
        <f t="shared" si="53"/>
        <v>name@company.org</v>
      </c>
      <c r="Z373" t="str">
        <f t="shared" si="45"/>
        <v>098-765-4321</v>
      </c>
    </row>
    <row r="374" spans="1:26" x14ac:dyDescent="0.25">
      <c r="A374" t="s">
        <v>16</v>
      </c>
      <c r="B374">
        <v>40</v>
      </c>
      <c r="C374">
        <v>60000</v>
      </c>
      <c r="D374" t="s">
        <v>32</v>
      </c>
      <c r="E374" t="s">
        <v>18</v>
      </c>
      <c r="F374" t="s">
        <v>37</v>
      </c>
      <c r="G374" s="2">
        <v>43881</v>
      </c>
      <c r="H374" t="s">
        <v>36</v>
      </c>
      <c r="I374" t="s">
        <v>51</v>
      </c>
      <c r="J374" t="s">
        <v>15</v>
      </c>
      <c r="M374" t="str">
        <f t="shared" si="46"/>
        <v>David</v>
      </c>
      <c r="N374">
        <v>40</v>
      </c>
      <c r="O374">
        <f t="shared" si="47"/>
        <v>40</v>
      </c>
      <c r="P374">
        <v>60000</v>
      </c>
      <c r="Q374">
        <f t="shared" si="48"/>
        <v>60000</v>
      </c>
      <c r="R374" t="str">
        <f t="shared" si="49"/>
        <v>Other</v>
      </c>
      <c r="S374" t="str">
        <f t="shared" si="50"/>
        <v>Finance</v>
      </c>
      <c r="T374" t="str">
        <f t="shared" si="51"/>
        <v>Assistant</v>
      </c>
      <c r="U374" s="2">
        <v>43881</v>
      </c>
      <c r="V374" t="s">
        <v>36</v>
      </c>
      <c r="W374" t="s">
        <v>51</v>
      </c>
      <c r="X374" t="str">
        <f t="shared" si="52"/>
        <v>email@example/com</v>
      </c>
      <c r="Y374" t="str">
        <f t="shared" si="53"/>
        <v>email@example.com</v>
      </c>
      <c r="Z374" t="str">
        <f t="shared" si="45"/>
        <v>Phone not provided</v>
      </c>
    </row>
    <row r="375" spans="1:26" x14ac:dyDescent="0.25">
      <c r="A375" t="s">
        <v>34</v>
      </c>
      <c r="B375">
        <v>30</v>
      </c>
      <c r="C375">
        <v>50000</v>
      </c>
      <c r="D375" t="s">
        <v>11</v>
      </c>
      <c r="E375" t="s">
        <v>27</v>
      </c>
      <c r="F375" t="s">
        <v>19</v>
      </c>
      <c r="G375" s="2">
        <v>43845</v>
      </c>
      <c r="H375" t="s">
        <v>24</v>
      </c>
      <c r="I375" t="s">
        <v>53</v>
      </c>
      <c r="J375" t="s">
        <v>39</v>
      </c>
      <c r="M375" t="str">
        <f t="shared" si="46"/>
        <v>Charlie</v>
      </c>
      <c r="N375">
        <v>30</v>
      </c>
      <c r="O375">
        <f t="shared" si="47"/>
        <v>30</v>
      </c>
      <c r="P375">
        <v>50000</v>
      </c>
      <c r="Q375">
        <f t="shared" si="48"/>
        <v>50000</v>
      </c>
      <c r="R375" t="str">
        <f t="shared" si="49"/>
        <v>Male</v>
      </c>
      <c r="S375" t="str">
        <f t="shared" si="50"/>
        <v>IT</v>
      </c>
      <c r="T375" t="str">
        <f t="shared" si="51"/>
        <v>Director</v>
      </c>
      <c r="U375" s="2">
        <v>43845</v>
      </c>
      <c r="V375" t="s">
        <v>24</v>
      </c>
      <c r="W375" t="s">
        <v>53</v>
      </c>
      <c r="X375" t="str">
        <f t="shared" si="52"/>
        <v>name@company/org</v>
      </c>
      <c r="Y375" t="str">
        <f t="shared" si="53"/>
        <v>name@company.org</v>
      </c>
      <c r="Z375" t="str">
        <f t="shared" si="45"/>
        <v>555-555-5555</v>
      </c>
    </row>
    <row r="376" spans="1:26" x14ac:dyDescent="0.25">
      <c r="A376" t="s">
        <v>10</v>
      </c>
      <c r="B376">
        <v>25</v>
      </c>
      <c r="C376" t="s">
        <v>30</v>
      </c>
      <c r="D376" t="s">
        <v>32</v>
      </c>
      <c r="E376" t="s">
        <v>12</v>
      </c>
      <c r="F376" t="s">
        <v>38</v>
      </c>
      <c r="G376" s="2">
        <v>43549</v>
      </c>
      <c r="H376" t="s">
        <v>20</v>
      </c>
      <c r="I376" t="s">
        <v>15</v>
      </c>
      <c r="J376" t="s">
        <v>29</v>
      </c>
      <c r="M376" t="str">
        <f t="shared" si="46"/>
        <v>Grace</v>
      </c>
      <c r="N376">
        <v>25</v>
      </c>
      <c r="O376">
        <f t="shared" si="47"/>
        <v>25</v>
      </c>
      <c r="P376" t="s">
        <v>30</v>
      </c>
      <c r="Q376">
        <f t="shared" si="48"/>
        <v>60000</v>
      </c>
      <c r="R376" t="str">
        <f t="shared" si="49"/>
        <v>Other</v>
      </c>
      <c r="S376" t="str">
        <f t="shared" si="50"/>
        <v>HR</v>
      </c>
      <c r="T376" t="str">
        <f t="shared" si="51"/>
        <v>Analyst</v>
      </c>
      <c r="U376" s="2">
        <v>43549</v>
      </c>
      <c r="V376" t="s">
        <v>20</v>
      </c>
      <c r="W376" t="s">
        <v>15</v>
      </c>
      <c r="X376" t="str">
        <f t="shared" si="52"/>
        <v>Email not provided</v>
      </c>
      <c r="Y376" t="str">
        <f t="shared" si="53"/>
        <v>Email not provided</v>
      </c>
      <c r="Z376" t="str">
        <f t="shared" si="45"/>
        <v>Phone not provided</v>
      </c>
    </row>
    <row r="377" spans="1:26" x14ac:dyDescent="0.25">
      <c r="A377" t="s">
        <v>22</v>
      </c>
      <c r="B377">
        <v>40</v>
      </c>
      <c r="C377">
        <v>50000</v>
      </c>
      <c r="D377" t="s">
        <v>11</v>
      </c>
      <c r="E377" t="s">
        <v>12</v>
      </c>
      <c r="F377" t="s">
        <v>38</v>
      </c>
      <c r="G377" s="2">
        <v>43845</v>
      </c>
      <c r="H377" t="s">
        <v>36</v>
      </c>
      <c r="I377" t="s">
        <v>51</v>
      </c>
      <c r="J377" t="s">
        <v>39</v>
      </c>
      <c r="M377" t="str">
        <f t="shared" si="46"/>
        <v>Hannah</v>
      </c>
      <c r="N377">
        <v>40</v>
      </c>
      <c r="O377">
        <f t="shared" si="47"/>
        <v>40</v>
      </c>
      <c r="P377">
        <v>50000</v>
      </c>
      <c r="Q377">
        <f t="shared" si="48"/>
        <v>50000</v>
      </c>
      <c r="R377" t="str">
        <f t="shared" si="49"/>
        <v>Male</v>
      </c>
      <c r="S377" t="str">
        <f t="shared" si="50"/>
        <v>HR</v>
      </c>
      <c r="T377" t="str">
        <f t="shared" si="51"/>
        <v>Analyst</v>
      </c>
      <c r="U377" s="2">
        <v>43845</v>
      </c>
      <c r="V377" t="s">
        <v>36</v>
      </c>
      <c r="W377" t="s">
        <v>51</v>
      </c>
      <c r="X377" t="str">
        <f t="shared" si="52"/>
        <v>email@example/com</v>
      </c>
      <c r="Y377" t="str">
        <f t="shared" si="53"/>
        <v>email@example.com</v>
      </c>
      <c r="Z377" t="str">
        <f t="shared" si="45"/>
        <v>555-555-5555</v>
      </c>
    </row>
    <row r="378" spans="1:26" x14ac:dyDescent="0.25">
      <c r="A378" t="s">
        <v>16</v>
      </c>
      <c r="B378">
        <v>30</v>
      </c>
      <c r="C378">
        <v>70000</v>
      </c>
      <c r="D378" t="s">
        <v>32</v>
      </c>
      <c r="E378" t="s">
        <v>12</v>
      </c>
      <c r="F378" t="s">
        <v>38</v>
      </c>
      <c r="G378" s="2">
        <v>43881</v>
      </c>
      <c r="H378" t="s">
        <v>36</v>
      </c>
      <c r="J378" t="s">
        <v>39</v>
      </c>
      <c r="M378" t="str">
        <f t="shared" si="46"/>
        <v>David</v>
      </c>
      <c r="N378">
        <v>30</v>
      </c>
      <c r="O378">
        <f t="shared" si="47"/>
        <v>30</v>
      </c>
      <c r="P378">
        <v>70000</v>
      </c>
      <c r="Q378">
        <f t="shared" si="48"/>
        <v>70000</v>
      </c>
      <c r="R378" t="str">
        <f t="shared" si="49"/>
        <v>Other</v>
      </c>
      <c r="S378" t="str">
        <f t="shared" si="50"/>
        <v>HR</v>
      </c>
      <c r="T378" t="str">
        <f t="shared" si="51"/>
        <v>Analyst</v>
      </c>
      <c r="U378" s="2">
        <v>43881</v>
      </c>
      <c r="V378" t="s">
        <v>36</v>
      </c>
      <c r="X378" t="str">
        <f t="shared" si="52"/>
        <v>Email not provided</v>
      </c>
      <c r="Y378" t="str">
        <f t="shared" si="53"/>
        <v>Email not provided</v>
      </c>
      <c r="Z378" t="str">
        <f t="shared" si="45"/>
        <v>555-555-5555</v>
      </c>
    </row>
    <row r="379" spans="1:26" x14ac:dyDescent="0.25">
      <c r="A379" t="s">
        <v>41</v>
      </c>
      <c r="B379" t="s">
        <v>15</v>
      </c>
      <c r="C379">
        <v>70000</v>
      </c>
      <c r="D379" t="s">
        <v>17</v>
      </c>
      <c r="E379" t="s">
        <v>18</v>
      </c>
      <c r="F379" t="s">
        <v>13</v>
      </c>
      <c r="G379" s="2">
        <v>43881</v>
      </c>
      <c r="H379" t="s">
        <v>14</v>
      </c>
      <c r="I379" t="s">
        <v>51</v>
      </c>
      <c r="J379" t="s">
        <v>25</v>
      </c>
      <c r="M379" t="str">
        <f t="shared" si="46"/>
        <v>Bob</v>
      </c>
      <c r="N379" t="s">
        <v>15</v>
      </c>
      <c r="O379">
        <f t="shared" si="47"/>
        <v>35</v>
      </c>
      <c r="P379">
        <v>70000</v>
      </c>
      <c r="Q379">
        <f t="shared" si="48"/>
        <v>70000</v>
      </c>
      <c r="R379" t="str">
        <f t="shared" si="49"/>
        <v>Female</v>
      </c>
      <c r="S379" t="str">
        <f t="shared" si="50"/>
        <v>Finance</v>
      </c>
      <c r="T379" t="str">
        <f t="shared" si="51"/>
        <v>Manager</v>
      </c>
      <c r="U379" s="2">
        <v>43881</v>
      </c>
      <c r="V379" t="s">
        <v>14</v>
      </c>
      <c r="W379" t="s">
        <v>51</v>
      </c>
      <c r="X379" t="str">
        <f t="shared" si="52"/>
        <v>email@example/com</v>
      </c>
      <c r="Y379" t="str">
        <f t="shared" si="53"/>
        <v>email@example.com</v>
      </c>
      <c r="Z379" t="str">
        <f t="shared" si="45"/>
        <v>098-765-4321</v>
      </c>
    </row>
    <row r="380" spans="1:26" x14ac:dyDescent="0.25">
      <c r="A380" t="s">
        <v>31</v>
      </c>
      <c r="B380">
        <v>50</v>
      </c>
      <c r="C380">
        <v>55000</v>
      </c>
      <c r="D380" t="s">
        <v>11</v>
      </c>
      <c r="E380" t="s">
        <v>33</v>
      </c>
      <c r="F380" t="s">
        <v>19</v>
      </c>
      <c r="G380" s="1">
        <v>43195</v>
      </c>
      <c r="H380" t="s">
        <v>36</v>
      </c>
      <c r="I380" t="s">
        <v>51</v>
      </c>
      <c r="J380" t="s">
        <v>21</v>
      </c>
      <c r="M380" t="str">
        <f t="shared" si="46"/>
        <v>Jack</v>
      </c>
      <c r="N380">
        <v>50</v>
      </c>
      <c r="O380">
        <f t="shared" si="47"/>
        <v>50</v>
      </c>
      <c r="P380">
        <v>55000</v>
      </c>
      <c r="Q380">
        <f t="shared" si="48"/>
        <v>55000</v>
      </c>
      <c r="R380" t="str">
        <f t="shared" si="49"/>
        <v>Male</v>
      </c>
      <c r="S380" t="str">
        <f t="shared" si="50"/>
        <v>Marketing</v>
      </c>
      <c r="T380" t="str">
        <f t="shared" si="51"/>
        <v>Director</v>
      </c>
      <c r="U380" s="2">
        <v>43195</v>
      </c>
      <c r="V380" t="s">
        <v>36</v>
      </c>
      <c r="W380" t="s">
        <v>51</v>
      </c>
      <c r="X380" t="str">
        <f t="shared" si="52"/>
        <v>email@example/com</v>
      </c>
      <c r="Y380" t="str">
        <f t="shared" si="53"/>
        <v>email@example.com</v>
      </c>
      <c r="Z380" t="str">
        <f t="shared" si="45"/>
        <v>123-456-7890</v>
      </c>
    </row>
    <row r="381" spans="1:26" x14ac:dyDescent="0.25">
      <c r="A381" t="s">
        <v>34</v>
      </c>
      <c r="B381">
        <v>30</v>
      </c>
      <c r="C381">
        <v>70000</v>
      </c>
      <c r="D381" t="s">
        <v>11</v>
      </c>
      <c r="E381" t="s">
        <v>18</v>
      </c>
      <c r="F381" t="s">
        <v>38</v>
      </c>
      <c r="G381" s="2">
        <v>43800</v>
      </c>
      <c r="H381" t="s">
        <v>24</v>
      </c>
      <c r="I381" t="s">
        <v>52</v>
      </c>
      <c r="J381" t="s">
        <v>39</v>
      </c>
      <c r="M381" t="str">
        <f t="shared" si="46"/>
        <v>Charlie</v>
      </c>
      <c r="N381">
        <v>30</v>
      </c>
      <c r="O381">
        <f t="shared" si="47"/>
        <v>30</v>
      </c>
      <c r="P381">
        <v>70000</v>
      </c>
      <c r="Q381">
        <f t="shared" si="48"/>
        <v>70000</v>
      </c>
      <c r="R381" t="str">
        <f t="shared" si="49"/>
        <v>Male</v>
      </c>
      <c r="S381" t="str">
        <f t="shared" si="50"/>
        <v>Finance</v>
      </c>
      <c r="T381" t="str">
        <f t="shared" si="51"/>
        <v>Analyst</v>
      </c>
      <c r="U381" s="2">
        <v>43800</v>
      </c>
      <c r="V381" t="s">
        <v>24</v>
      </c>
      <c r="W381" t="s">
        <v>52</v>
      </c>
      <c r="X381" t="str">
        <f t="shared" si="52"/>
        <v>user@domain/com</v>
      </c>
      <c r="Y381" t="str">
        <f t="shared" si="53"/>
        <v>user@domain.com</v>
      </c>
      <c r="Z381" t="str">
        <f t="shared" si="45"/>
        <v>555-555-5555</v>
      </c>
    </row>
    <row r="382" spans="1:26" x14ac:dyDescent="0.25">
      <c r="A382" t="s">
        <v>42</v>
      </c>
      <c r="B382">
        <v>35</v>
      </c>
      <c r="C382">
        <v>55000</v>
      </c>
      <c r="D382" t="s">
        <v>17</v>
      </c>
      <c r="E382" t="s">
        <v>33</v>
      </c>
      <c r="F382" t="s">
        <v>37</v>
      </c>
      <c r="G382" s="2">
        <v>43881</v>
      </c>
      <c r="H382" t="s">
        <v>24</v>
      </c>
      <c r="I382" t="s">
        <v>52</v>
      </c>
      <c r="J382" t="s">
        <v>15</v>
      </c>
      <c r="M382" t="str">
        <f t="shared" si="46"/>
        <v>Alice</v>
      </c>
      <c r="N382">
        <v>35</v>
      </c>
      <c r="O382">
        <f t="shared" si="47"/>
        <v>35</v>
      </c>
      <c r="P382">
        <v>55000</v>
      </c>
      <c r="Q382">
        <f t="shared" si="48"/>
        <v>55000</v>
      </c>
      <c r="R382" t="str">
        <f t="shared" si="49"/>
        <v>Female</v>
      </c>
      <c r="S382" t="str">
        <f t="shared" si="50"/>
        <v>Marketing</v>
      </c>
      <c r="T382" t="str">
        <f t="shared" si="51"/>
        <v>Assistant</v>
      </c>
      <c r="U382" s="2">
        <v>43881</v>
      </c>
      <c r="V382" t="s">
        <v>24</v>
      </c>
      <c r="W382" t="s">
        <v>52</v>
      </c>
      <c r="X382" t="str">
        <f t="shared" si="52"/>
        <v>user@domain/com</v>
      </c>
      <c r="Y382" t="str">
        <f t="shared" si="53"/>
        <v>user@domain.com</v>
      </c>
      <c r="Z382" t="str">
        <f t="shared" si="45"/>
        <v>Phone not provided</v>
      </c>
    </row>
    <row r="383" spans="1:26" x14ac:dyDescent="0.25">
      <c r="A383" t="s">
        <v>22</v>
      </c>
      <c r="B383">
        <v>30</v>
      </c>
      <c r="C383">
        <v>65000</v>
      </c>
      <c r="D383" t="s">
        <v>11</v>
      </c>
      <c r="E383" t="s">
        <v>27</v>
      </c>
      <c r="F383" t="s">
        <v>35</v>
      </c>
      <c r="G383" s="2">
        <v>43845</v>
      </c>
      <c r="H383" t="s">
        <v>20</v>
      </c>
      <c r="I383" t="s">
        <v>51</v>
      </c>
      <c r="J383" t="s">
        <v>21</v>
      </c>
      <c r="M383" t="str">
        <f t="shared" si="46"/>
        <v>Hannah</v>
      </c>
      <c r="N383">
        <v>30</v>
      </c>
      <c r="O383">
        <f t="shared" si="47"/>
        <v>30</v>
      </c>
      <c r="P383">
        <v>65000</v>
      </c>
      <c r="Q383">
        <f t="shared" si="48"/>
        <v>65000</v>
      </c>
      <c r="R383" t="str">
        <f t="shared" si="49"/>
        <v>Male</v>
      </c>
      <c r="S383" t="str">
        <f t="shared" si="50"/>
        <v>IT</v>
      </c>
      <c r="T383" t="str">
        <f t="shared" si="51"/>
        <v>Clerk</v>
      </c>
      <c r="U383" s="2">
        <v>43845</v>
      </c>
      <c r="V383" t="s">
        <v>20</v>
      </c>
      <c r="W383" t="s">
        <v>51</v>
      </c>
      <c r="X383" t="str">
        <f t="shared" si="52"/>
        <v>email@example/com</v>
      </c>
      <c r="Y383" t="str">
        <f t="shared" si="53"/>
        <v>email@example.com</v>
      </c>
      <c r="Z383" t="str">
        <f t="shared" si="45"/>
        <v>123-456-7890</v>
      </c>
    </row>
    <row r="384" spans="1:26" x14ac:dyDescent="0.25">
      <c r="A384" t="s">
        <v>34</v>
      </c>
      <c r="B384">
        <v>30</v>
      </c>
      <c r="C384">
        <v>50000</v>
      </c>
      <c r="D384" t="s">
        <v>32</v>
      </c>
      <c r="E384" t="s">
        <v>23</v>
      </c>
      <c r="F384" t="s">
        <v>35</v>
      </c>
      <c r="G384" s="2">
        <v>43845</v>
      </c>
      <c r="H384" t="s">
        <v>20</v>
      </c>
      <c r="I384" t="s">
        <v>53</v>
      </c>
      <c r="J384" t="s">
        <v>15</v>
      </c>
      <c r="M384" t="str">
        <f t="shared" si="46"/>
        <v>Charlie</v>
      </c>
      <c r="N384">
        <v>30</v>
      </c>
      <c r="O384">
        <f t="shared" si="47"/>
        <v>30</v>
      </c>
      <c r="P384">
        <v>50000</v>
      </c>
      <c r="Q384">
        <f t="shared" si="48"/>
        <v>50000</v>
      </c>
      <c r="R384" t="str">
        <f t="shared" si="49"/>
        <v>Other</v>
      </c>
      <c r="S384" t="str">
        <f t="shared" si="50"/>
        <v>Sales</v>
      </c>
      <c r="T384" t="str">
        <f t="shared" si="51"/>
        <v>Clerk</v>
      </c>
      <c r="U384" s="2">
        <v>43845</v>
      </c>
      <c r="V384" t="s">
        <v>20</v>
      </c>
      <c r="W384" t="s">
        <v>53</v>
      </c>
      <c r="X384" t="str">
        <f t="shared" si="52"/>
        <v>name@company/org</v>
      </c>
      <c r="Y384" t="str">
        <f t="shared" si="53"/>
        <v>name@company.org</v>
      </c>
      <c r="Z384" t="str">
        <f t="shared" si="45"/>
        <v>Phone not provided</v>
      </c>
    </row>
    <row r="385" spans="1:26" x14ac:dyDescent="0.25">
      <c r="A385" t="s">
        <v>31</v>
      </c>
      <c r="B385">
        <v>50</v>
      </c>
      <c r="C385">
        <v>65000</v>
      </c>
      <c r="D385" t="s">
        <v>32</v>
      </c>
      <c r="E385" t="s">
        <v>33</v>
      </c>
      <c r="F385" t="s">
        <v>38</v>
      </c>
      <c r="G385" s="2">
        <v>43800</v>
      </c>
      <c r="H385" t="s">
        <v>36</v>
      </c>
      <c r="I385" t="s">
        <v>52</v>
      </c>
      <c r="J385" t="s">
        <v>15</v>
      </c>
      <c r="M385" t="str">
        <f t="shared" si="46"/>
        <v>Jack</v>
      </c>
      <c r="N385">
        <v>50</v>
      </c>
      <c r="O385">
        <f t="shared" si="47"/>
        <v>50</v>
      </c>
      <c r="P385">
        <v>65000</v>
      </c>
      <c r="Q385">
        <f t="shared" si="48"/>
        <v>65000</v>
      </c>
      <c r="R385" t="str">
        <f t="shared" si="49"/>
        <v>Other</v>
      </c>
      <c r="S385" t="str">
        <f t="shared" si="50"/>
        <v>Marketing</v>
      </c>
      <c r="T385" t="str">
        <f t="shared" si="51"/>
        <v>Analyst</v>
      </c>
      <c r="U385" s="2">
        <v>43800</v>
      </c>
      <c r="V385" t="s">
        <v>36</v>
      </c>
      <c r="W385" t="s">
        <v>52</v>
      </c>
      <c r="X385" t="str">
        <f t="shared" si="52"/>
        <v>user@domain/com</v>
      </c>
      <c r="Y385" t="str">
        <f t="shared" si="53"/>
        <v>user@domain.com</v>
      </c>
      <c r="Z385" t="str">
        <f t="shared" si="45"/>
        <v>Phone not provided</v>
      </c>
    </row>
    <row r="386" spans="1:26" x14ac:dyDescent="0.25">
      <c r="A386" t="s">
        <v>10</v>
      </c>
      <c r="B386">
        <v>35</v>
      </c>
      <c r="C386">
        <v>70000</v>
      </c>
      <c r="D386" t="s">
        <v>11</v>
      </c>
      <c r="E386" t="s">
        <v>12</v>
      </c>
      <c r="F386" t="s">
        <v>35</v>
      </c>
      <c r="G386" s="2">
        <v>43800</v>
      </c>
      <c r="H386" t="s">
        <v>28</v>
      </c>
      <c r="J386" t="s">
        <v>21</v>
      </c>
      <c r="M386" t="str">
        <f t="shared" si="46"/>
        <v>Grace</v>
      </c>
      <c r="N386">
        <v>35</v>
      </c>
      <c r="O386">
        <f t="shared" si="47"/>
        <v>35</v>
      </c>
      <c r="P386">
        <v>70000</v>
      </c>
      <c r="Q386">
        <f t="shared" si="48"/>
        <v>70000</v>
      </c>
      <c r="R386" t="str">
        <f t="shared" si="49"/>
        <v>Male</v>
      </c>
      <c r="S386" t="str">
        <f t="shared" si="50"/>
        <v>HR</v>
      </c>
      <c r="T386" t="str">
        <f t="shared" si="51"/>
        <v>Clerk</v>
      </c>
      <c r="U386" s="2">
        <v>43800</v>
      </c>
      <c r="V386" t="s">
        <v>28</v>
      </c>
      <c r="X386" t="str">
        <f t="shared" si="52"/>
        <v>Email not provided</v>
      </c>
      <c r="Y386" t="str">
        <f t="shared" si="53"/>
        <v>Email not provided</v>
      </c>
      <c r="Z386" t="str">
        <f t="shared" ref="Z386:Z449" si="54">IF(OR(TRIM(J386)="", LOWER(J386)="nan"), "Phone not provided", TRIM(J386))</f>
        <v>123-456-7890</v>
      </c>
    </row>
    <row r="387" spans="1:26" x14ac:dyDescent="0.25">
      <c r="A387" t="s">
        <v>31</v>
      </c>
      <c r="B387">
        <v>40</v>
      </c>
      <c r="C387">
        <v>65000</v>
      </c>
      <c r="D387" t="s">
        <v>32</v>
      </c>
      <c r="E387" t="s">
        <v>18</v>
      </c>
      <c r="F387" t="s">
        <v>35</v>
      </c>
      <c r="G387" s="1">
        <v>43195</v>
      </c>
      <c r="H387" t="s">
        <v>14</v>
      </c>
      <c r="I387" t="s">
        <v>15</v>
      </c>
      <c r="J387" t="s">
        <v>21</v>
      </c>
      <c r="M387" t="str">
        <f t="shared" ref="M387:M450" si="55">PROPER(TRIM(CLEAN(A387:A1386)))</f>
        <v>Jack</v>
      </c>
      <c r="N387">
        <v>40</v>
      </c>
      <c r="O387">
        <f t="shared" ref="O387:O450" si="56">IF(ISNUMBER(N387),N387,MEDIAN($N$2:$N$1001))</f>
        <v>40</v>
      </c>
      <c r="P387">
        <v>65000</v>
      </c>
      <c r="Q387">
        <f t="shared" ref="Q387:Q450" si="57">IF(ISNUMBER(P387),P387,MEDIAN(P387:P1386))</f>
        <v>65000</v>
      </c>
      <c r="R387" t="str">
        <f t="shared" ref="R387:R450" si="58">PROPER(TRIM(CLEAN(D387:D1386)))</f>
        <v>Other</v>
      </c>
      <c r="S387" t="str">
        <f t="shared" ref="S387:S450" si="59">TRIM(CLEAN(E387:E1386))</f>
        <v>Finance</v>
      </c>
      <c r="T387" t="str">
        <f t="shared" ref="T387:T450" si="60">TRIM(CLEAN(F387:F1386))</f>
        <v>Clerk</v>
      </c>
      <c r="U387" s="2">
        <v>43195</v>
      </c>
      <c r="V387" t="s">
        <v>14</v>
      </c>
      <c r="W387" t="s">
        <v>15</v>
      </c>
      <c r="X387" t="str">
        <f t="shared" ref="X387:X450" si="61">IF(
   OR(TRIM(W387)="",LOWER(W387)="nan"),
   "Email not provided",
   W387
)</f>
        <v>Email not provided</v>
      </c>
      <c r="Y387" t="str">
        <f t="shared" ref="Y387:Y450" si="62">SUBSTITUTE(X387,"/",".")</f>
        <v>Email not provided</v>
      </c>
      <c r="Z387" t="str">
        <f t="shared" si="54"/>
        <v>123-456-7890</v>
      </c>
    </row>
    <row r="388" spans="1:26" x14ac:dyDescent="0.25">
      <c r="A388" t="s">
        <v>26</v>
      </c>
      <c r="B388">
        <v>40</v>
      </c>
      <c r="C388">
        <v>65000</v>
      </c>
      <c r="D388" t="s">
        <v>11</v>
      </c>
      <c r="E388" t="s">
        <v>27</v>
      </c>
      <c r="F388" t="s">
        <v>13</v>
      </c>
      <c r="G388" s="2">
        <v>43549</v>
      </c>
      <c r="H388" t="s">
        <v>28</v>
      </c>
      <c r="I388" t="s">
        <v>52</v>
      </c>
      <c r="J388" t="s">
        <v>15</v>
      </c>
      <c r="M388" t="str">
        <f t="shared" si="55"/>
        <v>Eve</v>
      </c>
      <c r="N388">
        <v>40</v>
      </c>
      <c r="O388">
        <f t="shared" si="56"/>
        <v>40</v>
      </c>
      <c r="P388">
        <v>65000</v>
      </c>
      <c r="Q388">
        <f t="shared" si="57"/>
        <v>65000</v>
      </c>
      <c r="R388" t="str">
        <f t="shared" si="58"/>
        <v>Male</v>
      </c>
      <c r="S388" t="str">
        <f t="shared" si="59"/>
        <v>IT</v>
      </c>
      <c r="T388" t="str">
        <f t="shared" si="60"/>
        <v>Manager</v>
      </c>
      <c r="U388" s="2">
        <v>43549</v>
      </c>
      <c r="V388" t="s">
        <v>28</v>
      </c>
      <c r="W388" t="s">
        <v>52</v>
      </c>
      <c r="X388" t="str">
        <f t="shared" si="61"/>
        <v>user@domain/com</v>
      </c>
      <c r="Y388" t="str">
        <f t="shared" si="62"/>
        <v>user@domain.com</v>
      </c>
      <c r="Z388" t="str">
        <f t="shared" si="54"/>
        <v>Phone not provided</v>
      </c>
    </row>
    <row r="389" spans="1:26" x14ac:dyDescent="0.25">
      <c r="A389" t="s">
        <v>31</v>
      </c>
      <c r="B389">
        <v>30</v>
      </c>
      <c r="C389">
        <v>65000</v>
      </c>
      <c r="D389" t="s">
        <v>17</v>
      </c>
      <c r="E389" t="s">
        <v>12</v>
      </c>
      <c r="F389" t="s">
        <v>37</v>
      </c>
      <c r="G389" s="2">
        <v>43845</v>
      </c>
      <c r="H389" t="s">
        <v>36</v>
      </c>
      <c r="I389" t="s">
        <v>51</v>
      </c>
      <c r="J389" t="s">
        <v>25</v>
      </c>
      <c r="M389" t="str">
        <f t="shared" si="55"/>
        <v>Jack</v>
      </c>
      <c r="N389">
        <v>30</v>
      </c>
      <c r="O389">
        <f t="shared" si="56"/>
        <v>30</v>
      </c>
      <c r="P389">
        <v>65000</v>
      </c>
      <c r="Q389">
        <f t="shared" si="57"/>
        <v>65000</v>
      </c>
      <c r="R389" t="str">
        <f t="shared" si="58"/>
        <v>Female</v>
      </c>
      <c r="S389" t="str">
        <f t="shared" si="59"/>
        <v>HR</v>
      </c>
      <c r="T389" t="str">
        <f t="shared" si="60"/>
        <v>Assistant</v>
      </c>
      <c r="U389" s="2">
        <v>43845</v>
      </c>
      <c r="V389" t="s">
        <v>36</v>
      </c>
      <c r="W389" t="s">
        <v>51</v>
      </c>
      <c r="X389" t="str">
        <f t="shared" si="61"/>
        <v>email@example/com</v>
      </c>
      <c r="Y389" t="str">
        <f t="shared" si="62"/>
        <v>email@example.com</v>
      </c>
      <c r="Z389" t="str">
        <f t="shared" si="54"/>
        <v>098-765-4321</v>
      </c>
    </row>
    <row r="390" spans="1:26" x14ac:dyDescent="0.25">
      <c r="A390" t="s">
        <v>26</v>
      </c>
      <c r="B390">
        <v>35</v>
      </c>
      <c r="C390">
        <v>70000</v>
      </c>
      <c r="D390" t="s">
        <v>11</v>
      </c>
      <c r="E390" t="s">
        <v>27</v>
      </c>
      <c r="F390" t="s">
        <v>37</v>
      </c>
      <c r="G390" s="2">
        <v>43800</v>
      </c>
      <c r="H390" t="s">
        <v>36</v>
      </c>
      <c r="I390" t="s">
        <v>53</v>
      </c>
      <c r="J390" t="s">
        <v>29</v>
      </c>
      <c r="M390" t="str">
        <f t="shared" si="55"/>
        <v>Eve</v>
      </c>
      <c r="N390">
        <v>35</v>
      </c>
      <c r="O390">
        <f t="shared" si="56"/>
        <v>35</v>
      </c>
      <c r="P390">
        <v>70000</v>
      </c>
      <c r="Q390">
        <f t="shared" si="57"/>
        <v>70000</v>
      </c>
      <c r="R390" t="str">
        <f t="shared" si="58"/>
        <v>Male</v>
      </c>
      <c r="S390" t="str">
        <f t="shared" si="59"/>
        <v>IT</v>
      </c>
      <c r="T390" t="str">
        <f t="shared" si="60"/>
        <v>Assistant</v>
      </c>
      <c r="U390" s="2">
        <v>43800</v>
      </c>
      <c r="V390" t="s">
        <v>36</v>
      </c>
      <c r="W390" t="s">
        <v>53</v>
      </c>
      <c r="X390" t="str">
        <f t="shared" si="61"/>
        <v>name@company/org</v>
      </c>
      <c r="Y390" t="str">
        <f t="shared" si="62"/>
        <v>name@company.org</v>
      </c>
      <c r="Z390" t="str">
        <f t="shared" si="54"/>
        <v>Phone not provided</v>
      </c>
    </row>
    <row r="391" spans="1:26" x14ac:dyDescent="0.25">
      <c r="A391" t="s">
        <v>10</v>
      </c>
      <c r="B391">
        <v>35</v>
      </c>
      <c r="C391" t="s">
        <v>30</v>
      </c>
      <c r="D391" t="s">
        <v>17</v>
      </c>
      <c r="E391" t="s">
        <v>23</v>
      </c>
      <c r="F391" t="s">
        <v>13</v>
      </c>
      <c r="G391" s="2">
        <v>43845</v>
      </c>
      <c r="H391" t="s">
        <v>28</v>
      </c>
      <c r="I391" t="s">
        <v>15</v>
      </c>
      <c r="J391" t="s">
        <v>29</v>
      </c>
      <c r="M391" t="str">
        <f t="shared" si="55"/>
        <v>Grace</v>
      </c>
      <c r="N391">
        <v>35</v>
      </c>
      <c r="O391">
        <f t="shared" si="56"/>
        <v>35</v>
      </c>
      <c r="P391" t="s">
        <v>30</v>
      </c>
      <c r="Q391">
        <f t="shared" si="57"/>
        <v>60000</v>
      </c>
      <c r="R391" t="str">
        <f t="shared" si="58"/>
        <v>Female</v>
      </c>
      <c r="S391" t="str">
        <f t="shared" si="59"/>
        <v>Sales</v>
      </c>
      <c r="T391" t="str">
        <f t="shared" si="60"/>
        <v>Manager</v>
      </c>
      <c r="U391" s="2">
        <v>43845</v>
      </c>
      <c r="V391" t="s">
        <v>28</v>
      </c>
      <c r="W391" t="s">
        <v>15</v>
      </c>
      <c r="X391" t="str">
        <f t="shared" si="61"/>
        <v>Email not provided</v>
      </c>
      <c r="Y391" t="str">
        <f t="shared" si="62"/>
        <v>Email not provided</v>
      </c>
      <c r="Z391" t="str">
        <f t="shared" si="54"/>
        <v>Phone not provided</v>
      </c>
    </row>
    <row r="392" spans="1:26" x14ac:dyDescent="0.25">
      <c r="A392" t="s">
        <v>43</v>
      </c>
      <c r="B392">
        <v>50</v>
      </c>
      <c r="C392">
        <v>65000</v>
      </c>
      <c r="D392" t="s">
        <v>32</v>
      </c>
      <c r="E392" t="s">
        <v>18</v>
      </c>
      <c r="F392" t="s">
        <v>13</v>
      </c>
      <c r="G392" s="2">
        <v>43800</v>
      </c>
      <c r="H392" t="s">
        <v>14</v>
      </c>
      <c r="I392" t="s">
        <v>52</v>
      </c>
      <c r="J392" t="s">
        <v>25</v>
      </c>
      <c r="M392" t="str">
        <f t="shared" si="55"/>
        <v>Ivy</v>
      </c>
      <c r="N392">
        <v>50</v>
      </c>
      <c r="O392">
        <f t="shared" si="56"/>
        <v>50</v>
      </c>
      <c r="P392">
        <v>65000</v>
      </c>
      <c r="Q392">
        <f t="shared" si="57"/>
        <v>65000</v>
      </c>
      <c r="R392" t="str">
        <f t="shared" si="58"/>
        <v>Other</v>
      </c>
      <c r="S392" t="str">
        <f t="shared" si="59"/>
        <v>Finance</v>
      </c>
      <c r="T392" t="str">
        <f t="shared" si="60"/>
        <v>Manager</v>
      </c>
      <c r="U392" s="2">
        <v>43800</v>
      </c>
      <c r="V392" t="s">
        <v>14</v>
      </c>
      <c r="W392" t="s">
        <v>52</v>
      </c>
      <c r="X392" t="str">
        <f t="shared" si="61"/>
        <v>user@domain/com</v>
      </c>
      <c r="Y392" t="str">
        <f t="shared" si="62"/>
        <v>user@domain.com</v>
      </c>
      <c r="Z392" t="str">
        <f t="shared" si="54"/>
        <v>098-765-4321</v>
      </c>
    </row>
    <row r="393" spans="1:26" x14ac:dyDescent="0.25">
      <c r="A393" t="s">
        <v>26</v>
      </c>
      <c r="B393" t="s">
        <v>15</v>
      </c>
      <c r="C393">
        <v>55000</v>
      </c>
      <c r="D393" t="s">
        <v>17</v>
      </c>
      <c r="E393" t="s">
        <v>18</v>
      </c>
      <c r="F393" t="s">
        <v>35</v>
      </c>
      <c r="G393" s="2">
        <v>43881</v>
      </c>
      <c r="H393" t="s">
        <v>28</v>
      </c>
      <c r="I393" t="s">
        <v>53</v>
      </c>
      <c r="J393" t="s">
        <v>21</v>
      </c>
      <c r="M393" t="str">
        <f t="shared" si="55"/>
        <v>Eve</v>
      </c>
      <c r="N393" t="s">
        <v>15</v>
      </c>
      <c r="O393">
        <f t="shared" si="56"/>
        <v>35</v>
      </c>
      <c r="P393">
        <v>55000</v>
      </c>
      <c r="Q393">
        <f t="shared" si="57"/>
        <v>55000</v>
      </c>
      <c r="R393" t="str">
        <f t="shared" si="58"/>
        <v>Female</v>
      </c>
      <c r="S393" t="str">
        <f t="shared" si="59"/>
        <v>Finance</v>
      </c>
      <c r="T393" t="str">
        <f t="shared" si="60"/>
        <v>Clerk</v>
      </c>
      <c r="U393" s="2">
        <v>43881</v>
      </c>
      <c r="V393" t="s">
        <v>28</v>
      </c>
      <c r="W393" t="s">
        <v>53</v>
      </c>
      <c r="X393" t="str">
        <f t="shared" si="61"/>
        <v>name@company/org</v>
      </c>
      <c r="Y393" t="str">
        <f t="shared" si="62"/>
        <v>name@company.org</v>
      </c>
      <c r="Z393" t="str">
        <f t="shared" si="54"/>
        <v>123-456-7890</v>
      </c>
    </row>
    <row r="394" spans="1:26" x14ac:dyDescent="0.25">
      <c r="A394" t="s">
        <v>42</v>
      </c>
      <c r="B394">
        <v>40</v>
      </c>
      <c r="C394">
        <v>70000</v>
      </c>
      <c r="D394" t="s">
        <v>32</v>
      </c>
      <c r="E394" t="s">
        <v>23</v>
      </c>
      <c r="F394" t="s">
        <v>19</v>
      </c>
      <c r="G394" s="2">
        <v>43845</v>
      </c>
      <c r="H394" t="s">
        <v>20</v>
      </c>
      <c r="I394" t="s">
        <v>53</v>
      </c>
      <c r="J394" t="s">
        <v>15</v>
      </c>
      <c r="M394" t="str">
        <f t="shared" si="55"/>
        <v>Alice</v>
      </c>
      <c r="N394">
        <v>40</v>
      </c>
      <c r="O394">
        <f t="shared" si="56"/>
        <v>40</v>
      </c>
      <c r="P394">
        <v>70000</v>
      </c>
      <c r="Q394">
        <f t="shared" si="57"/>
        <v>70000</v>
      </c>
      <c r="R394" t="str">
        <f t="shared" si="58"/>
        <v>Other</v>
      </c>
      <c r="S394" t="str">
        <f t="shared" si="59"/>
        <v>Sales</v>
      </c>
      <c r="T394" t="str">
        <f t="shared" si="60"/>
        <v>Director</v>
      </c>
      <c r="U394" s="2">
        <v>43845</v>
      </c>
      <c r="V394" t="s">
        <v>20</v>
      </c>
      <c r="W394" t="s">
        <v>53</v>
      </c>
      <c r="X394" t="str">
        <f t="shared" si="61"/>
        <v>name@company/org</v>
      </c>
      <c r="Y394" t="str">
        <f t="shared" si="62"/>
        <v>name@company.org</v>
      </c>
      <c r="Z394" t="str">
        <f t="shared" si="54"/>
        <v>Phone not provided</v>
      </c>
    </row>
    <row r="395" spans="1:26" x14ac:dyDescent="0.25">
      <c r="A395" t="s">
        <v>31</v>
      </c>
      <c r="B395">
        <v>50</v>
      </c>
      <c r="C395">
        <v>65000</v>
      </c>
      <c r="D395" t="s">
        <v>11</v>
      </c>
      <c r="E395" t="s">
        <v>18</v>
      </c>
      <c r="F395" t="s">
        <v>35</v>
      </c>
      <c r="G395" s="2">
        <v>43881</v>
      </c>
      <c r="H395" t="s">
        <v>24</v>
      </c>
      <c r="I395" t="s">
        <v>53</v>
      </c>
      <c r="J395" t="s">
        <v>29</v>
      </c>
      <c r="M395" t="str">
        <f t="shared" si="55"/>
        <v>Jack</v>
      </c>
      <c r="N395">
        <v>50</v>
      </c>
      <c r="O395">
        <f t="shared" si="56"/>
        <v>50</v>
      </c>
      <c r="P395">
        <v>65000</v>
      </c>
      <c r="Q395">
        <f t="shared" si="57"/>
        <v>65000</v>
      </c>
      <c r="R395" t="str">
        <f t="shared" si="58"/>
        <v>Male</v>
      </c>
      <c r="S395" t="str">
        <f t="shared" si="59"/>
        <v>Finance</v>
      </c>
      <c r="T395" t="str">
        <f t="shared" si="60"/>
        <v>Clerk</v>
      </c>
      <c r="U395" s="2">
        <v>43881</v>
      </c>
      <c r="V395" t="s">
        <v>24</v>
      </c>
      <c r="W395" t="s">
        <v>53</v>
      </c>
      <c r="X395" t="str">
        <f t="shared" si="61"/>
        <v>name@company/org</v>
      </c>
      <c r="Y395" t="str">
        <f t="shared" si="62"/>
        <v>name@company.org</v>
      </c>
      <c r="Z395" t="str">
        <f t="shared" si="54"/>
        <v>Phone not provided</v>
      </c>
    </row>
    <row r="396" spans="1:26" x14ac:dyDescent="0.25">
      <c r="A396" t="s">
        <v>31</v>
      </c>
      <c r="B396">
        <v>25</v>
      </c>
      <c r="C396" t="s">
        <v>30</v>
      </c>
      <c r="D396" t="s">
        <v>32</v>
      </c>
      <c r="E396" t="s">
        <v>33</v>
      </c>
      <c r="F396" t="s">
        <v>13</v>
      </c>
      <c r="G396" s="2">
        <v>43845</v>
      </c>
      <c r="H396" t="s">
        <v>20</v>
      </c>
      <c r="I396" t="s">
        <v>51</v>
      </c>
      <c r="J396" t="s">
        <v>15</v>
      </c>
      <c r="M396" t="str">
        <f t="shared" si="55"/>
        <v>Jack</v>
      </c>
      <c r="N396">
        <v>25</v>
      </c>
      <c r="O396">
        <f t="shared" si="56"/>
        <v>25</v>
      </c>
      <c r="P396" t="s">
        <v>30</v>
      </c>
      <c r="Q396">
        <f t="shared" si="57"/>
        <v>60000</v>
      </c>
      <c r="R396" t="str">
        <f t="shared" si="58"/>
        <v>Other</v>
      </c>
      <c r="S396" t="str">
        <f t="shared" si="59"/>
        <v>Marketing</v>
      </c>
      <c r="T396" t="str">
        <f t="shared" si="60"/>
        <v>Manager</v>
      </c>
      <c r="U396" s="2">
        <v>43845</v>
      </c>
      <c r="V396" t="s">
        <v>20</v>
      </c>
      <c r="W396" t="s">
        <v>51</v>
      </c>
      <c r="X396" t="str">
        <f t="shared" si="61"/>
        <v>email@example/com</v>
      </c>
      <c r="Y396" t="str">
        <f t="shared" si="62"/>
        <v>email@example.com</v>
      </c>
      <c r="Z396" t="str">
        <f t="shared" si="54"/>
        <v>Phone not provided</v>
      </c>
    </row>
    <row r="397" spans="1:26" x14ac:dyDescent="0.25">
      <c r="A397" t="s">
        <v>42</v>
      </c>
      <c r="B397">
        <v>40</v>
      </c>
      <c r="C397">
        <v>70000</v>
      </c>
      <c r="D397" t="s">
        <v>11</v>
      </c>
      <c r="E397" t="s">
        <v>27</v>
      </c>
      <c r="F397" t="s">
        <v>37</v>
      </c>
      <c r="G397" s="2">
        <v>43549</v>
      </c>
      <c r="H397" t="s">
        <v>24</v>
      </c>
      <c r="J397" t="s">
        <v>25</v>
      </c>
      <c r="M397" t="str">
        <f t="shared" si="55"/>
        <v>Alice</v>
      </c>
      <c r="N397">
        <v>40</v>
      </c>
      <c r="O397">
        <f t="shared" si="56"/>
        <v>40</v>
      </c>
      <c r="P397">
        <v>70000</v>
      </c>
      <c r="Q397">
        <f t="shared" si="57"/>
        <v>70000</v>
      </c>
      <c r="R397" t="str">
        <f t="shared" si="58"/>
        <v>Male</v>
      </c>
      <c r="S397" t="str">
        <f t="shared" si="59"/>
        <v>IT</v>
      </c>
      <c r="T397" t="str">
        <f t="shared" si="60"/>
        <v>Assistant</v>
      </c>
      <c r="U397" s="2">
        <v>43549</v>
      </c>
      <c r="V397" t="s">
        <v>24</v>
      </c>
      <c r="X397" t="str">
        <f t="shared" si="61"/>
        <v>Email not provided</v>
      </c>
      <c r="Y397" t="str">
        <f t="shared" si="62"/>
        <v>Email not provided</v>
      </c>
      <c r="Z397" t="str">
        <f t="shared" si="54"/>
        <v>098-765-4321</v>
      </c>
    </row>
    <row r="398" spans="1:26" x14ac:dyDescent="0.25">
      <c r="A398" t="s">
        <v>41</v>
      </c>
      <c r="B398">
        <v>50</v>
      </c>
      <c r="C398">
        <v>60000</v>
      </c>
      <c r="D398" t="s">
        <v>11</v>
      </c>
      <c r="E398" t="s">
        <v>12</v>
      </c>
      <c r="F398" t="s">
        <v>35</v>
      </c>
      <c r="G398" s="1">
        <v>43195</v>
      </c>
      <c r="H398" t="s">
        <v>36</v>
      </c>
      <c r="I398" t="s">
        <v>53</v>
      </c>
      <c r="J398" t="s">
        <v>15</v>
      </c>
      <c r="M398" t="str">
        <f t="shared" si="55"/>
        <v>Bob</v>
      </c>
      <c r="N398">
        <v>50</v>
      </c>
      <c r="O398">
        <f t="shared" si="56"/>
        <v>50</v>
      </c>
      <c r="P398">
        <v>60000</v>
      </c>
      <c r="Q398">
        <f t="shared" si="57"/>
        <v>60000</v>
      </c>
      <c r="R398" t="str">
        <f t="shared" si="58"/>
        <v>Male</v>
      </c>
      <c r="S398" t="str">
        <f t="shared" si="59"/>
        <v>HR</v>
      </c>
      <c r="T398" t="str">
        <f t="shared" si="60"/>
        <v>Clerk</v>
      </c>
      <c r="U398" s="2">
        <v>43195</v>
      </c>
      <c r="V398" t="s">
        <v>36</v>
      </c>
      <c r="W398" t="s">
        <v>53</v>
      </c>
      <c r="X398" t="str">
        <f t="shared" si="61"/>
        <v>name@company/org</v>
      </c>
      <c r="Y398" t="str">
        <f t="shared" si="62"/>
        <v>name@company.org</v>
      </c>
      <c r="Z398" t="str">
        <f t="shared" si="54"/>
        <v>Phone not provided</v>
      </c>
    </row>
    <row r="399" spans="1:26" x14ac:dyDescent="0.25">
      <c r="A399" t="s">
        <v>40</v>
      </c>
      <c r="B399">
        <v>40</v>
      </c>
      <c r="C399" t="s">
        <v>30</v>
      </c>
      <c r="D399" t="s">
        <v>17</v>
      </c>
      <c r="E399" t="s">
        <v>23</v>
      </c>
      <c r="F399" t="s">
        <v>19</v>
      </c>
      <c r="G399" s="2">
        <v>43881</v>
      </c>
      <c r="H399" t="s">
        <v>14</v>
      </c>
      <c r="I399" t="s">
        <v>15</v>
      </c>
      <c r="J399" t="s">
        <v>25</v>
      </c>
      <c r="M399" t="str">
        <f t="shared" si="55"/>
        <v>Frank</v>
      </c>
      <c r="N399">
        <v>40</v>
      </c>
      <c r="O399">
        <f t="shared" si="56"/>
        <v>40</v>
      </c>
      <c r="P399" t="s">
        <v>30</v>
      </c>
      <c r="Q399">
        <f t="shared" si="57"/>
        <v>60000</v>
      </c>
      <c r="R399" t="str">
        <f t="shared" si="58"/>
        <v>Female</v>
      </c>
      <c r="S399" t="str">
        <f t="shared" si="59"/>
        <v>Sales</v>
      </c>
      <c r="T399" t="str">
        <f t="shared" si="60"/>
        <v>Director</v>
      </c>
      <c r="U399" s="2">
        <v>43881</v>
      </c>
      <c r="V399" t="s">
        <v>14</v>
      </c>
      <c r="W399" t="s">
        <v>15</v>
      </c>
      <c r="X399" t="str">
        <f t="shared" si="61"/>
        <v>Email not provided</v>
      </c>
      <c r="Y399" t="str">
        <f t="shared" si="62"/>
        <v>Email not provided</v>
      </c>
      <c r="Z399" t="str">
        <f t="shared" si="54"/>
        <v>098-765-4321</v>
      </c>
    </row>
    <row r="400" spans="1:26" x14ac:dyDescent="0.25">
      <c r="A400" t="s">
        <v>43</v>
      </c>
      <c r="B400" t="s">
        <v>15</v>
      </c>
      <c r="C400">
        <v>55000</v>
      </c>
      <c r="D400" t="s">
        <v>17</v>
      </c>
      <c r="E400" t="s">
        <v>33</v>
      </c>
      <c r="F400" t="s">
        <v>35</v>
      </c>
      <c r="G400" s="2">
        <v>43800</v>
      </c>
      <c r="H400" t="s">
        <v>28</v>
      </c>
      <c r="I400" t="s">
        <v>52</v>
      </c>
      <c r="J400" t="s">
        <v>21</v>
      </c>
      <c r="M400" t="str">
        <f t="shared" si="55"/>
        <v>Ivy</v>
      </c>
      <c r="N400" t="s">
        <v>15</v>
      </c>
      <c r="O400">
        <f t="shared" si="56"/>
        <v>35</v>
      </c>
      <c r="P400">
        <v>55000</v>
      </c>
      <c r="Q400">
        <f t="shared" si="57"/>
        <v>55000</v>
      </c>
      <c r="R400" t="str">
        <f t="shared" si="58"/>
        <v>Female</v>
      </c>
      <c r="S400" t="str">
        <f t="shared" si="59"/>
        <v>Marketing</v>
      </c>
      <c r="T400" t="str">
        <f t="shared" si="60"/>
        <v>Clerk</v>
      </c>
      <c r="U400" s="2">
        <v>43800</v>
      </c>
      <c r="V400" t="s">
        <v>28</v>
      </c>
      <c r="W400" t="s">
        <v>52</v>
      </c>
      <c r="X400" t="str">
        <f t="shared" si="61"/>
        <v>user@domain/com</v>
      </c>
      <c r="Y400" t="str">
        <f t="shared" si="62"/>
        <v>user@domain.com</v>
      </c>
      <c r="Z400" t="str">
        <f t="shared" si="54"/>
        <v>123-456-7890</v>
      </c>
    </row>
    <row r="401" spans="1:26" x14ac:dyDescent="0.25">
      <c r="A401" t="s">
        <v>22</v>
      </c>
      <c r="B401">
        <v>25</v>
      </c>
      <c r="C401">
        <v>65000</v>
      </c>
      <c r="D401" t="s">
        <v>17</v>
      </c>
      <c r="E401" t="s">
        <v>12</v>
      </c>
      <c r="F401" t="s">
        <v>38</v>
      </c>
      <c r="G401" s="2">
        <v>43549</v>
      </c>
      <c r="H401" t="s">
        <v>14</v>
      </c>
      <c r="I401" t="s">
        <v>15</v>
      </c>
      <c r="J401" t="s">
        <v>25</v>
      </c>
      <c r="M401" t="str">
        <f t="shared" si="55"/>
        <v>Hannah</v>
      </c>
      <c r="N401">
        <v>25</v>
      </c>
      <c r="O401">
        <f t="shared" si="56"/>
        <v>25</v>
      </c>
      <c r="P401">
        <v>65000</v>
      </c>
      <c r="Q401">
        <f t="shared" si="57"/>
        <v>65000</v>
      </c>
      <c r="R401" t="str">
        <f t="shared" si="58"/>
        <v>Female</v>
      </c>
      <c r="S401" t="str">
        <f t="shared" si="59"/>
        <v>HR</v>
      </c>
      <c r="T401" t="str">
        <f t="shared" si="60"/>
        <v>Analyst</v>
      </c>
      <c r="U401" s="2">
        <v>43549</v>
      </c>
      <c r="V401" t="s">
        <v>14</v>
      </c>
      <c r="W401" t="s">
        <v>15</v>
      </c>
      <c r="X401" t="str">
        <f t="shared" si="61"/>
        <v>Email not provided</v>
      </c>
      <c r="Y401" t="str">
        <f t="shared" si="62"/>
        <v>Email not provided</v>
      </c>
      <c r="Z401" t="str">
        <f t="shared" si="54"/>
        <v>098-765-4321</v>
      </c>
    </row>
    <row r="402" spans="1:26" x14ac:dyDescent="0.25">
      <c r="A402" t="s">
        <v>26</v>
      </c>
      <c r="B402" t="s">
        <v>15</v>
      </c>
      <c r="C402">
        <v>60000</v>
      </c>
      <c r="D402" t="s">
        <v>17</v>
      </c>
      <c r="E402" t="s">
        <v>12</v>
      </c>
      <c r="F402" t="s">
        <v>35</v>
      </c>
      <c r="G402" s="2">
        <v>43845</v>
      </c>
      <c r="H402" t="s">
        <v>28</v>
      </c>
      <c r="I402" t="s">
        <v>51</v>
      </c>
      <c r="J402" t="s">
        <v>25</v>
      </c>
      <c r="M402" t="str">
        <f t="shared" si="55"/>
        <v>Eve</v>
      </c>
      <c r="N402" t="s">
        <v>15</v>
      </c>
      <c r="O402">
        <f t="shared" si="56"/>
        <v>35</v>
      </c>
      <c r="P402">
        <v>60000</v>
      </c>
      <c r="Q402">
        <f t="shared" si="57"/>
        <v>60000</v>
      </c>
      <c r="R402" t="str">
        <f t="shared" si="58"/>
        <v>Female</v>
      </c>
      <c r="S402" t="str">
        <f t="shared" si="59"/>
        <v>HR</v>
      </c>
      <c r="T402" t="str">
        <f t="shared" si="60"/>
        <v>Clerk</v>
      </c>
      <c r="U402" s="2">
        <v>43845</v>
      </c>
      <c r="V402" t="s">
        <v>28</v>
      </c>
      <c r="W402" t="s">
        <v>51</v>
      </c>
      <c r="X402" t="str">
        <f t="shared" si="61"/>
        <v>email@example/com</v>
      </c>
      <c r="Y402" t="str">
        <f t="shared" si="62"/>
        <v>email@example.com</v>
      </c>
      <c r="Z402" t="str">
        <f t="shared" si="54"/>
        <v>098-765-4321</v>
      </c>
    </row>
    <row r="403" spans="1:26" x14ac:dyDescent="0.25">
      <c r="A403" t="s">
        <v>42</v>
      </c>
      <c r="B403">
        <v>25</v>
      </c>
      <c r="C403">
        <v>60000</v>
      </c>
      <c r="D403" t="s">
        <v>32</v>
      </c>
      <c r="E403" t="s">
        <v>23</v>
      </c>
      <c r="F403" t="s">
        <v>13</v>
      </c>
      <c r="G403" s="2">
        <v>43881</v>
      </c>
      <c r="H403" t="s">
        <v>20</v>
      </c>
      <c r="I403" t="s">
        <v>51</v>
      </c>
      <c r="J403" t="s">
        <v>29</v>
      </c>
      <c r="M403" t="str">
        <f t="shared" si="55"/>
        <v>Alice</v>
      </c>
      <c r="N403">
        <v>25</v>
      </c>
      <c r="O403">
        <f t="shared" si="56"/>
        <v>25</v>
      </c>
      <c r="P403">
        <v>60000</v>
      </c>
      <c r="Q403">
        <f t="shared" si="57"/>
        <v>60000</v>
      </c>
      <c r="R403" t="str">
        <f t="shared" si="58"/>
        <v>Other</v>
      </c>
      <c r="S403" t="str">
        <f t="shared" si="59"/>
        <v>Sales</v>
      </c>
      <c r="T403" t="str">
        <f t="shared" si="60"/>
        <v>Manager</v>
      </c>
      <c r="U403" s="2">
        <v>43881</v>
      </c>
      <c r="V403" t="s">
        <v>20</v>
      </c>
      <c r="W403" t="s">
        <v>51</v>
      </c>
      <c r="X403" t="str">
        <f t="shared" si="61"/>
        <v>email@example/com</v>
      </c>
      <c r="Y403" t="str">
        <f t="shared" si="62"/>
        <v>email@example.com</v>
      </c>
      <c r="Z403" t="str">
        <f t="shared" si="54"/>
        <v>Phone not provided</v>
      </c>
    </row>
    <row r="404" spans="1:26" x14ac:dyDescent="0.25">
      <c r="A404" t="s">
        <v>10</v>
      </c>
      <c r="B404">
        <v>30</v>
      </c>
      <c r="C404">
        <v>70000</v>
      </c>
      <c r="D404" t="s">
        <v>32</v>
      </c>
      <c r="E404" t="s">
        <v>33</v>
      </c>
      <c r="F404" t="s">
        <v>37</v>
      </c>
      <c r="G404" s="2">
        <v>43845</v>
      </c>
      <c r="H404" t="s">
        <v>20</v>
      </c>
      <c r="I404" t="s">
        <v>15</v>
      </c>
      <c r="J404" t="s">
        <v>15</v>
      </c>
      <c r="M404" t="str">
        <f t="shared" si="55"/>
        <v>Grace</v>
      </c>
      <c r="N404">
        <v>30</v>
      </c>
      <c r="O404">
        <f t="shared" si="56"/>
        <v>30</v>
      </c>
      <c r="P404">
        <v>70000</v>
      </c>
      <c r="Q404">
        <f t="shared" si="57"/>
        <v>70000</v>
      </c>
      <c r="R404" t="str">
        <f t="shared" si="58"/>
        <v>Other</v>
      </c>
      <c r="S404" t="str">
        <f t="shared" si="59"/>
        <v>Marketing</v>
      </c>
      <c r="T404" t="str">
        <f t="shared" si="60"/>
        <v>Assistant</v>
      </c>
      <c r="U404" s="2">
        <v>43845</v>
      </c>
      <c r="V404" t="s">
        <v>20</v>
      </c>
      <c r="W404" t="s">
        <v>15</v>
      </c>
      <c r="X404" t="str">
        <f t="shared" si="61"/>
        <v>Email not provided</v>
      </c>
      <c r="Y404" t="str">
        <f t="shared" si="62"/>
        <v>Email not provided</v>
      </c>
      <c r="Z404" t="str">
        <f t="shared" si="54"/>
        <v>Phone not provided</v>
      </c>
    </row>
    <row r="405" spans="1:26" x14ac:dyDescent="0.25">
      <c r="A405" t="s">
        <v>26</v>
      </c>
      <c r="B405">
        <v>50</v>
      </c>
      <c r="C405">
        <v>60000</v>
      </c>
      <c r="D405" t="s">
        <v>32</v>
      </c>
      <c r="E405" t="s">
        <v>12</v>
      </c>
      <c r="F405" t="s">
        <v>37</v>
      </c>
      <c r="G405" s="2">
        <v>43845</v>
      </c>
      <c r="H405" t="s">
        <v>28</v>
      </c>
      <c r="J405" t="s">
        <v>29</v>
      </c>
      <c r="M405" t="str">
        <f t="shared" si="55"/>
        <v>Eve</v>
      </c>
      <c r="N405">
        <v>50</v>
      </c>
      <c r="O405">
        <f t="shared" si="56"/>
        <v>50</v>
      </c>
      <c r="P405">
        <v>60000</v>
      </c>
      <c r="Q405">
        <f t="shared" si="57"/>
        <v>60000</v>
      </c>
      <c r="R405" t="str">
        <f t="shared" si="58"/>
        <v>Other</v>
      </c>
      <c r="S405" t="str">
        <f t="shared" si="59"/>
        <v>HR</v>
      </c>
      <c r="T405" t="str">
        <f t="shared" si="60"/>
        <v>Assistant</v>
      </c>
      <c r="U405" s="2">
        <v>43845</v>
      </c>
      <c r="V405" t="s">
        <v>28</v>
      </c>
      <c r="X405" t="str">
        <f t="shared" si="61"/>
        <v>Email not provided</v>
      </c>
      <c r="Y405" t="str">
        <f t="shared" si="62"/>
        <v>Email not provided</v>
      </c>
      <c r="Z405" t="str">
        <f t="shared" si="54"/>
        <v>Phone not provided</v>
      </c>
    </row>
    <row r="406" spans="1:26" x14ac:dyDescent="0.25">
      <c r="A406" t="s">
        <v>40</v>
      </c>
      <c r="B406">
        <v>25</v>
      </c>
      <c r="C406">
        <v>55000</v>
      </c>
      <c r="D406" t="s">
        <v>11</v>
      </c>
      <c r="E406" t="s">
        <v>12</v>
      </c>
      <c r="F406" t="s">
        <v>13</v>
      </c>
      <c r="G406" s="2">
        <v>43845</v>
      </c>
      <c r="H406" t="s">
        <v>14</v>
      </c>
      <c r="I406" t="s">
        <v>51</v>
      </c>
      <c r="J406" t="s">
        <v>39</v>
      </c>
      <c r="M406" t="str">
        <f t="shared" si="55"/>
        <v>Frank</v>
      </c>
      <c r="N406">
        <v>25</v>
      </c>
      <c r="O406">
        <f t="shared" si="56"/>
        <v>25</v>
      </c>
      <c r="P406">
        <v>55000</v>
      </c>
      <c r="Q406">
        <f t="shared" si="57"/>
        <v>55000</v>
      </c>
      <c r="R406" t="str">
        <f t="shared" si="58"/>
        <v>Male</v>
      </c>
      <c r="S406" t="str">
        <f t="shared" si="59"/>
        <v>HR</v>
      </c>
      <c r="T406" t="str">
        <f t="shared" si="60"/>
        <v>Manager</v>
      </c>
      <c r="U406" s="2">
        <v>43845</v>
      </c>
      <c r="V406" t="s">
        <v>14</v>
      </c>
      <c r="W406" t="s">
        <v>51</v>
      </c>
      <c r="X406" t="str">
        <f t="shared" si="61"/>
        <v>email@example/com</v>
      </c>
      <c r="Y406" t="str">
        <f t="shared" si="62"/>
        <v>email@example.com</v>
      </c>
      <c r="Z406" t="str">
        <f t="shared" si="54"/>
        <v>555-555-5555</v>
      </c>
    </row>
    <row r="407" spans="1:26" x14ac:dyDescent="0.25">
      <c r="A407" t="s">
        <v>10</v>
      </c>
      <c r="B407" t="s">
        <v>15</v>
      </c>
      <c r="C407">
        <v>55000</v>
      </c>
      <c r="D407" t="s">
        <v>32</v>
      </c>
      <c r="E407" t="s">
        <v>33</v>
      </c>
      <c r="F407" t="s">
        <v>38</v>
      </c>
      <c r="G407" s="1">
        <v>43195</v>
      </c>
      <c r="H407" t="s">
        <v>28</v>
      </c>
      <c r="I407" t="s">
        <v>51</v>
      </c>
      <c r="J407" t="s">
        <v>25</v>
      </c>
      <c r="M407" t="str">
        <f t="shared" si="55"/>
        <v>Grace</v>
      </c>
      <c r="N407" t="s">
        <v>15</v>
      </c>
      <c r="O407">
        <f t="shared" si="56"/>
        <v>35</v>
      </c>
      <c r="P407">
        <v>55000</v>
      </c>
      <c r="Q407">
        <f t="shared" si="57"/>
        <v>55000</v>
      </c>
      <c r="R407" t="str">
        <f t="shared" si="58"/>
        <v>Other</v>
      </c>
      <c r="S407" t="str">
        <f t="shared" si="59"/>
        <v>Marketing</v>
      </c>
      <c r="T407" t="str">
        <f t="shared" si="60"/>
        <v>Analyst</v>
      </c>
      <c r="U407" s="2">
        <v>43195</v>
      </c>
      <c r="V407" t="s">
        <v>28</v>
      </c>
      <c r="W407" t="s">
        <v>51</v>
      </c>
      <c r="X407" t="str">
        <f t="shared" si="61"/>
        <v>email@example/com</v>
      </c>
      <c r="Y407" t="str">
        <f t="shared" si="62"/>
        <v>email@example.com</v>
      </c>
      <c r="Z407" t="str">
        <f t="shared" si="54"/>
        <v>098-765-4321</v>
      </c>
    </row>
    <row r="408" spans="1:26" x14ac:dyDescent="0.25">
      <c r="A408" t="s">
        <v>34</v>
      </c>
      <c r="B408">
        <v>40</v>
      </c>
      <c r="C408">
        <v>50000</v>
      </c>
      <c r="D408" t="s">
        <v>32</v>
      </c>
      <c r="E408" t="s">
        <v>18</v>
      </c>
      <c r="F408" t="s">
        <v>13</v>
      </c>
      <c r="G408" s="1">
        <v>43195</v>
      </c>
      <c r="H408" t="s">
        <v>36</v>
      </c>
      <c r="I408" t="s">
        <v>15</v>
      </c>
      <c r="J408" t="s">
        <v>39</v>
      </c>
      <c r="M408" t="str">
        <f t="shared" si="55"/>
        <v>Charlie</v>
      </c>
      <c r="N408">
        <v>40</v>
      </c>
      <c r="O408">
        <f t="shared" si="56"/>
        <v>40</v>
      </c>
      <c r="P408">
        <v>50000</v>
      </c>
      <c r="Q408">
        <f t="shared" si="57"/>
        <v>50000</v>
      </c>
      <c r="R408" t="str">
        <f t="shared" si="58"/>
        <v>Other</v>
      </c>
      <c r="S408" t="str">
        <f t="shared" si="59"/>
        <v>Finance</v>
      </c>
      <c r="T408" t="str">
        <f t="shared" si="60"/>
        <v>Manager</v>
      </c>
      <c r="U408" s="2">
        <v>43195</v>
      </c>
      <c r="V408" t="s">
        <v>36</v>
      </c>
      <c r="W408" t="s">
        <v>15</v>
      </c>
      <c r="X408" t="str">
        <f t="shared" si="61"/>
        <v>Email not provided</v>
      </c>
      <c r="Y408" t="str">
        <f t="shared" si="62"/>
        <v>Email not provided</v>
      </c>
      <c r="Z408" t="str">
        <f t="shared" si="54"/>
        <v>555-555-5555</v>
      </c>
    </row>
    <row r="409" spans="1:26" x14ac:dyDescent="0.25">
      <c r="A409" t="s">
        <v>31</v>
      </c>
      <c r="B409">
        <v>25</v>
      </c>
      <c r="C409">
        <v>55000</v>
      </c>
      <c r="D409" t="s">
        <v>32</v>
      </c>
      <c r="E409" t="s">
        <v>12</v>
      </c>
      <c r="F409" t="s">
        <v>35</v>
      </c>
      <c r="G409" s="2">
        <v>43800</v>
      </c>
      <c r="H409" t="s">
        <v>20</v>
      </c>
      <c r="I409" t="s">
        <v>51</v>
      </c>
      <c r="J409" t="s">
        <v>29</v>
      </c>
      <c r="M409" t="str">
        <f t="shared" si="55"/>
        <v>Jack</v>
      </c>
      <c r="N409">
        <v>25</v>
      </c>
      <c r="O409">
        <f t="shared" si="56"/>
        <v>25</v>
      </c>
      <c r="P409">
        <v>55000</v>
      </c>
      <c r="Q409">
        <f t="shared" si="57"/>
        <v>55000</v>
      </c>
      <c r="R409" t="str">
        <f t="shared" si="58"/>
        <v>Other</v>
      </c>
      <c r="S409" t="str">
        <f t="shared" si="59"/>
        <v>HR</v>
      </c>
      <c r="T409" t="str">
        <f t="shared" si="60"/>
        <v>Clerk</v>
      </c>
      <c r="U409" s="2">
        <v>43800</v>
      </c>
      <c r="V409" t="s">
        <v>20</v>
      </c>
      <c r="W409" t="s">
        <v>51</v>
      </c>
      <c r="X409" t="str">
        <f t="shared" si="61"/>
        <v>email@example/com</v>
      </c>
      <c r="Y409" t="str">
        <f t="shared" si="62"/>
        <v>email@example.com</v>
      </c>
      <c r="Z409" t="str">
        <f t="shared" si="54"/>
        <v>Phone not provided</v>
      </c>
    </row>
    <row r="410" spans="1:26" x14ac:dyDescent="0.25">
      <c r="A410" t="s">
        <v>34</v>
      </c>
      <c r="B410">
        <v>50</v>
      </c>
      <c r="C410" t="s">
        <v>30</v>
      </c>
      <c r="D410" t="s">
        <v>17</v>
      </c>
      <c r="E410" t="s">
        <v>27</v>
      </c>
      <c r="F410" t="s">
        <v>13</v>
      </c>
      <c r="G410" s="2">
        <v>43881</v>
      </c>
      <c r="H410" t="s">
        <v>36</v>
      </c>
      <c r="J410" t="s">
        <v>15</v>
      </c>
      <c r="M410" t="str">
        <f t="shared" si="55"/>
        <v>Charlie</v>
      </c>
      <c r="N410">
        <v>50</v>
      </c>
      <c r="O410">
        <f t="shared" si="56"/>
        <v>50</v>
      </c>
      <c r="P410" t="s">
        <v>30</v>
      </c>
      <c r="Q410">
        <f t="shared" si="57"/>
        <v>60000</v>
      </c>
      <c r="R410" t="str">
        <f t="shared" si="58"/>
        <v>Female</v>
      </c>
      <c r="S410" t="str">
        <f t="shared" si="59"/>
        <v>IT</v>
      </c>
      <c r="T410" t="str">
        <f t="shared" si="60"/>
        <v>Manager</v>
      </c>
      <c r="U410" s="2">
        <v>43881</v>
      </c>
      <c r="V410" t="s">
        <v>36</v>
      </c>
      <c r="X410" t="str">
        <f t="shared" si="61"/>
        <v>Email not provided</v>
      </c>
      <c r="Y410" t="str">
        <f t="shared" si="62"/>
        <v>Email not provided</v>
      </c>
      <c r="Z410" t="str">
        <f t="shared" si="54"/>
        <v>Phone not provided</v>
      </c>
    </row>
    <row r="411" spans="1:26" x14ac:dyDescent="0.25">
      <c r="A411" t="s">
        <v>26</v>
      </c>
      <c r="B411">
        <v>25</v>
      </c>
      <c r="C411">
        <v>60000</v>
      </c>
      <c r="D411" t="s">
        <v>32</v>
      </c>
      <c r="E411" t="s">
        <v>33</v>
      </c>
      <c r="F411" t="s">
        <v>13</v>
      </c>
      <c r="G411" s="2">
        <v>43549</v>
      </c>
      <c r="H411" t="s">
        <v>20</v>
      </c>
      <c r="J411" t="s">
        <v>29</v>
      </c>
      <c r="M411" t="str">
        <f t="shared" si="55"/>
        <v>Eve</v>
      </c>
      <c r="N411">
        <v>25</v>
      </c>
      <c r="O411">
        <f t="shared" si="56"/>
        <v>25</v>
      </c>
      <c r="P411">
        <v>60000</v>
      </c>
      <c r="Q411">
        <f t="shared" si="57"/>
        <v>60000</v>
      </c>
      <c r="R411" t="str">
        <f t="shared" si="58"/>
        <v>Other</v>
      </c>
      <c r="S411" t="str">
        <f t="shared" si="59"/>
        <v>Marketing</v>
      </c>
      <c r="T411" t="str">
        <f t="shared" si="60"/>
        <v>Manager</v>
      </c>
      <c r="U411" s="2">
        <v>43549</v>
      </c>
      <c r="V411" t="s">
        <v>20</v>
      </c>
      <c r="X411" t="str">
        <f t="shared" si="61"/>
        <v>Email not provided</v>
      </c>
      <c r="Y411" t="str">
        <f t="shared" si="62"/>
        <v>Email not provided</v>
      </c>
      <c r="Z411" t="str">
        <f t="shared" si="54"/>
        <v>Phone not provided</v>
      </c>
    </row>
    <row r="412" spans="1:26" x14ac:dyDescent="0.25">
      <c r="A412" t="s">
        <v>40</v>
      </c>
      <c r="B412">
        <v>35</v>
      </c>
      <c r="C412">
        <v>55000</v>
      </c>
      <c r="D412" t="s">
        <v>11</v>
      </c>
      <c r="E412" t="s">
        <v>12</v>
      </c>
      <c r="F412" t="s">
        <v>38</v>
      </c>
      <c r="G412" s="2">
        <v>43549</v>
      </c>
      <c r="H412" t="s">
        <v>20</v>
      </c>
      <c r="J412" t="s">
        <v>15</v>
      </c>
      <c r="M412" t="str">
        <f t="shared" si="55"/>
        <v>Frank</v>
      </c>
      <c r="N412">
        <v>35</v>
      </c>
      <c r="O412">
        <f t="shared" si="56"/>
        <v>35</v>
      </c>
      <c r="P412">
        <v>55000</v>
      </c>
      <c r="Q412">
        <f t="shared" si="57"/>
        <v>55000</v>
      </c>
      <c r="R412" t="str">
        <f t="shared" si="58"/>
        <v>Male</v>
      </c>
      <c r="S412" t="str">
        <f t="shared" si="59"/>
        <v>HR</v>
      </c>
      <c r="T412" t="str">
        <f t="shared" si="60"/>
        <v>Analyst</v>
      </c>
      <c r="U412" s="2">
        <v>43549</v>
      </c>
      <c r="V412" t="s">
        <v>20</v>
      </c>
      <c r="X412" t="str">
        <f t="shared" si="61"/>
        <v>Email not provided</v>
      </c>
      <c r="Y412" t="str">
        <f t="shared" si="62"/>
        <v>Email not provided</v>
      </c>
      <c r="Z412" t="str">
        <f t="shared" si="54"/>
        <v>Phone not provided</v>
      </c>
    </row>
    <row r="413" spans="1:26" x14ac:dyDescent="0.25">
      <c r="A413" t="s">
        <v>43</v>
      </c>
      <c r="B413">
        <v>40</v>
      </c>
      <c r="C413">
        <v>70000</v>
      </c>
      <c r="D413" t="s">
        <v>17</v>
      </c>
      <c r="E413" t="s">
        <v>23</v>
      </c>
      <c r="F413" t="s">
        <v>35</v>
      </c>
      <c r="G413" s="2">
        <v>43549</v>
      </c>
      <c r="H413" t="s">
        <v>24</v>
      </c>
      <c r="I413" t="s">
        <v>52</v>
      </c>
      <c r="J413" t="s">
        <v>15</v>
      </c>
      <c r="M413" t="str">
        <f t="shared" si="55"/>
        <v>Ivy</v>
      </c>
      <c r="N413">
        <v>40</v>
      </c>
      <c r="O413">
        <f t="shared" si="56"/>
        <v>40</v>
      </c>
      <c r="P413">
        <v>70000</v>
      </c>
      <c r="Q413">
        <f t="shared" si="57"/>
        <v>70000</v>
      </c>
      <c r="R413" t="str">
        <f t="shared" si="58"/>
        <v>Female</v>
      </c>
      <c r="S413" t="str">
        <f t="shared" si="59"/>
        <v>Sales</v>
      </c>
      <c r="T413" t="str">
        <f t="shared" si="60"/>
        <v>Clerk</v>
      </c>
      <c r="U413" s="2">
        <v>43549</v>
      </c>
      <c r="V413" t="s">
        <v>24</v>
      </c>
      <c r="W413" t="s">
        <v>52</v>
      </c>
      <c r="X413" t="str">
        <f t="shared" si="61"/>
        <v>user@domain/com</v>
      </c>
      <c r="Y413" t="str">
        <f t="shared" si="62"/>
        <v>user@domain.com</v>
      </c>
      <c r="Z413" t="str">
        <f t="shared" si="54"/>
        <v>Phone not provided</v>
      </c>
    </row>
    <row r="414" spans="1:26" x14ac:dyDescent="0.25">
      <c r="A414" t="s">
        <v>26</v>
      </c>
      <c r="B414">
        <v>50</v>
      </c>
      <c r="C414">
        <v>50000</v>
      </c>
      <c r="D414" t="s">
        <v>11</v>
      </c>
      <c r="E414" t="s">
        <v>27</v>
      </c>
      <c r="F414" t="s">
        <v>19</v>
      </c>
      <c r="G414" s="2">
        <v>43845</v>
      </c>
      <c r="H414" t="s">
        <v>36</v>
      </c>
      <c r="J414" t="s">
        <v>21</v>
      </c>
      <c r="M414" t="str">
        <f t="shared" si="55"/>
        <v>Eve</v>
      </c>
      <c r="N414">
        <v>50</v>
      </c>
      <c r="O414">
        <f t="shared" si="56"/>
        <v>50</v>
      </c>
      <c r="P414">
        <v>50000</v>
      </c>
      <c r="Q414">
        <f t="shared" si="57"/>
        <v>50000</v>
      </c>
      <c r="R414" t="str">
        <f t="shared" si="58"/>
        <v>Male</v>
      </c>
      <c r="S414" t="str">
        <f t="shared" si="59"/>
        <v>IT</v>
      </c>
      <c r="T414" t="str">
        <f t="shared" si="60"/>
        <v>Director</v>
      </c>
      <c r="U414" s="2">
        <v>43845</v>
      </c>
      <c r="V414" t="s">
        <v>36</v>
      </c>
      <c r="X414" t="str">
        <f t="shared" si="61"/>
        <v>Email not provided</v>
      </c>
      <c r="Y414" t="str">
        <f t="shared" si="62"/>
        <v>Email not provided</v>
      </c>
      <c r="Z414" t="str">
        <f t="shared" si="54"/>
        <v>123-456-7890</v>
      </c>
    </row>
    <row r="415" spans="1:26" x14ac:dyDescent="0.25">
      <c r="A415" t="s">
        <v>42</v>
      </c>
      <c r="B415">
        <v>50</v>
      </c>
      <c r="C415">
        <v>60000</v>
      </c>
      <c r="D415" t="s">
        <v>32</v>
      </c>
      <c r="E415" t="s">
        <v>12</v>
      </c>
      <c r="F415" t="s">
        <v>19</v>
      </c>
      <c r="G415" s="1">
        <v>43195</v>
      </c>
      <c r="H415" t="s">
        <v>36</v>
      </c>
      <c r="J415" t="s">
        <v>25</v>
      </c>
      <c r="M415" t="str">
        <f t="shared" si="55"/>
        <v>Alice</v>
      </c>
      <c r="N415">
        <v>50</v>
      </c>
      <c r="O415">
        <f t="shared" si="56"/>
        <v>50</v>
      </c>
      <c r="P415">
        <v>60000</v>
      </c>
      <c r="Q415">
        <f t="shared" si="57"/>
        <v>60000</v>
      </c>
      <c r="R415" t="str">
        <f t="shared" si="58"/>
        <v>Other</v>
      </c>
      <c r="S415" t="str">
        <f t="shared" si="59"/>
        <v>HR</v>
      </c>
      <c r="T415" t="str">
        <f t="shared" si="60"/>
        <v>Director</v>
      </c>
      <c r="U415" s="2">
        <v>43195</v>
      </c>
      <c r="V415" t="s">
        <v>36</v>
      </c>
      <c r="X415" t="str">
        <f t="shared" si="61"/>
        <v>Email not provided</v>
      </c>
      <c r="Y415" t="str">
        <f t="shared" si="62"/>
        <v>Email not provided</v>
      </c>
      <c r="Z415" t="str">
        <f t="shared" si="54"/>
        <v>098-765-4321</v>
      </c>
    </row>
    <row r="416" spans="1:26" x14ac:dyDescent="0.25">
      <c r="A416" t="s">
        <v>16</v>
      </c>
      <c r="B416">
        <v>30</v>
      </c>
      <c r="C416">
        <v>50000</v>
      </c>
      <c r="D416" t="s">
        <v>17</v>
      </c>
      <c r="E416" t="s">
        <v>27</v>
      </c>
      <c r="F416" t="s">
        <v>37</v>
      </c>
      <c r="G416" s="2">
        <v>43881</v>
      </c>
      <c r="H416" t="s">
        <v>24</v>
      </c>
      <c r="I416" t="s">
        <v>52</v>
      </c>
      <c r="J416" t="s">
        <v>29</v>
      </c>
      <c r="M416" t="str">
        <f t="shared" si="55"/>
        <v>David</v>
      </c>
      <c r="N416">
        <v>30</v>
      </c>
      <c r="O416">
        <f t="shared" si="56"/>
        <v>30</v>
      </c>
      <c r="P416">
        <v>50000</v>
      </c>
      <c r="Q416">
        <f t="shared" si="57"/>
        <v>50000</v>
      </c>
      <c r="R416" t="str">
        <f t="shared" si="58"/>
        <v>Female</v>
      </c>
      <c r="S416" t="str">
        <f t="shared" si="59"/>
        <v>IT</v>
      </c>
      <c r="T416" t="str">
        <f t="shared" si="60"/>
        <v>Assistant</v>
      </c>
      <c r="U416" s="2">
        <v>43881</v>
      </c>
      <c r="V416" t="s">
        <v>24</v>
      </c>
      <c r="W416" t="s">
        <v>52</v>
      </c>
      <c r="X416" t="str">
        <f t="shared" si="61"/>
        <v>user@domain/com</v>
      </c>
      <c r="Y416" t="str">
        <f t="shared" si="62"/>
        <v>user@domain.com</v>
      </c>
      <c r="Z416" t="str">
        <f t="shared" si="54"/>
        <v>Phone not provided</v>
      </c>
    </row>
    <row r="417" spans="1:26" x14ac:dyDescent="0.25">
      <c r="A417" t="s">
        <v>26</v>
      </c>
      <c r="B417" t="s">
        <v>15</v>
      </c>
      <c r="C417">
        <v>60000</v>
      </c>
      <c r="D417" t="s">
        <v>11</v>
      </c>
      <c r="E417" t="s">
        <v>27</v>
      </c>
      <c r="F417" t="s">
        <v>13</v>
      </c>
      <c r="G417" s="2">
        <v>43845</v>
      </c>
      <c r="H417" t="s">
        <v>14</v>
      </c>
      <c r="I417" t="s">
        <v>53</v>
      </c>
      <c r="J417" t="s">
        <v>15</v>
      </c>
      <c r="M417" t="str">
        <f t="shared" si="55"/>
        <v>Eve</v>
      </c>
      <c r="N417" t="s">
        <v>15</v>
      </c>
      <c r="O417">
        <f t="shared" si="56"/>
        <v>35</v>
      </c>
      <c r="P417">
        <v>60000</v>
      </c>
      <c r="Q417">
        <f t="shared" si="57"/>
        <v>60000</v>
      </c>
      <c r="R417" t="str">
        <f t="shared" si="58"/>
        <v>Male</v>
      </c>
      <c r="S417" t="str">
        <f t="shared" si="59"/>
        <v>IT</v>
      </c>
      <c r="T417" t="str">
        <f t="shared" si="60"/>
        <v>Manager</v>
      </c>
      <c r="U417" s="2">
        <v>43845</v>
      </c>
      <c r="V417" t="s">
        <v>14</v>
      </c>
      <c r="W417" t="s">
        <v>53</v>
      </c>
      <c r="X417" t="str">
        <f t="shared" si="61"/>
        <v>name@company/org</v>
      </c>
      <c r="Y417" t="str">
        <f t="shared" si="62"/>
        <v>name@company.org</v>
      </c>
      <c r="Z417" t="str">
        <f t="shared" si="54"/>
        <v>Phone not provided</v>
      </c>
    </row>
    <row r="418" spans="1:26" x14ac:dyDescent="0.25">
      <c r="A418" t="s">
        <v>31</v>
      </c>
      <c r="B418">
        <v>30</v>
      </c>
      <c r="C418">
        <v>70000</v>
      </c>
      <c r="D418" t="s">
        <v>32</v>
      </c>
      <c r="E418" t="s">
        <v>18</v>
      </c>
      <c r="F418" t="s">
        <v>37</v>
      </c>
      <c r="G418" s="1">
        <v>43195</v>
      </c>
      <c r="H418" t="s">
        <v>36</v>
      </c>
      <c r="I418" t="s">
        <v>51</v>
      </c>
      <c r="J418" t="s">
        <v>29</v>
      </c>
      <c r="M418" t="str">
        <f t="shared" si="55"/>
        <v>Jack</v>
      </c>
      <c r="N418">
        <v>30</v>
      </c>
      <c r="O418">
        <f t="shared" si="56"/>
        <v>30</v>
      </c>
      <c r="P418">
        <v>70000</v>
      </c>
      <c r="Q418">
        <f t="shared" si="57"/>
        <v>70000</v>
      </c>
      <c r="R418" t="str">
        <f t="shared" si="58"/>
        <v>Other</v>
      </c>
      <c r="S418" t="str">
        <f t="shared" si="59"/>
        <v>Finance</v>
      </c>
      <c r="T418" t="str">
        <f t="shared" si="60"/>
        <v>Assistant</v>
      </c>
      <c r="U418" s="2">
        <v>43195</v>
      </c>
      <c r="V418" t="s">
        <v>36</v>
      </c>
      <c r="W418" t="s">
        <v>51</v>
      </c>
      <c r="X418" t="str">
        <f t="shared" si="61"/>
        <v>email@example/com</v>
      </c>
      <c r="Y418" t="str">
        <f t="shared" si="62"/>
        <v>email@example.com</v>
      </c>
      <c r="Z418" t="str">
        <f t="shared" si="54"/>
        <v>Phone not provided</v>
      </c>
    </row>
    <row r="419" spans="1:26" x14ac:dyDescent="0.25">
      <c r="A419" t="s">
        <v>31</v>
      </c>
      <c r="B419">
        <v>50</v>
      </c>
      <c r="C419">
        <v>50000</v>
      </c>
      <c r="D419" t="s">
        <v>11</v>
      </c>
      <c r="E419" t="s">
        <v>27</v>
      </c>
      <c r="F419" t="s">
        <v>38</v>
      </c>
      <c r="G419" s="1">
        <v>43195</v>
      </c>
      <c r="H419" t="s">
        <v>28</v>
      </c>
      <c r="J419" t="s">
        <v>29</v>
      </c>
      <c r="M419" t="str">
        <f t="shared" si="55"/>
        <v>Jack</v>
      </c>
      <c r="N419">
        <v>50</v>
      </c>
      <c r="O419">
        <f t="shared" si="56"/>
        <v>50</v>
      </c>
      <c r="P419">
        <v>50000</v>
      </c>
      <c r="Q419">
        <f t="shared" si="57"/>
        <v>50000</v>
      </c>
      <c r="R419" t="str">
        <f t="shared" si="58"/>
        <v>Male</v>
      </c>
      <c r="S419" t="str">
        <f t="shared" si="59"/>
        <v>IT</v>
      </c>
      <c r="T419" t="str">
        <f t="shared" si="60"/>
        <v>Analyst</v>
      </c>
      <c r="U419" s="2">
        <v>43195</v>
      </c>
      <c r="V419" t="s">
        <v>28</v>
      </c>
      <c r="X419" t="str">
        <f t="shared" si="61"/>
        <v>Email not provided</v>
      </c>
      <c r="Y419" t="str">
        <f t="shared" si="62"/>
        <v>Email not provided</v>
      </c>
      <c r="Z419" t="str">
        <f t="shared" si="54"/>
        <v>Phone not provided</v>
      </c>
    </row>
    <row r="420" spans="1:26" x14ac:dyDescent="0.25">
      <c r="A420" t="s">
        <v>26</v>
      </c>
      <c r="B420">
        <v>40</v>
      </c>
      <c r="C420">
        <v>65000</v>
      </c>
      <c r="D420" t="s">
        <v>11</v>
      </c>
      <c r="E420" t="s">
        <v>18</v>
      </c>
      <c r="F420" t="s">
        <v>19</v>
      </c>
      <c r="G420" s="2">
        <v>43881</v>
      </c>
      <c r="H420" t="s">
        <v>24</v>
      </c>
      <c r="I420" t="s">
        <v>51</v>
      </c>
      <c r="J420" t="s">
        <v>15</v>
      </c>
      <c r="M420" t="str">
        <f t="shared" si="55"/>
        <v>Eve</v>
      </c>
      <c r="N420">
        <v>40</v>
      </c>
      <c r="O420">
        <f t="shared" si="56"/>
        <v>40</v>
      </c>
      <c r="P420">
        <v>65000</v>
      </c>
      <c r="Q420">
        <f t="shared" si="57"/>
        <v>65000</v>
      </c>
      <c r="R420" t="str">
        <f t="shared" si="58"/>
        <v>Male</v>
      </c>
      <c r="S420" t="str">
        <f t="shared" si="59"/>
        <v>Finance</v>
      </c>
      <c r="T420" t="str">
        <f t="shared" si="60"/>
        <v>Director</v>
      </c>
      <c r="U420" s="2">
        <v>43881</v>
      </c>
      <c r="V420" t="s">
        <v>24</v>
      </c>
      <c r="W420" t="s">
        <v>51</v>
      </c>
      <c r="X420" t="str">
        <f t="shared" si="61"/>
        <v>email@example/com</v>
      </c>
      <c r="Y420" t="str">
        <f t="shared" si="62"/>
        <v>email@example.com</v>
      </c>
      <c r="Z420" t="str">
        <f t="shared" si="54"/>
        <v>Phone not provided</v>
      </c>
    </row>
    <row r="421" spans="1:26" x14ac:dyDescent="0.25">
      <c r="A421" t="s">
        <v>10</v>
      </c>
      <c r="B421">
        <v>25</v>
      </c>
      <c r="C421" t="s">
        <v>30</v>
      </c>
      <c r="D421" t="s">
        <v>11</v>
      </c>
      <c r="E421" t="s">
        <v>33</v>
      </c>
      <c r="F421" t="s">
        <v>13</v>
      </c>
      <c r="G421" s="2">
        <v>43881</v>
      </c>
      <c r="H421" t="s">
        <v>36</v>
      </c>
      <c r="I421" t="s">
        <v>15</v>
      </c>
      <c r="J421" t="s">
        <v>39</v>
      </c>
      <c r="M421" t="str">
        <f t="shared" si="55"/>
        <v>Grace</v>
      </c>
      <c r="N421">
        <v>25</v>
      </c>
      <c r="O421">
        <f t="shared" si="56"/>
        <v>25</v>
      </c>
      <c r="P421" t="s">
        <v>30</v>
      </c>
      <c r="Q421">
        <f t="shared" si="57"/>
        <v>60000</v>
      </c>
      <c r="R421" t="str">
        <f t="shared" si="58"/>
        <v>Male</v>
      </c>
      <c r="S421" t="str">
        <f t="shared" si="59"/>
        <v>Marketing</v>
      </c>
      <c r="T421" t="str">
        <f t="shared" si="60"/>
        <v>Manager</v>
      </c>
      <c r="U421" s="2">
        <v>43881</v>
      </c>
      <c r="V421" t="s">
        <v>36</v>
      </c>
      <c r="W421" t="s">
        <v>15</v>
      </c>
      <c r="X421" t="str">
        <f t="shared" si="61"/>
        <v>Email not provided</v>
      </c>
      <c r="Y421" t="str">
        <f t="shared" si="62"/>
        <v>Email not provided</v>
      </c>
      <c r="Z421" t="str">
        <f t="shared" si="54"/>
        <v>555-555-5555</v>
      </c>
    </row>
    <row r="422" spans="1:26" x14ac:dyDescent="0.25">
      <c r="A422" t="s">
        <v>16</v>
      </c>
      <c r="B422">
        <v>25</v>
      </c>
      <c r="C422" t="s">
        <v>30</v>
      </c>
      <c r="D422" t="s">
        <v>32</v>
      </c>
      <c r="E422" t="s">
        <v>18</v>
      </c>
      <c r="F422" t="s">
        <v>38</v>
      </c>
      <c r="G422" s="2">
        <v>43881</v>
      </c>
      <c r="H422" t="s">
        <v>14</v>
      </c>
      <c r="I422" t="s">
        <v>51</v>
      </c>
      <c r="J422" t="s">
        <v>25</v>
      </c>
      <c r="M422" t="str">
        <f t="shared" si="55"/>
        <v>David</v>
      </c>
      <c r="N422">
        <v>25</v>
      </c>
      <c r="O422">
        <f t="shared" si="56"/>
        <v>25</v>
      </c>
      <c r="P422" t="s">
        <v>30</v>
      </c>
      <c r="Q422">
        <f t="shared" si="57"/>
        <v>60000</v>
      </c>
      <c r="R422" t="str">
        <f t="shared" si="58"/>
        <v>Other</v>
      </c>
      <c r="S422" t="str">
        <f t="shared" si="59"/>
        <v>Finance</v>
      </c>
      <c r="T422" t="str">
        <f t="shared" si="60"/>
        <v>Analyst</v>
      </c>
      <c r="U422" s="2">
        <v>43881</v>
      </c>
      <c r="V422" t="s">
        <v>14</v>
      </c>
      <c r="W422" t="s">
        <v>51</v>
      </c>
      <c r="X422" t="str">
        <f t="shared" si="61"/>
        <v>email@example/com</v>
      </c>
      <c r="Y422" t="str">
        <f t="shared" si="62"/>
        <v>email@example.com</v>
      </c>
      <c r="Z422" t="str">
        <f t="shared" si="54"/>
        <v>098-765-4321</v>
      </c>
    </row>
    <row r="423" spans="1:26" x14ac:dyDescent="0.25">
      <c r="A423" t="s">
        <v>42</v>
      </c>
      <c r="B423">
        <v>40</v>
      </c>
      <c r="C423">
        <v>60000</v>
      </c>
      <c r="D423" t="s">
        <v>32</v>
      </c>
      <c r="E423" t="s">
        <v>23</v>
      </c>
      <c r="F423" t="s">
        <v>38</v>
      </c>
      <c r="G423" s="2">
        <v>43845</v>
      </c>
      <c r="H423" t="s">
        <v>36</v>
      </c>
      <c r="I423" t="s">
        <v>52</v>
      </c>
      <c r="J423" t="s">
        <v>25</v>
      </c>
      <c r="M423" t="str">
        <f t="shared" si="55"/>
        <v>Alice</v>
      </c>
      <c r="N423">
        <v>40</v>
      </c>
      <c r="O423">
        <f t="shared" si="56"/>
        <v>40</v>
      </c>
      <c r="P423">
        <v>60000</v>
      </c>
      <c r="Q423">
        <f t="shared" si="57"/>
        <v>60000</v>
      </c>
      <c r="R423" t="str">
        <f t="shared" si="58"/>
        <v>Other</v>
      </c>
      <c r="S423" t="str">
        <f t="shared" si="59"/>
        <v>Sales</v>
      </c>
      <c r="T423" t="str">
        <f t="shared" si="60"/>
        <v>Analyst</v>
      </c>
      <c r="U423" s="2">
        <v>43845</v>
      </c>
      <c r="V423" t="s">
        <v>36</v>
      </c>
      <c r="W423" t="s">
        <v>52</v>
      </c>
      <c r="X423" t="str">
        <f t="shared" si="61"/>
        <v>user@domain/com</v>
      </c>
      <c r="Y423" t="str">
        <f t="shared" si="62"/>
        <v>user@domain.com</v>
      </c>
      <c r="Z423" t="str">
        <f t="shared" si="54"/>
        <v>098-765-4321</v>
      </c>
    </row>
    <row r="424" spans="1:26" x14ac:dyDescent="0.25">
      <c r="A424" t="s">
        <v>26</v>
      </c>
      <c r="B424">
        <v>50</v>
      </c>
      <c r="C424">
        <v>65000</v>
      </c>
      <c r="D424" t="s">
        <v>11</v>
      </c>
      <c r="E424" t="s">
        <v>12</v>
      </c>
      <c r="F424" t="s">
        <v>13</v>
      </c>
      <c r="G424" s="2">
        <v>43800</v>
      </c>
      <c r="H424" t="s">
        <v>20</v>
      </c>
      <c r="I424" t="s">
        <v>51</v>
      </c>
      <c r="J424" t="s">
        <v>21</v>
      </c>
      <c r="M424" t="str">
        <f t="shared" si="55"/>
        <v>Eve</v>
      </c>
      <c r="N424">
        <v>50</v>
      </c>
      <c r="O424">
        <f t="shared" si="56"/>
        <v>50</v>
      </c>
      <c r="P424">
        <v>65000</v>
      </c>
      <c r="Q424">
        <f t="shared" si="57"/>
        <v>65000</v>
      </c>
      <c r="R424" t="str">
        <f t="shared" si="58"/>
        <v>Male</v>
      </c>
      <c r="S424" t="str">
        <f t="shared" si="59"/>
        <v>HR</v>
      </c>
      <c r="T424" t="str">
        <f t="shared" si="60"/>
        <v>Manager</v>
      </c>
      <c r="U424" s="2">
        <v>43800</v>
      </c>
      <c r="V424" t="s">
        <v>20</v>
      </c>
      <c r="W424" t="s">
        <v>51</v>
      </c>
      <c r="X424" t="str">
        <f t="shared" si="61"/>
        <v>email@example/com</v>
      </c>
      <c r="Y424" t="str">
        <f t="shared" si="62"/>
        <v>email@example.com</v>
      </c>
      <c r="Z424" t="str">
        <f t="shared" si="54"/>
        <v>123-456-7890</v>
      </c>
    </row>
    <row r="425" spans="1:26" x14ac:dyDescent="0.25">
      <c r="A425" t="s">
        <v>10</v>
      </c>
      <c r="B425">
        <v>25</v>
      </c>
      <c r="C425">
        <v>50000</v>
      </c>
      <c r="D425" t="s">
        <v>17</v>
      </c>
      <c r="E425" t="s">
        <v>33</v>
      </c>
      <c r="F425" t="s">
        <v>38</v>
      </c>
      <c r="G425" s="2">
        <v>43881</v>
      </c>
      <c r="H425" t="s">
        <v>28</v>
      </c>
      <c r="I425" t="s">
        <v>51</v>
      </c>
      <c r="J425" t="s">
        <v>21</v>
      </c>
      <c r="M425" t="str">
        <f t="shared" si="55"/>
        <v>Grace</v>
      </c>
      <c r="N425">
        <v>25</v>
      </c>
      <c r="O425">
        <f t="shared" si="56"/>
        <v>25</v>
      </c>
      <c r="P425">
        <v>50000</v>
      </c>
      <c r="Q425">
        <f t="shared" si="57"/>
        <v>50000</v>
      </c>
      <c r="R425" t="str">
        <f t="shared" si="58"/>
        <v>Female</v>
      </c>
      <c r="S425" t="str">
        <f t="shared" si="59"/>
        <v>Marketing</v>
      </c>
      <c r="T425" t="str">
        <f t="shared" si="60"/>
        <v>Analyst</v>
      </c>
      <c r="U425" s="2">
        <v>43881</v>
      </c>
      <c r="V425" t="s">
        <v>28</v>
      </c>
      <c r="W425" t="s">
        <v>51</v>
      </c>
      <c r="X425" t="str">
        <f t="shared" si="61"/>
        <v>email@example/com</v>
      </c>
      <c r="Y425" t="str">
        <f t="shared" si="62"/>
        <v>email@example.com</v>
      </c>
      <c r="Z425" t="str">
        <f t="shared" si="54"/>
        <v>123-456-7890</v>
      </c>
    </row>
    <row r="426" spans="1:26" x14ac:dyDescent="0.25">
      <c r="A426" t="s">
        <v>31</v>
      </c>
      <c r="B426">
        <v>25</v>
      </c>
      <c r="C426">
        <v>65000</v>
      </c>
      <c r="D426" t="s">
        <v>17</v>
      </c>
      <c r="E426" t="s">
        <v>33</v>
      </c>
      <c r="F426" t="s">
        <v>13</v>
      </c>
      <c r="G426" s="2">
        <v>43800</v>
      </c>
      <c r="H426" t="s">
        <v>24</v>
      </c>
      <c r="I426" t="s">
        <v>51</v>
      </c>
      <c r="J426" t="s">
        <v>21</v>
      </c>
      <c r="M426" t="str">
        <f t="shared" si="55"/>
        <v>Jack</v>
      </c>
      <c r="N426">
        <v>25</v>
      </c>
      <c r="O426">
        <f t="shared" si="56"/>
        <v>25</v>
      </c>
      <c r="P426">
        <v>65000</v>
      </c>
      <c r="Q426">
        <f t="shared" si="57"/>
        <v>65000</v>
      </c>
      <c r="R426" t="str">
        <f t="shared" si="58"/>
        <v>Female</v>
      </c>
      <c r="S426" t="str">
        <f t="shared" si="59"/>
        <v>Marketing</v>
      </c>
      <c r="T426" t="str">
        <f t="shared" si="60"/>
        <v>Manager</v>
      </c>
      <c r="U426" s="2">
        <v>43800</v>
      </c>
      <c r="V426" t="s">
        <v>24</v>
      </c>
      <c r="W426" t="s">
        <v>51</v>
      </c>
      <c r="X426" t="str">
        <f t="shared" si="61"/>
        <v>email@example/com</v>
      </c>
      <c r="Y426" t="str">
        <f t="shared" si="62"/>
        <v>email@example.com</v>
      </c>
      <c r="Z426" t="str">
        <f t="shared" si="54"/>
        <v>123-456-7890</v>
      </c>
    </row>
    <row r="427" spans="1:26" x14ac:dyDescent="0.25">
      <c r="A427" t="s">
        <v>31</v>
      </c>
      <c r="B427">
        <v>25</v>
      </c>
      <c r="C427">
        <v>65000</v>
      </c>
      <c r="D427" t="s">
        <v>32</v>
      </c>
      <c r="E427" t="s">
        <v>23</v>
      </c>
      <c r="F427" t="s">
        <v>13</v>
      </c>
      <c r="G427" s="2">
        <v>43845</v>
      </c>
      <c r="H427" t="s">
        <v>20</v>
      </c>
      <c r="I427" t="s">
        <v>53</v>
      </c>
      <c r="J427" t="s">
        <v>25</v>
      </c>
      <c r="M427" t="str">
        <f t="shared" si="55"/>
        <v>Jack</v>
      </c>
      <c r="N427">
        <v>25</v>
      </c>
      <c r="O427">
        <f t="shared" si="56"/>
        <v>25</v>
      </c>
      <c r="P427">
        <v>65000</v>
      </c>
      <c r="Q427">
        <f t="shared" si="57"/>
        <v>65000</v>
      </c>
      <c r="R427" t="str">
        <f t="shared" si="58"/>
        <v>Other</v>
      </c>
      <c r="S427" t="str">
        <f t="shared" si="59"/>
        <v>Sales</v>
      </c>
      <c r="T427" t="str">
        <f t="shared" si="60"/>
        <v>Manager</v>
      </c>
      <c r="U427" s="2">
        <v>43845</v>
      </c>
      <c r="V427" t="s">
        <v>20</v>
      </c>
      <c r="W427" t="s">
        <v>53</v>
      </c>
      <c r="X427" t="str">
        <f t="shared" si="61"/>
        <v>name@company/org</v>
      </c>
      <c r="Y427" t="str">
        <f t="shared" si="62"/>
        <v>name@company.org</v>
      </c>
      <c r="Z427" t="str">
        <f t="shared" si="54"/>
        <v>098-765-4321</v>
      </c>
    </row>
    <row r="428" spans="1:26" x14ac:dyDescent="0.25">
      <c r="A428" t="s">
        <v>40</v>
      </c>
      <c r="B428" t="s">
        <v>15</v>
      </c>
      <c r="C428">
        <v>50000</v>
      </c>
      <c r="D428" t="s">
        <v>32</v>
      </c>
      <c r="E428" t="s">
        <v>18</v>
      </c>
      <c r="F428" t="s">
        <v>35</v>
      </c>
      <c r="G428" s="2">
        <v>43800</v>
      </c>
      <c r="H428" t="s">
        <v>14</v>
      </c>
      <c r="I428" t="s">
        <v>53</v>
      </c>
      <c r="J428" t="s">
        <v>39</v>
      </c>
      <c r="M428" t="str">
        <f t="shared" si="55"/>
        <v>Frank</v>
      </c>
      <c r="N428" t="s">
        <v>15</v>
      </c>
      <c r="O428">
        <f t="shared" si="56"/>
        <v>35</v>
      </c>
      <c r="P428">
        <v>50000</v>
      </c>
      <c r="Q428">
        <f t="shared" si="57"/>
        <v>50000</v>
      </c>
      <c r="R428" t="str">
        <f t="shared" si="58"/>
        <v>Other</v>
      </c>
      <c r="S428" t="str">
        <f t="shared" si="59"/>
        <v>Finance</v>
      </c>
      <c r="T428" t="str">
        <f t="shared" si="60"/>
        <v>Clerk</v>
      </c>
      <c r="U428" s="2">
        <v>43800</v>
      </c>
      <c r="V428" t="s">
        <v>14</v>
      </c>
      <c r="W428" t="s">
        <v>53</v>
      </c>
      <c r="X428" t="str">
        <f t="shared" si="61"/>
        <v>name@company/org</v>
      </c>
      <c r="Y428" t="str">
        <f t="shared" si="62"/>
        <v>name@company.org</v>
      </c>
      <c r="Z428" t="str">
        <f t="shared" si="54"/>
        <v>555-555-5555</v>
      </c>
    </row>
    <row r="429" spans="1:26" x14ac:dyDescent="0.25">
      <c r="A429" t="s">
        <v>26</v>
      </c>
      <c r="B429" t="s">
        <v>15</v>
      </c>
      <c r="C429">
        <v>70000</v>
      </c>
      <c r="D429" t="s">
        <v>32</v>
      </c>
      <c r="E429" t="s">
        <v>12</v>
      </c>
      <c r="F429" t="s">
        <v>37</v>
      </c>
      <c r="G429" s="2">
        <v>43549</v>
      </c>
      <c r="H429" t="s">
        <v>20</v>
      </c>
      <c r="I429" t="s">
        <v>15</v>
      </c>
      <c r="J429" t="s">
        <v>25</v>
      </c>
      <c r="M429" t="str">
        <f t="shared" si="55"/>
        <v>Eve</v>
      </c>
      <c r="N429" t="s">
        <v>15</v>
      </c>
      <c r="O429">
        <f t="shared" si="56"/>
        <v>35</v>
      </c>
      <c r="P429">
        <v>70000</v>
      </c>
      <c r="Q429">
        <f t="shared" si="57"/>
        <v>70000</v>
      </c>
      <c r="R429" t="str">
        <f t="shared" si="58"/>
        <v>Other</v>
      </c>
      <c r="S429" t="str">
        <f t="shared" si="59"/>
        <v>HR</v>
      </c>
      <c r="T429" t="str">
        <f t="shared" si="60"/>
        <v>Assistant</v>
      </c>
      <c r="U429" s="2">
        <v>43549</v>
      </c>
      <c r="V429" t="s">
        <v>20</v>
      </c>
      <c r="W429" t="s">
        <v>15</v>
      </c>
      <c r="X429" t="str">
        <f t="shared" si="61"/>
        <v>Email not provided</v>
      </c>
      <c r="Y429" t="str">
        <f t="shared" si="62"/>
        <v>Email not provided</v>
      </c>
      <c r="Z429" t="str">
        <f t="shared" si="54"/>
        <v>098-765-4321</v>
      </c>
    </row>
    <row r="430" spans="1:26" x14ac:dyDescent="0.25">
      <c r="A430" t="s">
        <v>16</v>
      </c>
      <c r="B430">
        <v>35</v>
      </c>
      <c r="C430">
        <v>65000</v>
      </c>
      <c r="D430" t="s">
        <v>32</v>
      </c>
      <c r="E430" t="s">
        <v>18</v>
      </c>
      <c r="F430" t="s">
        <v>38</v>
      </c>
      <c r="G430" s="2">
        <v>43800</v>
      </c>
      <c r="H430" t="s">
        <v>20</v>
      </c>
      <c r="I430" t="s">
        <v>52</v>
      </c>
      <c r="J430" t="s">
        <v>25</v>
      </c>
      <c r="M430" t="str">
        <f t="shared" si="55"/>
        <v>David</v>
      </c>
      <c r="N430">
        <v>35</v>
      </c>
      <c r="O430">
        <f t="shared" si="56"/>
        <v>35</v>
      </c>
      <c r="P430">
        <v>65000</v>
      </c>
      <c r="Q430">
        <f t="shared" si="57"/>
        <v>65000</v>
      </c>
      <c r="R430" t="str">
        <f t="shared" si="58"/>
        <v>Other</v>
      </c>
      <c r="S430" t="str">
        <f t="shared" si="59"/>
        <v>Finance</v>
      </c>
      <c r="T430" t="str">
        <f t="shared" si="60"/>
        <v>Analyst</v>
      </c>
      <c r="U430" s="2">
        <v>43800</v>
      </c>
      <c r="V430" t="s">
        <v>20</v>
      </c>
      <c r="W430" t="s">
        <v>52</v>
      </c>
      <c r="X430" t="str">
        <f t="shared" si="61"/>
        <v>user@domain/com</v>
      </c>
      <c r="Y430" t="str">
        <f t="shared" si="62"/>
        <v>user@domain.com</v>
      </c>
      <c r="Z430" t="str">
        <f t="shared" si="54"/>
        <v>098-765-4321</v>
      </c>
    </row>
    <row r="431" spans="1:26" x14ac:dyDescent="0.25">
      <c r="A431" t="s">
        <v>41</v>
      </c>
      <c r="B431">
        <v>30</v>
      </c>
      <c r="C431">
        <v>65000</v>
      </c>
      <c r="D431" t="s">
        <v>32</v>
      </c>
      <c r="E431" t="s">
        <v>27</v>
      </c>
      <c r="F431" t="s">
        <v>38</v>
      </c>
      <c r="G431" s="2">
        <v>43881</v>
      </c>
      <c r="H431" t="s">
        <v>14</v>
      </c>
      <c r="I431" t="s">
        <v>51</v>
      </c>
      <c r="J431" t="s">
        <v>25</v>
      </c>
      <c r="M431" t="str">
        <f t="shared" si="55"/>
        <v>Bob</v>
      </c>
      <c r="N431">
        <v>30</v>
      </c>
      <c r="O431">
        <f t="shared" si="56"/>
        <v>30</v>
      </c>
      <c r="P431">
        <v>65000</v>
      </c>
      <c r="Q431">
        <f t="shared" si="57"/>
        <v>65000</v>
      </c>
      <c r="R431" t="str">
        <f t="shared" si="58"/>
        <v>Other</v>
      </c>
      <c r="S431" t="str">
        <f t="shared" si="59"/>
        <v>IT</v>
      </c>
      <c r="T431" t="str">
        <f t="shared" si="60"/>
        <v>Analyst</v>
      </c>
      <c r="U431" s="2">
        <v>43881</v>
      </c>
      <c r="V431" t="s">
        <v>14</v>
      </c>
      <c r="W431" t="s">
        <v>51</v>
      </c>
      <c r="X431" t="str">
        <f t="shared" si="61"/>
        <v>email@example/com</v>
      </c>
      <c r="Y431" t="str">
        <f t="shared" si="62"/>
        <v>email@example.com</v>
      </c>
      <c r="Z431" t="str">
        <f t="shared" si="54"/>
        <v>098-765-4321</v>
      </c>
    </row>
    <row r="432" spans="1:26" x14ac:dyDescent="0.25">
      <c r="A432" t="s">
        <v>16</v>
      </c>
      <c r="B432">
        <v>40</v>
      </c>
      <c r="C432">
        <v>70000</v>
      </c>
      <c r="D432" t="s">
        <v>17</v>
      </c>
      <c r="E432" t="s">
        <v>18</v>
      </c>
      <c r="F432" t="s">
        <v>35</v>
      </c>
      <c r="G432" s="2">
        <v>43845</v>
      </c>
      <c r="H432" t="s">
        <v>20</v>
      </c>
      <c r="I432" t="s">
        <v>51</v>
      </c>
      <c r="J432" t="s">
        <v>25</v>
      </c>
      <c r="M432" t="str">
        <f t="shared" si="55"/>
        <v>David</v>
      </c>
      <c r="N432">
        <v>40</v>
      </c>
      <c r="O432">
        <f t="shared" si="56"/>
        <v>40</v>
      </c>
      <c r="P432">
        <v>70000</v>
      </c>
      <c r="Q432">
        <f t="shared" si="57"/>
        <v>70000</v>
      </c>
      <c r="R432" t="str">
        <f t="shared" si="58"/>
        <v>Female</v>
      </c>
      <c r="S432" t="str">
        <f t="shared" si="59"/>
        <v>Finance</v>
      </c>
      <c r="T432" t="str">
        <f t="shared" si="60"/>
        <v>Clerk</v>
      </c>
      <c r="U432" s="2">
        <v>43845</v>
      </c>
      <c r="V432" t="s">
        <v>20</v>
      </c>
      <c r="W432" t="s">
        <v>51</v>
      </c>
      <c r="X432" t="str">
        <f t="shared" si="61"/>
        <v>email@example/com</v>
      </c>
      <c r="Y432" t="str">
        <f t="shared" si="62"/>
        <v>email@example.com</v>
      </c>
      <c r="Z432" t="str">
        <f t="shared" si="54"/>
        <v>098-765-4321</v>
      </c>
    </row>
    <row r="433" spans="1:26" x14ac:dyDescent="0.25">
      <c r="A433" t="s">
        <v>31</v>
      </c>
      <c r="B433">
        <v>40</v>
      </c>
      <c r="C433">
        <v>65000</v>
      </c>
      <c r="D433" t="s">
        <v>32</v>
      </c>
      <c r="E433" t="s">
        <v>33</v>
      </c>
      <c r="F433" t="s">
        <v>35</v>
      </c>
      <c r="G433" s="2">
        <v>43881</v>
      </c>
      <c r="H433" t="s">
        <v>24</v>
      </c>
      <c r="I433" t="s">
        <v>51</v>
      </c>
      <c r="J433" t="s">
        <v>39</v>
      </c>
      <c r="M433" t="str">
        <f t="shared" si="55"/>
        <v>Jack</v>
      </c>
      <c r="N433">
        <v>40</v>
      </c>
      <c r="O433">
        <f t="shared" si="56"/>
        <v>40</v>
      </c>
      <c r="P433">
        <v>65000</v>
      </c>
      <c r="Q433">
        <f t="shared" si="57"/>
        <v>65000</v>
      </c>
      <c r="R433" t="str">
        <f t="shared" si="58"/>
        <v>Other</v>
      </c>
      <c r="S433" t="str">
        <f t="shared" si="59"/>
        <v>Marketing</v>
      </c>
      <c r="T433" t="str">
        <f t="shared" si="60"/>
        <v>Clerk</v>
      </c>
      <c r="U433" s="2">
        <v>43881</v>
      </c>
      <c r="V433" t="s">
        <v>24</v>
      </c>
      <c r="W433" t="s">
        <v>51</v>
      </c>
      <c r="X433" t="str">
        <f t="shared" si="61"/>
        <v>email@example/com</v>
      </c>
      <c r="Y433" t="str">
        <f t="shared" si="62"/>
        <v>email@example.com</v>
      </c>
      <c r="Z433" t="str">
        <f t="shared" si="54"/>
        <v>555-555-5555</v>
      </c>
    </row>
    <row r="434" spans="1:26" x14ac:dyDescent="0.25">
      <c r="A434" t="s">
        <v>31</v>
      </c>
      <c r="B434">
        <v>40</v>
      </c>
      <c r="C434">
        <v>65000</v>
      </c>
      <c r="D434" t="s">
        <v>11</v>
      </c>
      <c r="E434" t="s">
        <v>12</v>
      </c>
      <c r="F434" t="s">
        <v>35</v>
      </c>
      <c r="G434" s="2">
        <v>43549</v>
      </c>
      <c r="H434" t="s">
        <v>36</v>
      </c>
      <c r="I434" t="s">
        <v>51</v>
      </c>
      <c r="J434" t="s">
        <v>21</v>
      </c>
      <c r="M434" t="str">
        <f t="shared" si="55"/>
        <v>Jack</v>
      </c>
      <c r="N434">
        <v>40</v>
      </c>
      <c r="O434">
        <f t="shared" si="56"/>
        <v>40</v>
      </c>
      <c r="P434">
        <v>65000</v>
      </c>
      <c r="Q434">
        <f t="shared" si="57"/>
        <v>65000</v>
      </c>
      <c r="R434" t="str">
        <f t="shared" si="58"/>
        <v>Male</v>
      </c>
      <c r="S434" t="str">
        <f t="shared" si="59"/>
        <v>HR</v>
      </c>
      <c r="T434" t="str">
        <f t="shared" si="60"/>
        <v>Clerk</v>
      </c>
      <c r="U434" s="2">
        <v>43549</v>
      </c>
      <c r="V434" t="s">
        <v>36</v>
      </c>
      <c r="W434" t="s">
        <v>51</v>
      </c>
      <c r="X434" t="str">
        <f t="shared" si="61"/>
        <v>email@example/com</v>
      </c>
      <c r="Y434" t="str">
        <f t="shared" si="62"/>
        <v>email@example.com</v>
      </c>
      <c r="Z434" t="str">
        <f t="shared" si="54"/>
        <v>123-456-7890</v>
      </c>
    </row>
    <row r="435" spans="1:26" x14ac:dyDescent="0.25">
      <c r="A435" t="s">
        <v>34</v>
      </c>
      <c r="B435">
        <v>35</v>
      </c>
      <c r="C435">
        <v>65000</v>
      </c>
      <c r="D435" t="s">
        <v>11</v>
      </c>
      <c r="E435" t="s">
        <v>18</v>
      </c>
      <c r="F435" t="s">
        <v>19</v>
      </c>
      <c r="G435" s="2">
        <v>43881</v>
      </c>
      <c r="H435" t="s">
        <v>20</v>
      </c>
      <c r="I435" t="s">
        <v>53</v>
      </c>
      <c r="J435" t="s">
        <v>29</v>
      </c>
      <c r="M435" t="str">
        <f t="shared" si="55"/>
        <v>Charlie</v>
      </c>
      <c r="N435">
        <v>35</v>
      </c>
      <c r="O435">
        <f t="shared" si="56"/>
        <v>35</v>
      </c>
      <c r="P435">
        <v>65000</v>
      </c>
      <c r="Q435">
        <f t="shared" si="57"/>
        <v>65000</v>
      </c>
      <c r="R435" t="str">
        <f t="shared" si="58"/>
        <v>Male</v>
      </c>
      <c r="S435" t="str">
        <f t="shared" si="59"/>
        <v>Finance</v>
      </c>
      <c r="T435" t="str">
        <f t="shared" si="60"/>
        <v>Director</v>
      </c>
      <c r="U435" s="2">
        <v>43881</v>
      </c>
      <c r="V435" t="s">
        <v>20</v>
      </c>
      <c r="W435" t="s">
        <v>53</v>
      </c>
      <c r="X435" t="str">
        <f t="shared" si="61"/>
        <v>name@company/org</v>
      </c>
      <c r="Y435" t="str">
        <f t="shared" si="62"/>
        <v>name@company.org</v>
      </c>
      <c r="Z435" t="str">
        <f t="shared" si="54"/>
        <v>Phone not provided</v>
      </c>
    </row>
    <row r="436" spans="1:26" x14ac:dyDescent="0.25">
      <c r="A436" t="s">
        <v>31</v>
      </c>
      <c r="B436" t="s">
        <v>15</v>
      </c>
      <c r="C436" t="s">
        <v>30</v>
      </c>
      <c r="D436" t="s">
        <v>17</v>
      </c>
      <c r="E436" t="s">
        <v>12</v>
      </c>
      <c r="F436" t="s">
        <v>19</v>
      </c>
      <c r="G436" s="2">
        <v>43881</v>
      </c>
      <c r="H436" t="s">
        <v>24</v>
      </c>
      <c r="I436" t="s">
        <v>15</v>
      </c>
      <c r="J436" t="s">
        <v>21</v>
      </c>
      <c r="M436" t="str">
        <f t="shared" si="55"/>
        <v>Jack</v>
      </c>
      <c r="N436" t="s">
        <v>15</v>
      </c>
      <c r="O436">
        <f t="shared" si="56"/>
        <v>35</v>
      </c>
      <c r="P436" t="s">
        <v>30</v>
      </c>
      <c r="Q436">
        <f t="shared" si="57"/>
        <v>60000</v>
      </c>
      <c r="R436" t="str">
        <f t="shared" si="58"/>
        <v>Female</v>
      </c>
      <c r="S436" t="str">
        <f t="shared" si="59"/>
        <v>HR</v>
      </c>
      <c r="T436" t="str">
        <f t="shared" si="60"/>
        <v>Director</v>
      </c>
      <c r="U436" s="2">
        <v>43881</v>
      </c>
      <c r="V436" t="s">
        <v>24</v>
      </c>
      <c r="W436" t="s">
        <v>15</v>
      </c>
      <c r="X436" t="str">
        <f t="shared" si="61"/>
        <v>Email not provided</v>
      </c>
      <c r="Y436" t="str">
        <f t="shared" si="62"/>
        <v>Email not provided</v>
      </c>
      <c r="Z436" t="str">
        <f t="shared" si="54"/>
        <v>123-456-7890</v>
      </c>
    </row>
    <row r="437" spans="1:26" x14ac:dyDescent="0.25">
      <c r="A437" t="s">
        <v>42</v>
      </c>
      <c r="B437">
        <v>50</v>
      </c>
      <c r="C437">
        <v>55000</v>
      </c>
      <c r="D437" t="s">
        <v>11</v>
      </c>
      <c r="E437" t="s">
        <v>12</v>
      </c>
      <c r="F437" t="s">
        <v>19</v>
      </c>
      <c r="G437" s="2">
        <v>43881</v>
      </c>
      <c r="H437" t="s">
        <v>36</v>
      </c>
      <c r="J437" t="s">
        <v>21</v>
      </c>
      <c r="M437" t="str">
        <f t="shared" si="55"/>
        <v>Alice</v>
      </c>
      <c r="N437">
        <v>50</v>
      </c>
      <c r="O437">
        <f t="shared" si="56"/>
        <v>50</v>
      </c>
      <c r="P437">
        <v>55000</v>
      </c>
      <c r="Q437">
        <f t="shared" si="57"/>
        <v>55000</v>
      </c>
      <c r="R437" t="str">
        <f t="shared" si="58"/>
        <v>Male</v>
      </c>
      <c r="S437" t="str">
        <f t="shared" si="59"/>
        <v>HR</v>
      </c>
      <c r="T437" t="str">
        <f t="shared" si="60"/>
        <v>Director</v>
      </c>
      <c r="U437" s="2">
        <v>43881</v>
      </c>
      <c r="V437" t="s">
        <v>36</v>
      </c>
      <c r="X437" t="str">
        <f t="shared" si="61"/>
        <v>Email not provided</v>
      </c>
      <c r="Y437" t="str">
        <f t="shared" si="62"/>
        <v>Email not provided</v>
      </c>
      <c r="Z437" t="str">
        <f t="shared" si="54"/>
        <v>123-456-7890</v>
      </c>
    </row>
    <row r="438" spans="1:26" x14ac:dyDescent="0.25">
      <c r="A438" t="s">
        <v>22</v>
      </c>
      <c r="B438">
        <v>50</v>
      </c>
      <c r="C438">
        <v>70000</v>
      </c>
      <c r="D438" t="s">
        <v>17</v>
      </c>
      <c r="E438" t="s">
        <v>27</v>
      </c>
      <c r="F438" t="s">
        <v>13</v>
      </c>
      <c r="G438" s="1">
        <v>43195</v>
      </c>
      <c r="H438" t="s">
        <v>36</v>
      </c>
      <c r="I438" t="s">
        <v>52</v>
      </c>
      <c r="J438" t="s">
        <v>29</v>
      </c>
      <c r="M438" t="str">
        <f t="shared" si="55"/>
        <v>Hannah</v>
      </c>
      <c r="N438">
        <v>50</v>
      </c>
      <c r="O438">
        <f t="shared" si="56"/>
        <v>50</v>
      </c>
      <c r="P438">
        <v>70000</v>
      </c>
      <c r="Q438">
        <f t="shared" si="57"/>
        <v>70000</v>
      </c>
      <c r="R438" t="str">
        <f t="shared" si="58"/>
        <v>Female</v>
      </c>
      <c r="S438" t="str">
        <f t="shared" si="59"/>
        <v>IT</v>
      </c>
      <c r="T438" t="str">
        <f t="shared" si="60"/>
        <v>Manager</v>
      </c>
      <c r="U438" s="2">
        <v>43195</v>
      </c>
      <c r="V438" t="s">
        <v>36</v>
      </c>
      <c r="W438" t="s">
        <v>52</v>
      </c>
      <c r="X438" t="str">
        <f t="shared" si="61"/>
        <v>user@domain/com</v>
      </c>
      <c r="Y438" t="str">
        <f t="shared" si="62"/>
        <v>user@domain.com</v>
      </c>
      <c r="Z438" t="str">
        <f t="shared" si="54"/>
        <v>Phone not provided</v>
      </c>
    </row>
    <row r="439" spans="1:26" x14ac:dyDescent="0.25">
      <c r="A439" t="s">
        <v>26</v>
      </c>
      <c r="B439">
        <v>35</v>
      </c>
      <c r="C439">
        <v>65000</v>
      </c>
      <c r="D439" t="s">
        <v>17</v>
      </c>
      <c r="E439" t="s">
        <v>27</v>
      </c>
      <c r="F439" t="s">
        <v>38</v>
      </c>
      <c r="G439" s="2">
        <v>43549</v>
      </c>
      <c r="H439" t="s">
        <v>20</v>
      </c>
      <c r="I439" t="s">
        <v>51</v>
      </c>
      <c r="J439" t="s">
        <v>25</v>
      </c>
      <c r="M439" t="str">
        <f t="shared" si="55"/>
        <v>Eve</v>
      </c>
      <c r="N439">
        <v>35</v>
      </c>
      <c r="O439">
        <f t="shared" si="56"/>
        <v>35</v>
      </c>
      <c r="P439">
        <v>65000</v>
      </c>
      <c r="Q439">
        <f t="shared" si="57"/>
        <v>65000</v>
      </c>
      <c r="R439" t="str">
        <f t="shared" si="58"/>
        <v>Female</v>
      </c>
      <c r="S439" t="str">
        <f t="shared" si="59"/>
        <v>IT</v>
      </c>
      <c r="T439" t="str">
        <f t="shared" si="60"/>
        <v>Analyst</v>
      </c>
      <c r="U439" s="2">
        <v>43549</v>
      </c>
      <c r="V439" t="s">
        <v>20</v>
      </c>
      <c r="W439" t="s">
        <v>51</v>
      </c>
      <c r="X439" t="str">
        <f t="shared" si="61"/>
        <v>email@example/com</v>
      </c>
      <c r="Y439" t="str">
        <f t="shared" si="62"/>
        <v>email@example.com</v>
      </c>
      <c r="Z439" t="str">
        <f t="shared" si="54"/>
        <v>098-765-4321</v>
      </c>
    </row>
    <row r="440" spans="1:26" x14ac:dyDescent="0.25">
      <c r="A440" t="s">
        <v>16</v>
      </c>
      <c r="B440">
        <v>50</v>
      </c>
      <c r="C440" t="s">
        <v>30</v>
      </c>
      <c r="D440" t="s">
        <v>11</v>
      </c>
      <c r="E440" t="s">
        <v>33</v>
      </c>
      <c r="F440" t="s">
        <v>37</v>
      </c>
      <c r="G440" s="2">
        <v>43881</v>
      </c>
      <c r="H440" t="s">
        <v>24</v>
      </c>
      <c r="I440" t="s">
        <v>15</v>
      </c>
      <c r="J440" t="s">
        <v>39</v>
      </c>
      <c r="M440" t="str">
        <f t="shared" si="55"/>
        <v>David</v>
      </c>
      <c r="N440">
        <v>50</v>
      </c>
      <c r="O440">
        <f t="shared" si="56"/>
        <v>50</v>
      </c>
      <c r="P440" t="s">
        <v>30</v>
      </c>
      <c r="Q440">
        <f t="shared" si="57"/>
        <v>60000</v>
      </c>
      <c r="R440" t="str">
        <f t="shared" si="58"/>
        <v>Male</v>
      </c>
      <c r="S440" t="str">
        <f t="shared" si="59"/>
        <v>Marketing</v>
      </c>
      <c r="T440" t="str">
        <f t="shared" si="60"/>
        <v>Assistant</v>
      </c>
      <c r="U440" s="2">
        <v>43881</v>
      </c>
      <c r="V440" t="s">
        <v>24</v>
      </c>
      <c r="W440" t="s">
        <v>15</v>
      </c>
      <c r="X440" t="str">
        <f t="shared" si="61"/>
        <v>Email not provided</v>
      </c>
      <c r="Y440" t="str">
        <f t="shared" si="62"/>
        <v>Email not provided</v>
      </c>
      <c r="Z440" t="str">
        <f t="shared" si="54"/>
        <v>555-555-5555</v>
      </c>
    </row>
    <row r="441" spans="1:26" x14ac:dyDescent="0.25">
      <c r="A441" t="s">
        <v>22</v>
      </c>
      <c r="B441">
        <v>40</v>
      </c>
      <c r="C441">
        <v>70000</v>
      </c>
      <c r="D441" t="s">
        <v>32</v>
      </c>
      <c r="E441" t="s">
        <v>23</v>
      </c>
      <c r="F441" t="s">
        <v>13</v>
      </c>
      <c r="G441" s="2">
        <v>43881</v>
      </c>
      <c r="H441" t="s">
        <v>20</v>
      </c>
      <c r="J441" t="s">
        <v>39</v>
      </c>
      <c r="M441" t="str">
        <f t="shared" si="55"/>
        <v>Hannah</v>
      </c>
      <c r="N441">
        <v>40</v>
      </c>
      <c r="O441">
        <f t="shared" si="56"/>
        <v>40</v>
      </c>
      <c r="P441">
        <v>70000</v>
      </c>
      <c r="Q441">
        <f t="shared" si="57"/>
        <v>70000</v>
      </c>
      <c r="R441" t="str">
        <f t="shared" si="58"/>
        <v>Other</v>
      </c>
      <c r="S441" t="str">
        <f t="shared" si="59"/>
        <v>Sales</v>
      </c>
      <c r="T441" t="str">
        <f t="shared" si="60"/>
        <v>Manager</v>
      </c>
      <c r="U441" s="2">
        <v>43881</v>
      </c>
      <c r="V441" t="s">
        <v>20</v>
      </c>
      <c r="X441" t="str">
        <f t="shared" si="61"/>
        <v>Email not provided</v>
      </c>
      <c r="Y441" t="str">
        <f t="shared" si="62"/>
        <v>Email not provided</v>
      </c>
      <c r="Z441" t="str">
        <f t="shared" si="54"/>
        <v>555-555-5555</v>
      </c>
    </row>
    <row r="442" spans="1:26" x14ac:dyDescent="0.25">
      <c r="A442" t="s">
        <v>10</v>
      </c>
      <c r="B442">
        <v>30</v>
      </c>
      <c r="C442">
        <v>60000</v>
      </c>
      <c r="D442" t="s">
        <v>11</v>
      </c>
      <c r="E442" t="s">
        <v>12</v>
      </c>
      <c r="F442" t="s">
        <v>38</v>
      </c>
      <c r="G442" s="2">
        <v>43881</v>
      </c>
      <c r="H442" t="s">
        <v>14</v>
      </c>
      <c r="I442" t="s">
        <v>15</v>
      </c>
      <c r="J442" t="s">
        <v>21</v>
      </c>
      <c r="M442" t="str">
        <f t="shared" si="55"/>
        <v>Grace</v>
      </c>
      <c r="N442">
        <v>30</v>
      </c>
      <c r="O442">
        <f t="shared" si="56"/>
        <v>30</v>
      </c>
      <c r="P442">
        <v>60000</v>
      </c>
      <c r="Q442">
        <f t="shared" si="57"/>
        <v>60000</v>
      </c>
      <c r="R442" t="str">
        <f t="shared" si="58"/>
        <v>Male</v>
      </c>
      <c r="S442" t="str">
        <f t="shared" si="59"/>
        <v>HR</v>
      </c>
      <c r="T442" t="str">
        <f t="shared" si="60"/>
        <v>Analyst</v>
      </c>
      <c r="U442" s="2">
        <v>43881</v>
      </c>
      <c r="V442" t="s">
        <v>14</v>
      </c>
      <c r="W442" t="s">
        <v>15</v>
      </c>
      <c r="X442" t="str">
        <f t="shared" si="61"/>
        <v>Email not provided</v>
      </c>
      <c r="Y442" t="str">
        <f t="shared" si="62"/>
        <v>Email not provided</v>
      </c>
      <c r="Z442" t="str">
        <f t="shared" si="54"/>
        <v>123-456-7890</v>
      </c>
    </row>
    <row r="443" spans="1:26" x14ac:dyDescent="0.25">
      <c r="A443" t="s">
        <v>41</v>
      </c>
      <c r="B443">
        <v>25</v>
      </c>
      <c r="C443">
        <v>60000</v>
      </c>
      <c r="D443" t="s">
        <v>11</v>
      </c>
      <c r="E443" t="s">
        <v>23</v>
      </c>
      <c r="F443" t="s">
        <v>38</v>
      </c>
      <c r="G443" s="2">
        <v>43845</v>
      </c>
      <c r="H443" t="s">
        <v>36</v>
      </c>
      <c r="I443" t="s">
        <v>53</v>
      </c>
      <c r="J443" t="s">
        <v>29</v>
      </c>
      <c r="M443" t="str">
        <f t="shared" si="55"/>
        <v>Bob</v>
      </c>
      <c r="N443">
        <v>25</v>
      </c>
      <c r="O443">
        <f t="shared" si="56"/>
        <v>25</v>
      </c>
      <c r="P443">
        <v>60000</v>
      </c>
      <c r="Q443">
        <f t="shared" si="57"/>
        <v>60000</v>
      </c>
      <c r="R443" t="str">
        <f t="shared" si="58"/>
        <v>Male</v>
      </c>
      <c r="S443" t="str">
        <f t="shared" si="59"/>
        <v>Sales</v>
      </c>
      <c r="T443" t="str">
        <f t="shared" si="60"/>
        <v>Analyst</v>
      </c>
      <c r="U443" s="2">
        <v>43845</v>
      </c>
      <c r="V443" t="s">
        <v>36</v>
      </c>
      <c r="W443" t="s">
        <v>53</v>
      </c>
      <c r="X443" t="str">
        <f t="shared" si="61"/>
        <v>name@company/org</v>
      </c>
      <c r="Y443" t="str">
        <f t="shared" si="62"/>
        <v>name@company.org</v>
      </c>
      <c r="Z443" t="str">
        <f t="shared" si="54"/>
        <v>Phone not provided</v>
      </c>
    </row>
    <row r="444" spans="1:26" x14ac:dyDescent="0.25">
      <c r="A444" t="s">
        <v>42</v>
      </c>
      <c r="B444" t="s">
        <v>15</v>
      </c>
      <c r="C444">
        <v>65000</v>
      </c>
      <c r="D444" t="s">
        <v>17</v>
      </c>
      <c r="E444" t="s">
        <v>33</v>
      </c>
      <c r="F444" t="s">
        <v>35</v>
      </c>
      <c r="G444" s="1">
        <v>43195</v>
      </c>
      <c r="H444" t="s">
        <v>20</v>
      </c>
      <c r="J444" t="s">
        <v>15</v>
      </c>
      <c r="M444" t="str">
        <f t="shared" si="55"/>
        <v>Alice</v>
      </c>
      <c r="N444" t="s">
        <v>15</v>
      </c>
      <c r="O444">
        <f t="shared" si="56"/>
        <v>35</v>
      </c>
      <c r="P444">
        <v>65000</v>
      </c>
      <c r="Q444">
        <f t="shared" si="57"/>
        <v>65000</v>
      </c>
      <c r="R444" t="str">
        <f t="shared" si="58"/>
        <v>Female</v>
      </c>
      <c r="S444" t="str">
        <f t="shared" si="59"/>
        <v>Marketing</v>
      </c>
      <c r="T444" t="str">
        <f t="shared" si="60"/>
        <v>Clerk</v>
      </c>
      <c r="U444" s="2">
        <v>43195</v>
      </c>
      <c r="V444" t="s">
        <v>20</v>
      </c>
      <c r="X444" t="str">
        <f t="shared" si="61"/>
        <v>Email not provided</v>
      </c>
      <c r="Y444" t="str">
        <f t="shared" si="62"/>
        <v>Email not provided</v>
      </c>
      <c r="Z444" t="str">
        <f t="shared" si="54"/>
        <v>Phone not provided</v>
      </c>
    </row>
    <row r="445" spans="1:26" x14ac:dyDescent="0.25">
      <c r="A445" t="s">
        <v>16</v>
      </c>
      <c r="B445" t="s">
        <v>15</v>
      </c>
      <c r="C445" t="s">
        <v>30</v>
      </c>
      <c r="D445" t="s">
        <v>11</v>
      </c>
      <c r="E445" t="s">
        <v>12</v>
      </c>
      <c r="F445" t="s">
        <v>35</v>
      </c>
      <c r="G445" s="2">
        <v>43845</v>
      </c>
      <c r="H445" t="s">
        <v>36</v>
      </c>
      <c r="I445" t="s">
        <v>15</v>
      </c>
      <c r="J445" t="s">
        <v>25</v>
      </c>
      <c r="M445" t="str">
        <f t="shared" si="55"/>
        <v>David</v>
      </c>
      <c r="N445" t="s">
        <v>15</v>
      </c>
      <c r="O445">
        <f t="shared" si="56"/>
        <v>35</v>
      </c>
      <c r="P445" t="s">
        <v>30</v>
      </c>
      <c r="Q445">
        <f t="shared" si="57"/>
        <v>60000</v>
      </c>
      <c r="R445" t="str">
        <f t="shared" si="58"/>
        <v>Male</v>
      </c>
      <c r="S445" t="str">
        <f t="shared" si="59"/>
        <v>HR</v>
      </c>
      <c r="T445" t="str">
        <f t="shared" si="60"/>
        <v>Clerk</v>
      </c>
      <c r="U445" s="2">
        <v>43845</v>
      </c>
      <c r="V445" t="s">
        <v>36</v>
      </c>
      <c r="W445" t="s">
        <v>15</v>
      </c>
      <c r="X445" t="str">
        <f t="shared" si="61"/>
        <v>Email not provided</v>
      </c>
      <c r="Y445" t="str">
        <f t="shared" si="62"/>
        <v>Email not provided</v>
      </c>
      <c r="Z445" t="str">
        <f t="shared" si="54"/>
        <v>098-765-4321</v>
      </c>
    </row>
    <row r="446" spans="1:26" x14ac:dyDescent="0.25">
      <c r="A446" t="s">
        <v>22</v>
      </c>
      <c r="B446">
        <v>35</v>
      </c>
      <c r="C446" t="s">
        <v>30</v>
      </c>
      <c r="D446" t="s">
        <v>17</v>
      </c>
      <c r="E446" t="s">
        <v>12</v>
      </c>
      <c r="F446" t="s">
        <v>13</v>
      </c>
      <c r="G446" s="1">
        <v>43195</v>
      </c>
      <c r="H446" t="s">
        <v>24</v>
      </c>
      <c r="I446" t="s">
        <v>53</v>
      </c>
      <c r="J446" t="s">
        <v>21</v>
      </c>
      <c r="M446" t="str">
        <f t="shared" si="55"/>
        <v>Hannah</v>
      </c>
      <c r="N446">
        <v>35</v>
      </c>
      <c r="O446">
        <f t="shared" si="56"/>
        <v>35</v>
      </c>
      <c r="P446" t="s">
        <v>30</v>
      </c>
      <c r="Q446">
        <f t="shared" si="57"/>
        <v>60000</v>
      </c>
      <c r="R446" t="str">
        <f t="shared" si="58"/>
        <v>Female</v>
      </c>
      <c r="S446" t="str">
        <f t="shared" si="59"/>
        <v>HR</v>
      </c>
      <c r="T446" t="str">
        <f t="shared" si="60"/>
        <v>Manager</v>
      </c>
      <c r="U446" s="2">
        <v>43195</v>
      </c>
      <c r="V446" t="s">
        <v>24</v>
      </c>
      <c r="W446" t="s">
        <v>53</v>
      </c>
      <c r="X446" t="str">
        <f t="shared" si="61"/>
        <v>name@company/org</v>
      </c>
      <c r="Y446" t="str">
        <f t="shared" si="62"/>
        <v>name@company.org</v>
      </c>
      <c r="Z446" t="str">
        <f t="shared" si="54"/>
        <v>123-456-7890</v>
      </c>
    </row>
    <row r="447" spans="1:26" x14ac:dyDescent="0.25">
      <c r="A447" t="s">
        <v>41</v>
      </c>
      <c r="B447" t="s">
        <v>15</v>
      </c>
      <c r="C447">
        <v>70000</v>
      </c>
      <c r="D447" t="s">
        <v>32</v>
      </c>
      <c r="E447" t="s">
        <v>23</v>
      </c>
      <c r="F447" t="s">
        <v>35</v>
      </c>
      <c r="G447" s="2">
        <v>43881</v>
      </c>
      <c r="H447" t="s">
        <v>28</v>
      </c>
      <c r="I447" t="s">
        <v>15</v>
      </c>
      <c r="J447" t="s">
        <v>39</v>
      </c>
      <c r="M447" t="str">
        <f t="shared" si="55"/>
        <v>Bob</v>
      </c>
      <c r="N447" t="s">
        <v>15</v>
      </c>
      <c r="O447">
        <f t="shared" si="56"/>
        <v>35</v>
      </c>
      <c r="P447">
        <v>70000</v>
      </c>
      <c r="Q447">
        <f t="shared" si="57"/>
        <v>70000</v>
      </c>
      <c r="R447" t="str">
        <f t="shared" si="58"/>
        <v>Other</v>
      </c>
      <c r="S447" t="str">
        <f t="shared" si="59"/>
        <v>Sales</v>
      </c>
      <c r="T447" t="str">
        <f t="shared" si="60"/>
        <v>Clerk</v>
      </c>
      <c r="U447" s="2">
        <v>43881</v>
      </c>
      <c r="V447" t="s">
        <v>28</v>
      </c>
      <c r="W447" t="s">
        <v>15</v>
      </c>
      <c r="X447" t="str">
        <f t="shared" si="61"/>
        <v>Email not provided</v>
      </c>
      <c r="Y447" t="str">
        <f t="shared" si="62"/>
        <v>Email not provided</v>
      </c>
      <c r="Z447" t="str">
        <f t="shared" si="54"/>
        <v>555-555-5555</v>
      </c>
    </row>
    <row r="448" spans="1:26" x14ac:dyDescent="0.25">
      <c r="A448" t="s">
        <v>34</v>
      </c>
      <c r="B448">
        <v>40</v>
      </c>
      <c r="C448">
        <v>70000</v>
      </c>
      <c r="D448" t="s">
        <v>32</v>
      </c>
      <c r="E448" t="s">
        <v>18</v>
      </c>
      <c r="F448" t="s">
        <v>38</v>
      </c>
      <c r="G448" s="2">
        <v>43549</v>
      </c>
      <c r="H448" t="s">
        <v>20</v>
      </c>
      <c r="I448" t="s">
        <v>15</v>
      </c>
      <c r="J448" t="s">
        <v>29</v>
      </c>
      <c r="M448" t="str">
        <f t="shared" si="55"/>
        <v>Charlie</v>
      </c>
      <c r="N448">
        <v>40</v>
      </c>
      <c r="O448">
        <f t="shared" si="56"/>
        <v>40</v>
      </c>
      <c r="P448">
        <v>70000</v>
      </c>
      <c r="Q448">
        <f t="shared" si="57"/>
        <v>70000</v>
      </c>
      <c r="R448" t="str">
        <f t="shared" si="58"/>
        <v>Other</v>
      </c>
      <c r="S448" t="str">
        <f t="shared" si="59"/>
        <v>Finance</v>
      </c>
      <c r="T448" t="str">
        <f t="shared" si="60"/>
        <v>Analyst</v>
      </c>
      <c r="U448" s="2">
        <v>43549</v>
      </c>
      <c r="V448" t="s">
        <v>20</v>
      </c>
      <c r="W448" t="s">
        <v>15</v>
      </c>
      <c r="X448" t="str">
        <f t="shared" si="61"/>
        <v>Email not provided</v>
      </c>
      <c r="Y448" t="str">
        <f t="shared" si="62"/>
        <v>Email not provided</v>
      </c>
      <c r="Z448" t="str">
        <f t="shared" si="54"/>
        <v>Phone not provided</v>
      </c>
    </row>
    <row r="449" spans="1:26" x14ac:dyDescent="0.25">
      <c r="A449" t="s">
        <v>42</v>
      </c>
      <c r="B449">
        <v>50</v>
      </c>
      <c r="C449" t="s">
        <v>30</v>
      </c>
      <c r="D449" t="s">
        <v>32</v>
      </c>
      <c r="E449" t="s">
        <v>27</v>
      </c>
      <c r="F449" t="s">
        <v>35</v>
      </c>
      <c r="G449" s="2">
        <v>43800</v>
      </c>
      <c r="H449" t="s">
        <v>20</v>
      </c>
      <c r="J449" t="s">
        <v>29</v>
      </c>
      <c r="M449" t="str">
        <f t="shared" si="55"/>
        <v>Alice</v>
      </c>
      <c r="N449">
        <v>50</v>
      </c>
      <c r="O449">
        <f t="shared" si="56"/>
        <v>50</v>
      </c>
      <c r="P449" t="s">
        <v>30</v>
      </c>
      <c r="Q449">
        <f t="shared" si="57"/>
        <v>60000</v>
      </c>
      <c r="R449" t="str">
        <f t="shared" si="58"/>
        <v>Other</v>
      </c>
      <c r="S449" t="str">
        <f t="shared" si="59"/>
        <v>IT</v>
      </c>
      <c r="T449" t="str">
        <f t="shared" si="60"/>
        <v>Clerk</v>
      </c>
      <c r="U449" s="2">
        <v>43800</v>
      </c>
      <c r="V449" t="s">
        <v>20</v>
      </c>
      <c r="X449" t="str">
        <f t="shared" si="61"/>
        <v>Email not provided</v>
      </c>
      <c r="Y449" t="str">
        <f t="shared" si="62"/>
        <v>Email not provided</v>
      </c>
      <c r="Z449" t="str">
        <f t="shared" si="54"/>
        <v>Phone not provided</v>
      </c>
    </row>
    <row r="450" spans="1:26" x14ac:dyDescent="0.25">
      <c r="A450" t="s">
        <v>42</v>
      </c>
      <c r="B450">
        <v>40</v>
      </c>
      <c r="C450">
        <v>70000</v>
      </c>
      <c r="D450" t="s">
        <v>11</v>
      </c>
      <c r="E450" t="s">
        <v>18</v>
      </c>
      <c r="F450" t="s">
        <v>19</v>
      </c>
      <c r="G450" s="2">
        <v>43800</v>
      </c>
      <c r="H450" t="s">
        <v>36</v>
      </c>
      <c r="I450" t="s">
        <v>53</v>
      </c>
      <c r="J450" t="s">
        <v>21</v>
      </c>
      <c r="M450" t="str">
        <f t="shared" si="55"/>
        <v>Alice</v>
      </c>
      <c r="N450">
        <v>40</v>
      </c>
      <c r="O450">
        <f t="shared" si="56"/>
        <v>40</v>
      </c>
      <c r="P450">
        <v>70000</v>
      </c>
      <c r="Q450">
        <f t="shared" si="57"/>
        <v>70000</v>
      </c>
      <c r="R450" t="str">
        <f t="shared" si="58"/>
        <v>Male</v>
      </c>
      <c r="S450" t="str">
        <f t="shared" si="59"/>
        <v>Finance</v>
      </c>
      <c r="T450" t="str">
        <f t="shared" si="60"/>
        <v>Director</v>
      </c>
      <c r="U450" s="2">
        <v>43800</v>
      </c>
      <c r="V450" t="s">
        <v>36</v>
      </c>
      <c r="W450" t="s">
        <v>53</v>
      </c>
      <c r="X450" t="str">
        <f t="shared" si="61"/>
        <v>name@company/org</v>
      </c>
      <c r="Y450" t="str">
        <f t="shared" si="62"/>
        <v>name@company.org</v>
      </c>
      <c r="Z450" t="str">
        <f t="shared" ref="Z450:Z513" si="63">IF(OR(TRIM(J450)="", LOWER(J450)="nan"), "Phone not provided", TRIM(J450))</f>
        <v>123-456-7890</v>
      </c>
    </row>
    <row r="451" spans="1:26" x14ac:dyDescent="0.25">
      <c r="A451" t="s">
        <v>34</v>
      </c>
      <c r="B451">
        <v>35</v>
      </c>
      <c r="C451" t="s">
        <v>30</v>
      </c>
      <c r="D451" t="s">
        <v>17</v>
      </c>
      <c r="E451" t="s">
        <v>23</v>
      </c>
      <c r="F451" t="s">
        <v>35</v>
      </c>
      <c r="G451" s="2">
        <v>43881</v>
      </c>
      <c r="H451" t="s">
        <v>24</v>
      </c>
      <c r="I451" t="s">
        <v>51</v>
      </c>
      <c r="J451" t="s">
        <v>15</v>
      </c>
      <c r="M451" t="str">
        <f t="shared" ref="M451:M514" si="64">PROPER(TRIM(CLEAN(A451:A1450)))</f>
        <v>Charlie</v>
      </c>
      <c r="N451">
        <v>35</v>
      </c>
      <c r="O451">
        <f t="shared" ref="O451:O514" si="65">IF(ISNUMBER(N451),N451,MEDIAN($N$2:$N$1001))</f>
        <v>35</v>
      </c>
      <c r="P451" t="s">
        <v>30</v>
      </c>
      <c r="Q451">
        <f t="shared" ref="Q451:Q514" si="66">IF(ISNUMBER(P451),P451,MEDIAN(P451:P1450))</f>
        <v>60000</v>
      </c>
      <c r="R451" t="str">
        <f t="shared" ref="R451:R514" si="67">PROPER(TRIM(CLEAN(D451:D1450)))</f>
        <v>Female</v>
      </c>
      <c r="S451" t="str">
        <f t="shared" ref="S451:S514" si="68">TRIM(CLEAN(E451:E1450))</f>
        <v>Sales</v>
      </c>
      <c r="T451" t="str">
        <f t="shared" ref="T451:T514" si="69">TRIM(CLEAN(F451:F1450))</f>
        <v>Clerk</v>
      </c>
      <c r="U451" s="2">
        <v>43881</v>
      </c>
      <c r="V451" t="s">
        <v>24</v>
      </c>
      <c r="W451" t="s">
        <v>51</v>
      </c>
      <c r="X451" t="str">
        <f t="shared" ref="X451:X514" si="70">IF(
   OR(TRIM(W451)="",LOWER(W451)="nan"),
   "Email not provided",
   W451
)</f>
        <v>email@example/com</v>
      </c>
      <c r="Y451" t="str">
        <f t="shared" ref="Y451:Y514" si="71">SUBSTITUTE(X451,"/",".")</f>
        <v>email@example.com</v>
      </c>
      <c r="Z451" t="str">
        <f t="shared" si="63"/>
        <v>Phone not provided</v>
      </c>
    </row>
    <row r="452" spans="1:26" x14ac:dyDescent="0.25">
      <c r="A452" t="s">
        <v>26</v>
      </c>
      <c r="B452">
        <v>40</v>
      </c>
      <c r="C452">
        <v>55000</v>
      </c>
      <c r="D452" t="s">
        <v>32</v>
      </c>
      <c r="E452" t="s">
        <v>27</v>
      </c>
      <c r="F452" t="s">
        <v>38</v>
      </c>
      <c r="G452" s="2">
        <v>43845</v>
      </c>
      <c r="H452" t="s">
        <v>14</v>
      </c>
      <c r="I452" t="s">
        <v>52</v>
      </c>
      <c r="J452" t="s">
        <v>39</v>
      </c>
      <c r="M452" t="str">
        <f t="shared" si="64"/>
        <v>Eve</v>
      </c>
      <c r="N452">
        <v>40</v>
      </c>
      <c r="O452">
        <f t="shared" si="65"/>
        <v>40</v>
      </c>
      <c r="P452">
        <v>55000</v>
      </c>
      <c r="Q452">
        <f t="shared" si="66"/>
        <v>55000</v>
      </c>
      <c r="R452" t="str">
        <f t="shared" si="67"/>
        <v>Other</v>
      </c>
      <c r="S452" t="str">
        <f t="shared" si="68"/>
        <v>IT</v>
      </c>
      <c r="T452" t="str">
        <f t="shared" si="69"/>
        <v>Analyst</v>
      </c>
      <c r="U452" s="2">
        <v>43845</v>
      </c>
      <c r="V452" t="s">
        <v>14</v>
      </c>
      <c r="W452" t="s">
        <v>52</v>
      </c>
      <c r="X452" t="str">
        <f t="shared" si="70"/>
        <v>user@domain/com</v>
      </c>
      <c r="Y452" t="str">
        <f t="shared" si="71"/>
        <v>user@domain.com</v>
      </c>
      <c r="Z452" t="str">
        <f t="shared" si="63"/>
        <v>555-555-5555</v>
      </c>
    </row>
    <row r="453" spans="1:26" x14ac:dyDescent="0.25">
      <c r="A453" t="s">
        <v>34</v>
      </c>
      <c r="B453">
        <v>50</v>
      </c>
      <c r="C453" t="s">
        <v>30</v>
      </c>
      <c r="D453" t="s">
        <v>17</v>
      </c>
      <c r="E453" t="s">
        <v>18</v>
      </c>
      <c r="F453" t="s">
        <v>13</v>
      </c>
      <c r="G453" s="2">
        <v>43549</v>
      </c>
      <c r="H453" t="s">
        <v>24</v>
      </c>
      <c r="J453" t="s">
        <v>21</v>
      </c>
      <c r="M453" t="str">
        <f t="shared" si="64"/>
        <v>Charlie</v>
      </c>
      <c r="N453">
        <v>50</v>
      </c>
      <c r="O453">
        <f t="shared" si="65"/>
        <v>50</v>
      </c>
      <c r="P453" t="s">
        <v>30</v>
      </c>
      <c r="Q453">
        <f t="shared" si="66"/>
        <v>60000</v>
      </c>
      <c r="R453" t="str">
        <f t="shared" si="67"/>
        <v>Female</v>
      </c>
      <c r="S453" t="str">
        <f t="shared" si="68"/>
        <v>Finance</v>
      </c>
      <c r="T453" t="str">
        <f t="shared" si="69"/>
        <v>Manager</v>
      </c>
      <c r="U453" s="2">
        <v>43549</v>
      </c>
      <c r="V453" t="s">
        <v>24</v>
      </c>
      <c r="X453" t="str">
        <f t="shared" si="70"/>
        <v>Email not provided</v>
      </c>
      <c r="Y453" t="str">
        <f t="shared" si="71"/>
        <v>Email not provided</v>
      </c>
      <c r="Z453" t="str">
        <f t="shared" si="63"/>
        <v>123-456-7890</v>
      </c>
    </row>
    <row r="454" spans="1:26" x14ac:dyDescent="0.25">
      <c r="A454" t="s">
        <v>42</v>
      </c>
      <c r="B454">
        <v>30</v>
      </c>
      <c r="C454">
        <v>60000</v>
      </c>
      <c r="D454" t="s">
        <v>17</v>
      </c>
      <c r="E454" t="s">
        <v>27</v>
      </c>
      <c r="F454" t="s">
        <v>37</v>
      </c>
      <c r="G454" s="1">
        <v>43195</v>
      </c>
      <c r="H454" t="s">
        <v>20</v>
      </c>
      <c r="I454" t="s">
        <v>53</v>
      </c>
      <c r="J454" t="s">
        <v>15</v>
      </c>
      <c r="M454" t="str">
        <f t="shared" si="64"/>
        <v>Alice</v>
      </c>
      <c r="N454">
        <v>30</v>
      </c>
      <c r="O454">
        <f t="shared" si="65"/>
        <v>30</v>
      </c>
      <c r="P454">
        <v>60000</v>
      </c>
      <c r="Q454">
        <f t="shared" si="66"/>
        <v>60000</v>
      </c>
      <c r="R454" t="str">
        <f t="shared" si="67"/>
        <v>Female</v>
      </c>
      <c r="S454" t="str">
        <f t="shared" si="68"/>
        <v>IT</v>
      </c>
      <c r="T454" t="str">
        <f t="shared" si="69"/>
        <v>Assistant</v>
      </c>
      <c r="U454" s="2">
        <v>43195</v>
      </c>
      <c r="V454" t="s">
        <v>20</v>
      </c>
      <c r="W454" t="s">
        <v>53</v>
      </c>
      <c r="X454" t="str">
        <f t="shared" si="70"/>
        <v>name@company/org</v>
      </c>
      <c r="Y454" t="str">
        <f t="shared" si="71"/>
        <v>name@company.org</v>
      </c>
      <c r="Z454" t="str">
        <f t="shared" si="63"/>
        <v>Phone not provided</v>
      </c>
    </row>
    <row r="455" spans="1:26" x14ac:dyDescent="0.25">
      <c r="A455" t="s">
        <v>42</v>
      </c>
      <c r="B455">
        <v>35</v>
      </c>
      <c r="C455">
        <v>70000</v>
      </c>
      <c r="D455" t="s">
        <v>32</v>
      </c>
      <c r="E455" t="s">
        <v>12</v>
      </c>
      <c r="F455" t="s">
        <v>35</v>
      </c>
      <c r="G455" s="2">
        <v>43881</v>
      </c>
      <c r="H455" t="s">
        <v>14</v>
      </c>
      <c r="I455" t="s">
        <v>15</v>
      </c>
      <c r="J455" t="s">
        <v>29</v>
      </c>
      <c r="M455" t="str">
        <f t="shared" si="64"/>
        <v>Alice</v>
      </c>
      <c r="N455">
        <v>35</v>
      </c>
      <c r="O455">
        <f t="shared" si="65"/>
        <v>35</v>
      </c>
      <c r="P455">
        <v>70000</v>
      </c>
      <c r="Q455">
        <f t="shared" si="66"/>
        <v>70000</v>
      </c>
      <c r="R455" t="str">
        <f t="shared" si="67"/>
        <v>Other</v>
      </c>
      <c r="S455" t="str">
        <f t="shared" si="68"/>
        <v>HR</v>
      </c>
      <c r="T455" t="str">
        <f t="shared" si="69"/>
        <v>Clerk</v>
      </c>
      <c r="U455" s="2">
        <v>43881</v>
      </c>
      <c r="V455" t="s">
        <v>14</v>
      </c>
      <c r="W455" t="s">
        <v>15</v>
      </c>
      <c r="X455" t="str">
        <f t="shared" si="70"/>
        <v>Email not provided</v>
      </c>
      <c r="Y455" t="str">
        <f t="shared" si="71"/>
        <v>Email not provided</v>
      </c>
      <c r="Z455" t="str">
        <f t="shared" si="63"/>
        <v>Phone not provided</v>
      </c>
    </row>
    <row r="456" spans="1:26" x14ac:dyDescent="0.25">
      <c r="A456" t="s">
        <v>22</v>
      </c>
      <c r="B456">
        <v>30</v>
      </c>
      <c r="C456" t="s">
        <v>30</v>
      </c>
      <c r="D456" t="s">
        <v>32</v>
      </c>
      <c r="E456" t="s">
        <v>18</v>
      </c>
      <c r="F456" t="s">
        <v>38</v>
      </c>
      <c r="G456" s="2">
        <v>43549</v>
      </c>
      <c r="H456" t="s">
        <v>24</v>
      </c>
      <c r="I456" t="s">
        <v>53</v>
      </c>
      <c r="J456" t="s">
        <v>25</v>
      </c>
      <c r="M456" t="str">
        <f t="shared" si="64"/>
        <v>Hannah</v>
      </c>
      <c r="N456">
        <v>30</v>
      </c>
      <c r="O456">
        <f t="shared" si="65"/>
        <v>30</v>
      </c>
      <c r="P456" t="s">
        <v>30</v>
      </c>
      <c r="Q456">
        <f t="shared" si="66"/>
        <v>60000</v>
      </c>
      <c r="R456" t="str">
        <f t="shared" si="67"/>
        <v>Other</v>
      </c>
      <c r="S456" t="str">
        <f t="shared" si="68"/>
        <v>Finance</v>
      </c>
      <c r="T456" t="str">
        <f t="shared" si="69"/>
        <v>Analyst</v>
      </c>
      <c r="U456" s="2">
        <v>43549</v>
      </c>
      <c r="V456" t="s">
        <v>24</v>
      </c>
      <c r="W456" t="s">
        <v>53</v>
      </c>
      <c r="X456" t="str">
        <f t="shared" si="70"/>
        <v>name@company/org</v>
      </c>
      <c r="Y456" t="str">
        <f t="shared" si="71"/>
        <v>name@company.org</v>
      </c>
      <c r="Z456" t="str">
        <f t="shared" si="63"/>
        <v>098-765-4321</v>
      </c>
    </row>
    <row r="457" spans="1:26" x14ac:dyDescent="0.25">
      <c r="A457" t="s">
        <v>31</v>
      </c>
      <c r="B457">
        <v>25</v>
      </c>
      <c r="C457" t="s">
        <v>30</v>
      </c>
      <c r="D457" t="s">
        <v>17</v>
      </c>
      <c r="E457" t="s">
        <v>27</v>
      </c>
      <c r="F457" t="s">
        <v>37</v>
      </c>
      <c r="G457" s="2">
        <v>43549</v>
      </c>
      <c r="H457" t="s">
        <v>28</v>
      </c>
      <c r="I457" t="s">
        <v>52</v>
      </c>
      <c r="J457" t="s">
        <v>39</v>
      </c>
      <c r="M457" t="str">
        <f t="shared" si="64"/>
        <v>Jack</v>
      </c>
      <c r="N457">
        <v>25</v>
      </c>
      <c r="O457">
        <f t="shared" si="65"/>
        <v>25</v>
      </c>
      <c r="P457" t="s">
        <v>30</v>
      </c>
      <c r="Q457">
        <f t="shared" si="66"/>
        <v>60000</v>
      </c>
      <c r="R457" t="str">
        <f t="shared" si="67"/>
        <v>Female</v>
      </c>
      <c r="S457" t="str">
        <f t="shared" si="68"/>
        <v>IT</v>
      </c>
      <c r="T457" t="str">
        <f t="shared" si="69"/>
        <v>Assistant</v>
      </c>
      <c r="U457" s="2">
        <v>43549</v>
      </c>
      <c r="V457" t="s">
        <v>28</v>
      </c>
      <c r="W457" t="s">
        <v>52</v>
      </c>
      <c r="X457" t="str">
        <f t="shared" si="70"/>
        <v>user@domain/com</v>
      </c>
      <c r="Y457" t="str">
        <f t="shared" si="71"/>
        <v>user@domain.com</v>
      </c>
      <c r="Z457" t="str">
        <f t="shared" si="63"/>
        <v>555-555-5555</v>
      </c>
    </row>
    <row r="458" spans="1:26" x14ac:dyDescent="0.25">
      <c r="A458" t="s">
        <v>41</v>
      </c>
      <c r="B458">
        <v>30</v>
      </c>
      <c r="C458">
        <v>70000</v>
      </c>
      <c r="D458" t="s">
        <v>32</v>
      </c>
      <c r="E458" t="s">
        <v>27</v>
      </c>
      <c r="F458" t="s">
        <v>37</v>
      </c>
      <c r="G458" s="1">
        <v>43195</v>
      </c>
      <c r="H458" t="s">
        <v>36</v>
      </c>
      <c r="I458" t="s">
        <v>52</v>
      </c>
      <c r="J458" t="s">
        <v>39</v>
      </c>
      <c r="M458" t="str">
        <f t="shared" si="64"/>
        <v>Bob</v>
      </c>
      <c r="N458">
        <v>30</v>
      </c>
      <c r="O458">
        <f t="shared" si="65"/>
        <v>30</v>
      </c>
      <c r="P458">
        <v>70000</v>
      </c>
      <c r="Q458">
        <f t="shared" si="66"/>
        <v>70000</v>
      </c>
      <c r="R458" t="str">
        <f t="shared" si="67"/>
        <v>Other</v>
      </c>
      <c r="S458" t="str">
        <f t="shared" si="68"/>
        <v>IT</v>
      </c>
      <c r="T458" t="str">
        <f t="shared" si="69"/>
        <v>Assistant</v>
      </c>
      <c r="U458" s="2">
        <v>43195</v>
      </c>
      <c r="V458" t="s">
        <v>36</v>
      </c>
      <c r="W458" t="s">
        <v>52</v>
      </c>
      <c r="X458" t="str">
        <f t="shared" si="70"/>
        <v>user@domain/com</v>
      </c>
      <c r="Y458" t="str">
        <f t="shared" si="71"/>
        <v>user@domain.com</v>
      </c>
      <c r="Z458" t="str">
        <f t="shared" si="63"/>
        <v>555-555-5555</v>
      </c>
    </row>
    <row r="459" spans="1:26" x14ac:dyDescent="0.25">
      <c r="A459" t="s">
        <v>34</v>
      </c>
      <c r="B459">
        <v>25</v>
      </c>
      <c r="C459">
        <v>55000</v>
      </c>
      <c r="D459" t="s">
        <v>17</v>
      </c>
      <c r="E459" t="s">
        <v>27</v>
      </c>
      <c r="F459" t="s">
        <v>19</v>
      </c>
      <c r="G459" s="2">
        <v>43549</v>
      </c>
      <c r="H459" t="s">
        <v>24</v>
      </c>
      <c r="I459" t="s">
        <v>51</v>
      </c>
      <c r="J459" t="s">
        <v>15</v>
      </c>
      <c r="M459" t="str">
        <f t="shared" si="64"/>
        <v>Charlie</v>
      </c>
      <c r="N459">
        <v>25</v>
      </c>
      <c r="O459">
        <f t="shared" si="65"/>
        <v>25</v>
      </c>
      <c r="P459">
        <v>55000</v>
      </c>
      <c r="Q459">
        <f t="shared" si="66"/>
        <v>55000</v>
      </c>
      <c r="R459" t="str">
        <f t="shared" si="67"/>
        <v>Female</v>
      </c>
      <c r="S459" t="str">
        <f t="shared" si="68"/>
        <v>IT</v>
      </c>
      <c r="T459" t="str">
        <f t="shared" si="69"/>
        <v>Director</v>
      </c>
      <c r="U459" s="2">
        <v>43549</v>
      </c>
      <c r="V459" t="s">
        <v>24</v>
      </c>
      <c r="W459" t="s">
        <v>51</v>
      </c>
      <c r="X459" t="str">
        <f t="shared" si="70"/>
        <v>email@example/com</v>
      </c>
      <c r="Y459" t="str">
        <f t="shared" si="71"/>
        <v>email@example.com</v>
      </c>
      <c r="Z459" t="str">
        <f t="shared" si="63"/>
        <v>Phone not provided</v>
      </c>
    </row>
    <row r="460" spans="1:26" x14ac:dyDescent="0.25">
      <c r="A460" t="s">
        <v>41</v>
      </c>
      <c r="B460">
        <v>25</v>
      </c>
      <c r="C460">
        <v>55000</v>
      </c>
      <c r="D460" t="s">
        <v>17</v>
      </c>
      <c r="E460" t="s">
        <v>18</v>
      </c>
      <c r="F460" t="s">
        <v>37</v>
      </c>
      <c r="G460" s="2">
        <v>43845</v>
      </c>
      <c r="H460" t="s">
        <v>24</v>
      </c>
      <c r="I460" t="s">
        <v>51</v>
      </c>
      <c r="J460" t="s">
        <v>21</v>
      </c>
      <c r="M460" t="str">
        <f t="shared" si="64"/>
        <v>Bob</v>
      </c>
      <c r="N460">
        <v>25</v>
      </c>
      <c r="O460">
        <f t="shared" si="65"/>
        <v>25</v>
      </c>
      <c r="P460">
        <v>55000</v>
      </c>
      <c r="Q460">
        <f t="shared" si="66"/>
        <v>55000</v>
      </c>
      <c r="R460" t="str">
        <f t="shared" si="67"/>
        <v>Female</v>
      </c>
      <c r="S460" t="str">
        <f t="shared" si="68"/>
        <v>Finance</v>
      </c>
      <c r="T460" t="str">
        <f t="shared" si="69"/>
        <v>Assistant</v>
      </c>
      <c r="U460" s="2">
        <v>43845</v>
      </c>
      <c r="V460" t="s">
        <v>24</v>
      </c>
      <c r="W460" t="s">
        <v>51</v>
      </c>
      <c r="X460" t="str">
        <f t="shared" si="70"/>
        <v>email@example/com</v>
      </c>
      <c r="Y460" t="str">
        <f t="shared" si="71"/>
        <v>email@example.com</v>
      </c>
      <c r="Z460" t="str">
        <f t="shared" si="63"/>
        <v>123-456-7890</v>
      </c>
    </row>
    <row r="461" spans="1:26" x14ac:dyDescent="0.25">
      <c r="A461" t="s">
        <v>34</v>
      </c>
      <c r="B461">
        <v>30</v>
      </c>
      <c r="C461">
        <v>70000</v>
      </c>
      <c r="D461" t="s">
        <v>32</v>
      </c>
      <c r="E461" t="s">
        <v>33</v>
      </c>
      <c r="F461" t="s">
        <v>38</v>
      </c>
      <c r="G461" s="2">
        <v>43845</v>
      </c>
      <c r="H461" t="s">
        <v>28</v>
      </c>
      <c r="I461" t="s">
        <v>52</v>
      </c>
      <c r="J461" t="s">
        <v>29</v>
      </c>
      <c r="M461" t="str">
        <f t="shared" si="64"/>
        <v>Charlie</v>
      </c>
      <c r="N461">
        <v>30</v>
      </c>
      <c r="O461">
        <f t="shared" si="65"/>
        <v>30</v>
      </c>
      <c r="P461">
        <v>70000</v>
      </c>
      <c r="Q461">
        <f t="shared" si="66"/>
        <v>70000</v>
      </c>
      <c r="R461" t="str">
        <f t="shared" si="67"/>
        <v>Other</v>
      </c>
      <c r="S461" t="str">
        <f t="shared" si="68"/>
        <v>Marketing</v>
      </c>
      <c r="T461" t="str">
        <f t="shared" si="69"/>
        <v>Analyst</v>
      </c>
      <c r="U461" s="2">
        <v>43845</v>
      </c>
      <c r="V461" t="s">
        <v>28</v>
      </c>
      <c r="W461" t="s">
        <v>52</v>
      </c>
      <c r="X461" t="str">
        <f t="shared" si="70"/>
        <v>user@domain/com</v>
      </c>
      <c r="Y461" t="str">
        <f t="shared" si="71"/>
        <v>user@domain.com</v>
      </c>
      <c r="Z461" t="str">
        <f t="shared" si="63"/>
        <v>Phone not provided</v>
      </c>
    </row>
    <row r="462" spans="1:26" x14ac:dyDescent="0.25">
      <c r="A462" t="s">
        <v>10</v>
      </c>
      <c r="B462">
        <v>35</v>
      </c>
      <c r="C462">
        <v>50000</v>
      </c>
      <c r="D462" t="s">
        <v>11</v>
      </c>
      <c r="E462" t="s">
        <v>18</v>
      </c>
      <c r="F462" t="s">
        <v>38</v>
      </c>
      <c r="G462" s="2">
        <v>43845</v>
      </c>
      <c r="H462" t="s">
        <v>20</v>
      </c>
      <c r="J462" t="s">
        <v>15</v>
      </c>
      <c r="M462" t="str">
        <f t="shared" si="64"/>
        <v>Grace</v>
      </c>
      <c r="N462">
        <v>35</v>
      </c>
      <c r="O462">
        <f t="shared" si="65"/>
        <v>35</v>
      </c>
      <c r="P462">
        <v>50000</v>
      </c>
      <c r="Q462">
        <f t="shared" si="66"/>
        <v>50000</v>
      </c>
      <c r="R462" t="str">
        <f t="shared" si="67"/>
        <v>Male</v>
      </c>
      <c r="S462" t="str">
        <f t="shared" si="68"/>
        <v>Finance</v>
      </c>
      <c r="T462" t="str">
        <f t="shared" si="69"/>
        <v>Analyst</v>
      </c>
      <c r="U462" s="2">
        <v>43845</v>
      </c>
      <c r="V462" t="s">
        <v>20</v>
      </c>
      <c r="X462" t="str">
        <f t="shared" si="70"/>
        <v>Email not provided</v>
      </c>
      <c r="Y462" t="str">
        <f t="shared" si="71"/>
        <v>Email not provided</v>
      </c>
      <c r="Z462" t="str">
        <f t="shared" si="63"/>
        <v>Phone not provided</v>
      </c>
    </row>
    <row r="463" spans="1:26" x14ac:dyDescent="0.25">
      <c r="A463" t="s">
        <v>42</v>
      </c>
      <c r="B463">
        <v>50</v>
      </c>
      <c r="C463">
        <v>70000</v>
      </c>
      <c r="D463" t="s">
        <v>32</v>
      </c>
      <c r="E463" t="s">
        <v>23</v>
      </c>
      <c r="F463" t="s">
        <v>35</v>
      </c>
      <c r="G463" s="2">
        <v>43549</v>
      </c>
      <c r="H463" t="s">
        <v>36</v>
      </c>
      <c r="J463" t="s">
        <v>25</v>
      </c>
      <c r="M463" t="str">
        <f t="shared" si="64"/>
        <v>Alice</v>
      </c>
      <c r="N463">
        <v>50</v>
      </c>
      <c r="O463">
        <f t="shared" si="65"/>
        <v>50</v>
      </c>
      <c r="P463">
        <v>70000</v>
      </c>
      <c r="Q463">
        <f t="shared" si="66"/>
        <v>70000</v>
      </c>
      <c r="R463" t="str">
        <f t="shared" si="67"/>
        <v>Other</v>
      </c>
      <c r="S463" t="str">
        <f t="shared" si="68"/>
        <v>Sales</v>
      </c>
      <c r="T463" t="str">
        <f t="shared" si="69"/>
        <v>Clerk</v>
      </c>
      <c r="U463" s="2">
        <v>43549</v>
      </c>
      <c r="V463" t="s">
        <v>36</v>
      </c>
      <c r="X463" t="str">
        <f t="shared" si="70"/>
        <v>Email not provided</v>
      </c>
      <c r="Y463" t="str">
        <f t="shared" si="71"/>
        <v>Email not provided</v>
      </c>
      <c r="Z463" t="str">
        <f t="shared" si="63"/>
        <v>098-765-4321</v>
      </c>
    </row>
    <row r="464" spans="1:26" x14ac:dyDescent="0.25">
      <c r="A464" t="s">
        <v>31</v>
      </c>
      <c r="B464">
        <v>40</v>
      </c>
      <c r="C464">
        <v>70000</v>
      </c>
      <c r="D464" t="s">
        <v>11</v>
      </c>
      <c r="E464" t="s">
        <v>18</v>
      </c>
      <c r="F464" t="s">
        <v>35</v>
      </c>
      <c r="G464" s="2">
        <v>43845</v>
      </c>
      <c r="H464" t="s">
        <v>24</v>
      </c>
      <c r="I464" t="s">
        <v>15</v>
      </c>
      <c r="J464" t="s">
        <v>25</v>
      </c>
      <c r="M464" t="str">
        <f t="shared" si="64"/>
        <v>Jack</v>
      </c>
      <c r="N464">
        <v>40</v>
      </c>
      <c r="O464">
        <f t="shared" si="65"/>
        <v>40</v>
      </c>
      <c r="P464">
        <v>70000</v>
      </c>
      <c r="Q464">
        <f t="shared" si="66"/>
        <v>70000</v>
      </c>
      <c r="R464" t="str">
        <f t="shared" si="67"/>
        <v>Male</v>
      </c>
      <c r="S464" t="str">
        <f t="shared" si="68"/>
        <v>Finance</v>
      </c>
      <c r="T464" t="str">
        <f t="shared" si="69"/>
        <v>Clerk</v>
      </c>
      <c r="U464" s="2">
        <v>43845</v>
      </c>
      <c r="V464" t="s">
        <v>24</v>
      </c>
      <c r="W464" t="s">
        <v>15</v>
      </c>
      <c r="X464" t="str">
        <f t="shared" si="70"/>
        <v>Email not provided</v>
      </c>
      <c r="Y464" t="str">
        <f t="shared" si="71"/>
        <v>Email not provided</v>
      </c>
      <c r="Z464" t="str">
        <f t="shared" si="63"/>
        <v>098-765-4321</v>
      </c>
    </row>
    <row r="465" spans="1:26" x14ac:dyDescent="0.25">
      <c r="A465" t="s">
        <v>22</v>
      </c>
      <c r="B465">
        <v>40</v>
      </c>
      <c r="C465">
        <v>55000</v>
      </c>
      <c r="D465" t="s">
        <v>17</v>
      </c>
      <c r="E465" t="s">
        <v>27</v>
      </c>
      <c r="F465" t="s">
        <v>35</v>
      </c>
      <c r="G465" s="1">
        <v>43195</v>
      </c>
      <c r="H465" t="s">
        <v>14</v>
      </c>
      <c r="I465" t="s">
        <v>51</v>
      </c>
      <c r="J465" t="s">
        <v>25</v>
      </c>
      <c r="M465" t="str">
        <f t="shared" si="64"/>
        <v>Hannah</v>
      </c>
      <c r="N465">
        <v>40</v>
      </c>
      <c r="O465">
        <f t="shared" si="65"/>
        <v>40</v>
      </c>
      <c r="P465">
        <v>55000</v>
      </c>
      <c r="Q465">
        <f t="shared" si="66"/>
        <v>55000</v>
      </c>
      <c r="R465" t="str">
        <f t="shared" si="67"/>
        <v>Female</v>
      </c>
      <c r="S465" t="str">
        <f t="shared" si="68"/>
        <v>IT</v>
      </c>
      <c r="T465" t="str">
        <f t="shared" si="69"/>
        <v>Clerk</v>
      </c>
      <c r="U465" s="2">
        <v>43195</v>
      </c>
      <c r="V465" t="s">
        <v>14</v>
      </c>
      <c r="W465" t="s">
        <v>51</v>
      </c>
      <c r="X465" t="str">
        <f t="shared" si="70"/>
        <v>email@example/com</v>
      </c>
      <c r="Y465" t="str">
        <f t="shared" si="71"/>
        <v>email@example.com</v>
      </c>
      <c r="Z465" t="str">
        <f t="shared" si="63"/>
        <v>098-765-4321</v>
      </c>
    </row>
    <row r="466" spans="1:26" x14ac:dyDescent="0.25">
      <c r="A466" t="s">
        <v>31</v>
      </c>
      <c r="B466">
        <v>50</v>
      </c>
      <c r="C466">
        <v>55000</v>
      </c>
      <c r="D466" t="s">
        <v>17</v>
      </c>
      <c r="E466" t="s">
        <v>12</v>
      </c>
      <c r="F466" t="s">
        <v>37</v>
      </c>
      <c r="G466" s="2">
        <v>43549</v>
      </c>
      <c r="H466" t="s">
        <v>24</v>
      </c>
      <c r="I466" t="s">
        <v>15</v>
      </c>
      <c r="J466" t="s">
        <v>15</v>
      </c>
      <c r="M466" t="str">
        <f t="shared" si="64"/>
        <v>Jack</v>
      </c>
      <c r="N466">
        <v>50</v>
      </c>
      <c r="O466">
        <f t="shared" si="65"/>
        <v>50</v>
      </c>
      <c r="P466">
        <v>55000</v>
      </c>
      <c r="Q466">
        <f t="shared" si="66"/>
        <v>55000</v>
      </c>
      <c r="R466" t="str">
        <f t="shared" si="67"/>
        <v>Female</v>
      </c>
      <c r="S466" t="str">
        <f t="shared" si="68"/>
        <v>HR</v>
      </c>
      <c r="T466" t="str">
        <f t="shared" si="69"/>
        <v>Assistant</v>
      </c>
      <c r="U466" s="2">
        <v>43549</v>
      </c>
      <c r="V466" t="s">
        <v>24</v>
      </c>
      <c r="W466" t="s">
        <v>15</v>
      </c>
      <c r="X466" t="str">
        <f t="shared" si="70"/>
        <v>Email not provided</v>
      </c>
      <c r="Y466" t="str">
        <f t="shared" si="71"/>
        <v>Email not provided</v>
      </c>
      <c r="Z466" t="str">
        <f t="shared" si="63"/>
        <v>Phone not provided</v>
      </c>
    </row>
    <row r="467" spans="1:26" x14ac:dyDescent="0.25">
      <c r="A467" t="s">
        <v>31</v>
      </c>
      <c r="B467">
        <v>25</v>
      </c>
      <c r="C467">
        <v>70000</v>
      </c>
      <c r="D467" t="s">
        <v>11</v>
      </c>
      <c r="E467" t="s">
        <v>18</v>
      </c>
      <c r="F467" t="s">
        <v>37</v>
      </c>
      <c r="G467" s="2">
        <v>43800</v>
      </c>
      <c r="H467" t="s">
        <v>36</v>
      </c>
      <c r="I467" t="s">
        <v>51</v>
      </c>
      <c r="J467" t="s">
        <v>29</v>
      </c>
      <c r="M467" t="str">
        <f t="shared" si="64"/>
        <v>Jack</v>
      </c>
      <c r="N467">
        <v>25</v>
      </c>
      <c r="O467">
        <f t="shared" si="65"/>
        <v>25</v>
      </c>
      <c r="P467">
        <v>70000</v>
      </c>
      <c r="Q467">
        <f t="shared" si="66"/>
        <v>70000</v>
      </c>
      <c r="R467" t="str">
        <f t="shared" si="67"/>
        <v>Male</v>
      </c>
      <c r="S467" t="str">
        <f t="shared" si="68"/>
        <v>Finance</v>
      </c>
      <c r="T467" t="str">
        <f t="shared" si="69"/>
        <v>Assistant</v>
      </c>
      <c r="U467" s="2">
        <v>43800</v>
      </c>
      <c r="V467" t="s">
        <v>36</v>
      </c>
      <c r="W467" t="s">
        <v>51</v>
      </c>
      <c r="X467" t="str">
        <f t="shared" si="70"/>
        <v>email@example/com</v>
      </c>
      <c r="Y467" t="str">
        <f t="shared" si="71"/>
        <v>email@example.com</v>
      </c>
      <c r="Z467" t="str">
        <f t="shared" si="63"/>
        <v>Phone not provided</v>
      </c>
    </row>
    <row r="468" spans="1:26" x14ac:dyDescent="0.25">
      <c r="A468" t="s">
        <v>31</v>
      </c>
      <c r="B468">
        <v>25</v>
      </c>
      <c r="C468">
        <v>70000</v>
      </c>
      <c r="D468" t="s">
        <v>17</v>
      </c>
      <c r="E468" t="s">
        <v>18</v>
      </c>
      <c r="F468" t="s">
        <v>19</v>
      </c>
      <c r="G468" s="2">
        <v>43549</v>
      </c>
      <c r="H468" t="s">
        <v>24</v>
      </c>
      <c r="I468" t="s">
        <v>52</v>
      </c>
      <c r="J468" t="s">
        <v>39</v>
      </c>
      <c r="M468" t="str">
        <f t="shared" si="64"/>
        <v>Jack</v>
      </c>
      <c r="N468">
        <v>25</v>
      </c>
      <c r="O468">
        <f t="shared" si="65"/>
        <v>25</v>
      </c>
      <c r="P468">
        <v>70000</v>
      </c>
      <c r="Q468">
        <f t="shared" si="66"/>
        <v>70000</v>
      </c>
      <c r="R468" t="str">
        <f t="shared" si="67"/>
        <v>Female</v>
      </c>
      <c r="S468" t="str">
        <f t="shared" si="68"/>
        <v>Finance</v>
      </c>
      <c r="T468" t="str">
        <f t="shared" si="69"/>
        <v>Director</v>
      </c>
      <c r="U468" s="2">
        <v>43549</v>
      </c>
      <c r="V468" t="s">
        <v>24</v>
      </c>
      <c r="W468" t="s">
        <v>52</v>
      </c>
      <c r="X468" t="str">
        <f t="shared" si="70"/>
        <v>user@domain/com</v>
      </c>
      <c r="Y468" t="str">
        <f t="shared" si="71"/>
        <v>user@domain.com</v>
      </c>
      <c r="Z468" t="str">
        <f t="shared" si="63"/>
        <v>555-555-5555</v>
      </c>
    </row>
    <row r="469" spans="1:26" x14ac:dyDescent="0.25">
      <c r="A469" t="s">
        <v>41</v>
      </c>
      <c r="B469">
        <v>35</v>
      </c>
      <c r="C469">
        <v>70000</v>
      </c>
      <c r="D469" t="s">
        <v>11</v>
      </c>
      <c r="E469" t="s">
        <v>27</v>
      </c>
      <c r="F469" t="s">
        <v>35</v>
      </c>
      <c r="G469" s="1">
        <v>43195</v>
      </c>
      <c r="H469" t="s">
        <v>28</v>
      </c>
      <c r="J469" t="s">
        <v>21</v>
      </c>
      <c r="M469" t="str">
        <f t="shared" si="64"/>
        <v>Bob</v>
      </c>
      <c r="N469">
        <v>35</v>
      </c>
      <c r="O469">
        <f t="shared" si="65"/>
        <v>35</v>
      </c>
      <c r="P469">
        <v>70000</v>
      </c>
      <c r="Q469">
        <f t="shared" si="66"/>
        <v>70000</v>
      </c>
      <c r="R469" t="str">
        <f t="shared" si="67"/>
        <v>Male</v>
      </c>
      <c r="S469" t="str">
        <f t="shared" si="68"/>
        <v>IT</v>
      </c>
      <c r="T469" t="str">
        <f t="shared" si="69"/>
        <v>Clerk</v>
      </c>
      <c r="U469" s="2">
        <v>43195</v>
      </c>
      <c r="V469" t="s">
        <v>28</v>
      </c>
      <c r="X469" t="str">
        <f t="shared" si="70"/>
        <v>Email not provided</v>
      </c>
      <c r="Y469" t="str">
        <f t="shared" si="71"/>
        <v>Email not provided</v>
      </c>
      <c r="Z469" t="str">
        <f t="shared" si="63"/>
        <v>123-456-7890</v>
      </c>
    </row>
    <row r="470" spans="1:26" x14ac:dyDescent="0.25">
      <c r="A470" t="s">
        <v>34</v>
      </c>
      <c r="B470" t="s">
        <v>15</v>
      </c>
      <c r="C470">
        <v>55000</v>
      </c>
      <c r="D470" t="s">
        <v>11</v>
      </c>
      <c r="E470" t="s">
        <v>12</v>
      </c>
      <c r="F470" t="s">
        <v>13</v>
      </c>
      <c r="G470" s="2">
        <v>43800</v>
      </c>
      <c r="H470" t="s">
        <v>24</v>
      </c>
      <c r="J470" t="s">
        <v>39</v>
      </c>
      <c r="M470" t="str">
        <f t="shared" si="64"/>
        <v>Charlie</v>
      </c>
      <c r="N470" t="s">
        <v>15</v>
      </c>
      <c r="O470">
        <f t="shared" si="65"/>
        <v>35</v>
      </c>
      <c r="P470">
        <v>55000</v>
      </c>
      <c r="Q470">
        <f t="shared" si="66"/>
        <v>55000</v>
      </c>
      <c r="R470" t="str">
        <f t="shared" si="67"/>
        <v>Male</v>
      </c>
      <c r="S470" t="str">
        <f t="shared" si="68"/>
        <v>HR</v>
      </c>
      <c r="T470" t="str">
        <f t="shared" si="69"/>
        <v>Manager</v>
      </c>
      <c r="U470" s="2">
        <v>43800</v>
      </c>
      <c r="V470" t="s">
        <v>24</v>
      </c>
      <c r="X470" t="str">
        <f t="shared" si="70"/>
        <v>Email not provided</v>
      </c>
      <c r="Y470" t="str">
        <f t="shared" si="71"/>
        <v>Email not provided</v>
      </c>
      <c r="Z470" t="str">
        <f t="shared" si="63"/>
        <v>555-555-5555</v>
      </c>
    </row>
    <row r="471" spans="1:26" x14ac:dyDescent="0.25">
      <c r="A471" t="s">
        <v>43</v>
      </c>
      <c r="B471">
        <v>30</v>
      </c>
      <c r="C471">
        <v>70000</v>
      </c>
      <c r="D471" t="s">
        <v>17</v>
      </c>
      <c r="E471" t="s">
        <v>12</v>
      </c>
      <c r="F471" t="s">
        <v>19</v>
      </c>
      <c r="G471" s="2">
        <v>43549</v>
      </c>
      <c r="H471" t="s">
        <v>24</v>
      </c>
      <c r="I471" t="s">
        <v>52</v>
      </c>
      <c r="J471" t="s">
        <v>29</v>
      </c>
      <c r="M471" t="str">
        <f t="shared" si="64"/>
        <v>Ivy</v>
      </c>
      <c r="N471">
        <v>30</v>
      </c>
      <c r="O471">
        <f t="shared" si="65"/>
        <v>30</v>
      </c>
      <c r="P471">
        <v>70000</v>
      </c>
      <c r="Q471">
        <f t="shared" si="66"/>
        <v>70000</v>
      </c>
      <c r="R471" t="str">
        <f t="shared" si="67"/>
        <v>Female</v>
      </c>
      <c r="S471" t="str">
        <f t="shared" si="68"/>
        <v>HR</v>
      </c>
      <c r="T471" t="str">
        <f t="shared" si="69"/>
        <v>Director</v>
      </c>
      <c r="U471" s="2">
        <v>43549</v>
      </c>
      <c r="V471" t="s">
        <v>24</v>
      </c>
      <c r="W471" t="s">
        <v>52</v>
      </c>
      <c r="X471" t="str">
        <f t="shared" si="70"/>
        <v>user@domain/com</v>
      </c>
      <c r="Y471" t="str">
        <f t="shared" si="71"/>
        <v>user@domain.com</v>
      </c>
      <c r="Z471" t="str">
        <f t="shared" si="63"/>
        <v>Phone not provided</v>
      </c>
    </row>
    <row r="472" spans="1:26" x14ac:dyDescent="0.25">
      <c r="A472" t="s">
        <v>10</v>
      </c>
      <c r="B472">
        <v>25</v>
      </c>
      <c r="C472">
        <v>70000</v>
      </c>
      <c r="D472" t="s">
        <v>11</v>
      </c>
      <c r="E472" t="s">
        <v>23</v>
      </c>
      <c r="F472" t="s">
        <v>13</v>
      </c>
      <c r="G472" s="2">
        <v>43845</v>
      </c>
      <c r="H472" t="s">
        <v>14</v>
      </c>
      <c r="I472" t="s">
        <v>15</v>
      </c>
      <c r="J472" t="s">
        <v>39</v>
      </c>
      <c r="M472" t="str">
        <f t="shared" si="64"/>
        <v>Grace</v>
      </c>
      <c r="N472">
        <v>25</v>
      </c>
      <c r="O472">
        <f t="shared" si="65"/>
        <v>25</v>
      </c>
      <c r="P472">
        <v>70000</v>
      </c>
      <c r="Q472">
        <f t="shared" si="66"/>
        <v>70000</v>
      </c>
      <c r="R472" t="str">
        <f t="shared" si="67"/>
        <v>Male</v>
      </c>
      <c r="S472" t="str">
        <f t="shared" si="68"/>
        <v>Sales</v>
      </c>
      <c r="T472" t="str">
        <f t="shared" si="69"/>
        <v>Manager</v>
      </c>
      <c r="U472" s="2">
        <v>43845</v>
      </c>
      <c r="V472" t="s">
        <v>14</v>
      </c>
      <c r="W472" t="s">
        <v>15</v>
      </c>
      <c r="X472" t="str">
        <f t="shared" si="70"/>
        <v>Email not provided</v>
      </c>
      <c r="Y472" t="str">
        <f t="shared" si="71"/>
        <v>Email not provided</v>
      </c>
      <c r="Z472" t="str">
        <f t="shared" si="63"/>
        <v>555-555-5555</v>
      </c>
    </row>
    <row r="473" spans="1:26" x14ac:dyDescent="0.25">
      <c r="A473" t="s">
        <v>16</v>
      </c>
      <c r="B473">
        <v>40</v>
      </c>
      <c r="C473">
        <v>65000</v>
      </c>
      <c r="D473" t="s">
        <v>32</v>
      </c>
      <c r="E473" t="s">
        <v>18</v>
      </c>
      <c r="F473" t="s">
        <v>37</v>
      </c>
      <c r="G473" s="2">
        <v>43881</v>
      </c>
      <c r="H473" t="s">
        <v>28</v>
      </c>
      <c r="I473" t="s">
        <v>15</v>
      </c>
      <c r="J473" t="s">
        <v>15</v>
      </c>
      <c r="M473" t="str">
        <f t="shared" si="64"/>
        <v>David</v>
      </c>
      <c r="N473">
        <v>40</v>
      </c>
      <c r="O473">
        <f t="shared" si="65"/>
        <v>40</v>
      </c>
      <c r="P473">
        <v>65000</v>
      </c>
      <c r="Q473">
        <f t="shared" si="66"/>
        <v>65000</v>
      </c>
      <c r="R473" t="str">
        <f t="shared" si="67"/>
        <v>Other</v>
      </c>
      <c r="S473" t="str">
        <f t="shared" si="68"/>
        <v>Finance</v>
      </c>
      <c r="T473" t="str">
        <f t="shared" si="69"/>
        <v>Assistant</v>
      </c>
      <c r="U473" s="2">
        <v>43881</v>
      </c>
      <c r="V473" t="s">
        <v>28</v>
      </c>
      <c r="W473" t="s">
        <v>15</v>
      </c>
      <c r="X473" t="str">
        <f t="shared" si="70"/>
        <v>Email not provided</v>
      </c>
      <c r="Y473" t="str">
        <f t="shared" si="71"/>
        <v>Email not provided</v>
      </c>
      <c r="Z473" t="str">
        <f t="shared" si="63"/>
        <v>Phone not provided</v>
      </c>
    </row>
    <row r="474" spans="1:26" x14ac:dyDescent="0.25">
      <c r="A474" t="s">
        <v>31</v>
      </c>
      <c r="B474">
        <v>35</v>
      </c>
      <c r="C474">
        <v>50000</v>
      </c>
      <c r="D474" t="s">
        <v>32</v>
      </c>
      <c r="E474" t="s">
        <v>12</v>
      </c>
      <c r="F474" t="s">
        <v>19</v>
      </c>
      <c r="G474" s="2">
        <v>43881</v>
      </c>
      <c r="H474" t="s">
        <v>28</v>
      </c>
      <c r="I474" t="s">
        <v>53</v>
      </c>
      <c r="J474" t="s">
        <v>25</v>
      </c>
      <c r="M474" t="str">
        <f t="shared" si="64"/>
        <v>Jack</v>
      </c>
      <c r="N474">
        <v>35</v>
      </c>
      <c r="O474">
        <f t="shared" si="65"/>
        <v>35</v>
      </c>
      <c r="P474">
        <v>50000</v>
      </c>
      <c r="Q474">
        <f t="shared" si="66"/>
        <v>50000</v>
      </c>
      <c r="R474" t="str">
        <f t="shared" si="67"/>
        <v>Other</v>
      </c>
      <c r="S474" t="str">
        <f t="shared" si="68"/>
        <v>HR</v>
      </c>
      <c r="T474" t="str">
        <f t="shared" si="69"/>
        <v>Director</v>
      </c>
      <c r="U474" s="2">
        <v>43881</v>
      </c>
      <c r="V474" t="s">
        <v>28</v>
      </c>
      <c r="W474" t="s">
        <v>53</v>
      </c>
      <c r="X474" t="str">
        <f t="shared" si="70"/>
        <v>name@company/org</v>
      </c>
      <c r="Y474" t="str">
        <f t="shared" si="71"/>
        <v>name@company.org</v>
      </c>
      <c r="Z474" t="str">
        <f t="shared" si="63"/>
        <v>098-765-4321</v>
      </c>
    </row>
    <row r="475" spans="1:26" x14ac:dyDescent="0.25">
      <c r="A475" t="s">
        <v>26</v>
      </c>
      <c r="B475">
        <v>30</v>
      </c>
      <c r="C475">
        <v>60000</v>
      </c>
      <c r="D475" t="s">
        <v>17</v>
      </c>
      <c r="E475" t="s">
        <v>12</v>
      </c>
      <c r="F475" t="s">
        <v>19</v>
      </c>
      <c r="G475" s="2">
        <v>43845</v>
      </c>
      <c r="H475" t="s">
        <v>24</v>
      </c>
      <c r="I475" t="s">
        <v>51</v>
      </c>
      <c r="J475" t="s">
        <v>29</v>
      </c>
      <c r="M475" t="str">
        <f t="shared" si="64"/>
        <v>Eve</v>
      </c>
      <c r="N475">
        <v>30</v>
      </c>
      <c r="O475">
        <f t="shared" si="65"/>
        <v>30</v>
      </c>
      <c r="P475">
        <v>60000</v>
      </c>
      <c r="Q475">
        <f t="shared" si="66"/>
        <v>60000</v>
      </c>
      <c r="R475" t="str">
        <f t="shared" si="67"/>
        <v>Female</v>
      </c>
      <c r="S475" t="str">
        <f t="shared" si="68"/>
        <v>HR</v>
      </c>
      <c r="T475" t="str">
        <f t="shared" si="69"/>
        <v>Director</v>
      </c>
      <c r="U475" s="2">
        <v>43845</v>
      </c>
      <c r="V475" t="s">
        <v>24</v>
      </c>
      <c r="W475" t="s">
        <v>51</v>
      </c>
      <c r="X475" t="str">
        <f t="shared" si="70"/>
        <v>email@example/com</v>
      </c>
      <c r="Y475" t="str">
        <f t="shared" si="71"/>
        <v>email@example.com</v>
      </c>
      <c r="Z475" t="str">
        <f t="shared" si="63"/>
        <v>Phone not provided</v>
      </c>
    </row>
    <row r="476" spans="1:26" x14ac:dyDescent="0.25">
      <c r="A476" t="s">
        <v>41</v>
      </c>
      <c r="B476">
        <v>35</v>
      </c>
      <c r="C476">
        <v>50000</v>
      </c>
      <c r="D476" t="s">
        <v>17</v>
      </c>
      <c r="E476" t="s">
        <v>33</v>
      </c>
      <c r="F476" t="s">
        <v>38</v>
      </c>
      <c r="G476" s="2">
        <v>43881</v>
      </c>
      <c r="H476" t="s">
        <v>14</v>
      </c>
      <c r="I476" t="s">
        <v>15</v>
      </c>
      <c r="J476" t="s">
        <v>29</v>
      </c>
      <c r="M476" t="str">
        <f t="shared" si="64"/>
        <v>Bob</v>
      </c>
      <c r="N476">
        <v>35</v>
      </c>
      <c r="O476">
        <f t="shared" si="65"/>
        <v>35</v>
      </c>
      <c r="P476">
        <v>50000</v>
      </c>
      <c r="Q476">
        <f t="shared" si="66"/>
        <v>50000</v>
      </c>
      <c r="R476" t="str">
        <f t="shared" si="67"/>
        <v>Female</v>
      </c>
      <c r="S476" t="str">
        <f t="shared" si="68"/>
        <v>Marketing</v>
      </c>
      <c r="T476" t="str">
        <f t="shared" si="69"/>
        <v>Analyst</v>
      </c>
      <c r="U476" s="2">
        <v>43881</v>
      </c>
      <c r="V476" t="s">
        <v>14</v>
      </c>
      <c r="W476" t="s">
        <v>15</v>
      </c>
      <c r="X476" t="str">
        <f t="shared" si="70"/>
        <v>Email not provided</v>
      </c>
      <c r="Y476" t="str">
        <f t="shared" si="71"/>
        <v>Email not provided</v>
      </c>
      <c r="Z476" t="str">
        <f t="shared" si="63"/>
        <v>Phone not provided</v>
      </c>
    </row>
    <row r="477" spans="1:26" x14ac:dyDescent="0.25">
      <c r="A477" t="s">
        <v>22</v>
      </c>
      <c r="B477">
        <v>30</v>
      </c>
      <c r="C477">
        <v>65000</v>
      </c>
      <c r="D477" t="s">
        <v>11</v>
      </c>
      <c r="E477" t="s">
        <v>33</v>
      </c>
      <c r="F477" t="s">
        <v>37</v>
      </c>
      <c r="G477" s="2">
        <v>43881</v>
      </c>
      <c r="H477" t="s">
        <v>24</v>
      </c>
      <c r="I477" t="s">
        <v>52</v>
      </c>
      <c r="J477" t="s">
        <v>39</v>
      </c>
      <c r="M477" t="str">
        <f t="shared" si="64"/>
        <v>Hannah</v>
      </c>
      <c r="N477">
        <v>30</v>
      </c>
      <c r="O477">
        <f t="shared" si="65"/>
        <v>30</v>
      </c>
      <c r="P477">
        <v>65000</v>
      </c>
      <c r="Q477">
        <f t="shared" si="66"/>
        <v>65000</v>
      </c>
      <c r="R477" t="str">
        <f t="shared" si="67"/>
        <v>Male</v>
      </c>
      <c r="S477" t="str">
        <f t="shared" si="68"/>
        <v>Marketing</v>
      </c>
      <c r="T477" t="str">
        <f t="shared" si="69"/>
        <v>Assistant</v>
      </c>
      <c r="U477" s="2">
        <v>43881</v>
      </c>
      <c r="V477" t="s">
        <v>24</v>
      </c>
      <c r="W477" t="s">
        <v>52</v>
      </c>
      <c r="X477" t="str">
        <f t="shared" si="70"/>
        <v>user@domain/com</v>
      </c>
      <c r="Y477" t="str">
        <f t="shared" si="71"/>
        <v>user@domain.com</v>
      </c>
      <c r="Z477" t="str">
        <f t="shared" si="63"/>
        <v>555-555-5555</v>
      </c>
    </row>
    <row r="478" spans="1:26" x14ac:dyDescent="0.25">
      <c r="A478" t="s">
        <v>16</v>
      </c>
      <c r="B478">
        <v>30</v>
      </c>
      <c r="C478">
        <v>60000</v>
      </c>
      <c r="D478" t="s">
        <v>11</v>
      </c>
      <c r="E478" t="s">
        <v>12</v>
      </c>
      <c r="F478" t="s">
        <v>37</v>
      </c>
      <c r="G478" s="2">
        <v>43845</v>
      </c>
      <c r="H478" t="s">
        <v>24</v>
      </c>
      <c r="I478" t="s">
        <v>15</v>
      </c>
      <c r="J478" t="s">
        <v>15</v>
      </c>
      <c r="M478" t="str">
        <f t="shared" si="64"/>
        <v>David</v>
      </c>
      <c r="N478">
        <v>30</v>
      </c>
      <c r="O478">
        <f t="shared" si="65"/>
        <v>30</v>
      </c>
      <c r="P478">
        <v>60000</v>
      </c>
      <c r="Q478">
        <f t="shared" si="66"/>
        <v>60000</v>
      </c>
      <c r="R478" t="str">
        <f t="shared" si="67"/>
        <v>Male</v>
      </c>
      <c r="S478" t="str">
        <f t="shared" si="68"/>
        <v>HR</v>
      </c>
      <c r="T478" t="str">
        <f t="shared" si="69"/>
        <v>Assistant</v>
      </c>
      <c r="U478" s="2">
        <v>43845</v>
      </c>
      <c r="V478" t="s">
        <v>24</v>
      </c>
      <c r="W478" t="s">
        <v>15</v>
      </c>
      <c r="X478" t="str">
        <f t="shared" si="70"/>
        <v>Email not provided</v>
      </c>
      <c r="Y478" t="str">
        <f t="shared" si="71"/>
        <v>Email not provided</v>
      </c>
      <c r="Z478" t="str">
        <f t="shared" si="63"/>
        <v>Phone not provided</v>
      </c>
    </row>
    <row r="479" spans="1:26" x14ac:dyDescent="0.25">
      <c r="A479" t="s">
        <v>43</v>
      </c>
      <c r="B479">
        <v>50</v>
      </c>
      <c r="C479">
        <v>70000</v>
      </c>
      <c r="D479" t="s">
        <v>11</v>
      </c>
      <c r="E479" t="s">
        <v>23</v>
      </c>
      <c r="F479" t="s">
        <v>19</v>
      </c>
      <c r="G479" s="2">
        <v>43845</v>
      </c>
      <c r="H479" t="s">
        <v>36</v>
      </c>
      <c r="J479" t="s">
        <v>39</v>
      </c>
      <c r="M479" t="str">
        <f t="shared" si="64"/>
        <v>Ivy</v>
      </c>
      <c r="N479">
        <v>50</v>
      </c>
      <c r="O479">
        <f t="shared" si="65"/>
        <v>50</v>
      </c>
      <c r="P479">
        <v>70000</v>
      </c>
      <c r="Q479">
        <f t="shared" si="66"/>
        <v>70000</v>
      </c>
      <c r="R479" t="str">
        <f t="shared" si="67"/>
        <v>Male</v>
      </c>
      <c r="S479" t="str">
        <f t="shared" si="68"/>
        <v>Sales</v>
      </c>
      <c r="T479" t="str">
        <f t="shared" si="69"/>
        <v>Director</v>
      </c>
      <c r="U479" s="2">
        <v>43845</v>
      </c>
      <c r="V479" t="s">
        <v>36</v>
      </c>
      <c r="X479" t="str">
        <f t="shared" si="70"/>
        <v>Email not provided</v>
      </c>
      <c r="Y479" t="str">
        <f t="shared" si="71"/>
        <v>Email not provided</v>
      </c>
      <c r="Z479" t="str">
        <f t="shared" si="63"/>
        <v>555-555-5555</v>
      </c>
    </row>
    <row r="480" spans="1:26" x14ac:dyDescent="0.25">
      <c r="A480" t="s">
        <v>26</v>
      </c>
      <c r="B480">
        <v>25</v>
      </c>
      <c r="C480">
        <v>65000</v>
      </c>
      <c r="D480" t="s">
        <v>11</v>
      </c>
      <c r="E480" t="s">
        <v>12</v>
      </c>
      <c r="F480" t="s">
        <v>37</v>
      </c>
      <c r="G480" s="2">
        <v>43549</v>
      </c>
      <c r="H480" t="s">
        <v>36</v>
      </c>
      <c r="I480" t="s">
        <v>51</v>
      </c>
      <c r="J480" t="s">
        <v>39</v>
      </c>
      <c r="M480" t="str">
        <f t="shared" si="64"/>
        <v>Eve</v>
      </c>
      <c r="N480">
        <v>25</v>
      </c>
      <c r="O480">
        <f t="shared" si="65"/>
        <v>25</v>
      </c>
      <c r="P480">
        <v>65000</v>
      </c>
      <c r="Q480">
        <f t="shared" si="66"/>
        <v>65000</v>
      </c>
      <c r="R480" t="str">
        <f t="shared" si="67"/>
        <v>Male</v>
      </c>
      <c r="S480" t="str">
        <f t="shared" si="68"/>
        <v>HR</v>
      </c>
      <c r="T480" t="str">
        <f t="shared" si="69"/>
        <v>Assistant</v>
      </c>
      <c r="U480" s="2">
        <v>43549</v>
      </c>
      <c r="V480" t="s">
        <v>36</v>
      </c>
      <c r="W480" t="s">
        <v>51</v>
      </c>
      <c r="X480" t="str">
        <f t="shared" si="70"/>
        <v>email@example/com</v>
      </c>
      <c r="Y480" t="str">
        <f t="shared" si="71"/>
        <v>email@example.com</v>
      </c>
      <c r="Z480" t="str">
        <f t="shared" si="63"/>
        <v>555-555-5555</v>
      </c>
    </row>
    <row r="481" spans="1:26" x14ac:dyDescent="0.25">
      <c r="A481" t="s">
        <v>43</v>
      </c>
      <c r="B481">
        <v>35</v>
      </c>
      <c r="C481">
        <v>70000</v>
      </c>
      <c r="D481" t="s">
        <v>32</v>
      </c>
      <c r="E481" t="s">
        <v>27</v>
      </c>
      <c r="F481" t="s">
        <v>19</v>
      </c>
      <c r="G481" s="2">
        <v>43549</v>
      </c>
      <c r="H481" t="s">
        <v>14</v>
      </c>
      <c r="I481" t="s">
        <v>53</v>
      </c>
      <c r="J481" t="s">
        <v>29</v>
      </c>
      <c r="M481" t="str">
        <f t="shared" si="64"/>
        <v>Ivy</v>
      </c>
      <c r="N481">
        <v>35</v>
      </c>
      <c r="O481">
        <f t="shared" si="65"/>
        <v>35</v>
      </c>
      <c r="P481">
        <v>70000</v>
      </c>
      <c r="Q481">
        <f t="shared" si="66"/>
        <v>70000</v>
      </c>
      <c r="R481" t="str">
        <f t="shared" si="67"/>
        <v>Other</v>
      </c>
      <c r="S481" t="str">
        <f t="shared" si="68"/>
        <v>IT</v>
      </c>
      <c r="T481" t="str">
        <f t="shared" si="69"/>
        <v>Director</v>
      </c>
      <c r="U481" s="2">
        <v>43549</v>
      </c>
      <c r="V481" t="s">
        <v>14</v>
      </c>
      <c r="W481" t="s">
        <v>53</v>
      </c>
      <c r="X481" t="str">
        <f t="shared" si="70"/>
        <v>name@company/org</v>
      </c>
      <c r="Y481" t="str">
        <f t="shared" si="71"/>
        <v>name@company.org</v>
      </c>
      <c r="Z481" t="str">
        <f t="shared" si="63"/>
        <v>Phone not provided</v>
      </c>
    </row>
    <row r="482" spans="1:26" x14ac:dyDescent="0.25">
      <c r="A482" t="s">
        <v>16</v>
      </c>
      <c r="B482">
        <v>35</v>
      </c>
      <c r="C482">
        <v>55000</v>
      </c>
      <c r="D482" t="s">
        <v>32</v>
      </c>
      <c r="E482" t="s">
        <v>18</v>
      </c>
      <c r="F482" t="s">
        <v>38</v>
      </c>
      <c r="G482" s="2">
        <v>43845</v>
      </c>
      <c r="H482" t="s">
        <v>20</v>
      </c>
      <c r="I482" t="s">
        <v>51</v>
      </c>
      <c r="J482" t="s">
        <v>39</v>
      </c>
      <c r="M482" t="str">
        <f t="shared" si="64"/>
        <v>David</v>
      </c>
      <c r="N482">
        <v>35</v>
      </c>
      <c r="O482">
        <f t="shared" si="65"/>
        <v>35</v>
      </c>
      <c r="P482">
        <v>55000</v>
      </c>
      <c r="Q482">
        <f t="shared" si="66"/>
        <v>55000</v>
      </c>
      <c r="R482" t="str">
        <f t="shared" si="67"/>
        <v>Other</v>
      </c>
      <c r="S482" t="str">
        <f t="shared" si="68"/>
        <v>Finance</v>
      </c>
      <c r="T482" t="str">
        <f t="shared" si="69"/>
        <v>Analyst</v>
      </c>
      <c r="U482" s="2">
        <v>43845</v>
      </c>
      <c r="V482" t="s">
        <v>20</v>
      </c>
      <c r="W482" t="s">
        <v>51</v>
      </c>
      <c r="X482" t="str">
        <f t="shared" si="70"/>
        <v>email@example/com</v>
      </c>
      <c r="Y482" t="str">
        <f t="shared" si="71"/>
        <v>email@example.com</v>
      </c>
      <c r="Z482" t="str">
        <f t="shared" si="63"/>
        <v>555-555-5555</v>
      </c>
    </row>
    <row r="483" spans="1:26" x14ac:dyDescent="0.25">
      <c r="A483" t="s">
        <v>31</v>
      </c>
      <c r="B483">
        <v>50</v>
      </c>
      <c r="C483" t="s">
        <v>30</v>
      </c>
      <c r="D483" t="s">
        <v>17</v>
      </c>
      <c r="E483" t="s">
        <v>23</v>
      </c>
      <c r="F483" t="s">
        <v>19</v>
      </c>
      <c r="G483" s="1">
        <v>43195</v>
      </c>
      <c r="H483" t="s">
        <v>36</v>
      </c>
      <c r="J483" t="s">
        <v>25</v>
      </c>
      <c r="M483" t="str">
        <f t="shared" si="64"/>
        <v>Jack</v>
      </c>
      <c r="N483">
        <v>50</v>
      </c>
      <c r="O483">
        <f t="shared" si="65"/>
        <v>50</v>
      </c>
      <c r="P483" t="s">
        <v>30</v>
      </c>
      <c r="Q483">
        <f t="shared" si="66"/>
        <v>60000</v>
      </c>
      <c r="R483" t="str">
        <f t="shared" si="67"/>
        <v>Female</v>
      </c>
      <c r="S483" t="str">
        <f t="shared" si="68"/>
        <v>Sales</v>
      </c>
      <c r="T483" t="str">
        <f t="shared" si="69"/>
        <v>Director</v>
      </c>
      <c r="U483" s="2">
        <v>43195</v>
      </c>
      <c r="V483" t="s">
        <v>36</v>
      </c>
      <c r="X483" t="str">
        <f t="shared" si="70"/>
        <v>Email not provided</v>
      </c>
      <c r="Y483" t="str">
        <f t="shared" si="71"/>
        <v>Email not provided</v>
      </c>
      <c r="Z483" t="str">
        <f t="shared" si="63"/>
        <v>098-765-4321</v>
      </c>
    </row>
    <row r="484" spans="1:26" x14ac:dyDescent="0.25">
      <c r="A484" t="s">
        <v>26</v>
      </c>
      <c r="B484">
        <v>40</v>
      </c>
      <c r="C484">
        <v>65000</v>
      </c>
      <c r="D484" t="s">
        <v>11</v>
      </c>
      <c r="E484" t="s">
        <v>27</v>
      </c>
      <c r="F484" t="s">
        <v>37</v>
      </c>
      <c r="G484" s="2">
        <v>43881</v>
      </c>
      <c r="H484" t="s">
        <v>20</v>
      </c>
      <c r="J484" t="s">
        <v>39</v>
      </c>
      <c r="M484" t="str">
        <f t="shared" si="64"/>
        <v>Eve</v>
      </c>
      <c r="N484">
        <v>40</v>
      </c>
      <c r="O484">
        <f t="shared" si="65"/>
        <v>40</v>
      </c>
      <c r="P484">
        <v>65000</v>
      </c>
      <c r="Q484">
        <f t="shared" si="66"/>
        <v>65000</v>
      </c>
      <c r="R484" t="str">
        <f t="shared" si="67"/>
        <v>Male</v>
      </c>
      <c r="S484" t="str">
        <f t="shared" si="68"/>
        <v>IT</v>
      </c>
      <c r="T484" t="str">
        <f t="shared" si="69"/>
        <v>Assistant</v>
      </c>
      <c r="U484" s="2">
        <v>43881</v>
      </c>
      <c r="V484" t="s">
        <v>20</v>
      </c>
      <c r="X484" t="str">
        <f t="shared" si="70"/>
        <v>Email not provided</v>
      </c>
      <c r="Y484" t="str">
        <f t="shared" si="71"/>
        <v>Email not provided</v>
      </c>
      <c r="Z484" t="str">
        <f t="shared" si="63"/>
        <v>555-555-5555</v>
      </c>
    </row>
    <row r="485" spans="1:26" x14ac:dyDescent="0.25">
      <c r="A485" t="s">
        <v>43</v>
      </c>
      <c r="B485">
        <v>40</v>
      </c>
      <c r="C485">
        <v>55000</v>
      </c>
      <c r="D485" t="s">
        <v>11</v>
      </c>
      <c r="E485" t="s">
        <v>23</v>
      </c>
      <c r="F485" t="s">
        <v>37</v>
      </c>
      <c r="G485" s="2">
        <v>43549</v>
      </c>
      <c r="H485" t="s">
        <v>28</v>
      </c>
      <c r="J485" t="s">
        <v>25</v>
      </c>
      <c r="M485" t="str">
        <f t="shared" si="64"/>
        <v>Ivy</v>
      </c>
      <c r="N485">
        <v>40</v>
      </c>
      <c r="O485">
        <f t="shared" si="65"/>
        <v>40</v>
      </c>
      <c r="P485">
        <v>55000</v>
      </c>
      <c r="Q485">
        <f t="shared" si="66"/>
        <v>55000</v>
      </c>
      <c r="R485" t="str">
        <f t="shared" si="67"/>
        <v>Male</v>
      </c>
      <c r="S485" t="str">
        <f t="shared" si="68"/>
        <v>Sales</v>
      </c>
      <c r="T485" t="str">
        <f t="shared" si="69"/>
        <v>Assistant</v>
      </c>
      <c r="U485" s="2">
        <v>43549</v>
      </c>
      <c r="V485" t="s">
        <v>28</v>
      </c>
      <c r="X485" t="str">
        <f t="shared" si="70"/>
        <v>Email not provided</v>
      </c>
      <c r="Y485" t="str">
        <f t="shared" si="71"/>
        <v>Email not provided</v>
      </c>
      <c r="Z485" t="str">
        <f t="shared" si="63"/>
        <v>098-765-4321</v>
      </c>
    </row>
    <row r="486" spans="1:26" x14ac:dyDescent="0.25">
      <c r="A486" t="s">
        <v>22</v>
      </c>
      <c r="B486">
        <v>25</v>
      </c>
      <c r="C486">
        <v>65000</v>
      </c>
      <c r="D486" t="s">
        <v>17</v>
      </c>
      <c r="E486" t="s">
        <v>27</v>
      </c>
      <c r="F486" t="s">
        <v>19</v>
      </c>
      <c r="G486" s="2">
        <v>43881</v>
      </c>
      <c r="H486" t="s">
        <v>36</v>
      </c>
      <c r="J486" t="s">
        <v>29</v>
      </c>
      <c r="M486" t="str">
        <f t="shared" si="64"/>
        <v>Hannah</v>
      </c>
      <c r="N486">
        <v>25</v>
      </c>
      <c r="O486">
        <f t="shared" si="65"/>
        <v>25</v>
      </c>
      <c r="P486">
        <v>65000</v>
      </c>
      <c r="Q486">
        <f t="shared" si="66"/>
        <v>65000</v>
      </c>
      <c r="R486" t="str">
        <f t="shared" si="67"/>
        <v>Female</v>
      </c>
      <c r="S486" t="str">
        <f t="shared" si="68"/>
        <v>IT</v>
      </c>
      <c r="T486" t="str">
        <f t="shared" si="69"/>
        <v>Director</v>
      </c>
      <c r="U486" s="2">
        <v>43881</v>
      </c>
      <c r="V486" t="s">
        <v>36</v>
      </c>
      <c r="X486" t="str">
        <f t="shared" si="70"/>
        <v>Email not provided</v>
      </c>
      <c r="Y486" t="str">
        <f t="shared" si="71"/>
        <v>Email not provided</v>
      </c>
      <c r="Z486" t="str">
        <f t="shared" si="63"/>
        <v>Phone not provided</v>
      </c>
    </row>
    <row r="487" spans="1:26" x14ac:dyDescent="0.25">
      <c r="A487" t="s">
        <v>34</v>
      </c>
      <c r="B487">
        <v>25</v>
      </c>
      <c r="C487">
        <v>65000</v>
      </c>
      <c r="D487" t="s">
        <v>11</v>
      </c>
      <c r="E487" t="s">
        <v>18</v>
      </c>
      <c r="F487" t="s">
        <v>19</v>
      </c>
      <c r="G487" s="2">
        <v>43800</v>
      </c>
      <c r="H487" t="s">
        <v>36</v>
      </c>
      <c r="I487" t="s">
        <v>52</v>
      </c>
      <c r="J487" t="s">
        <v>15</v>
      </c>
      <c r="M487" t="str">
        <f t="shared" si="64"/>
        <v>Charlie</v>
      </c>
      <c r="N487">
        <v>25</v>
      </c>
      <c r="O487">
        <f t="shared" si="65"/>
        <v>25</v>
      </c>
      <c r="P487">
        <v>65000</v>
      </c>
      <c r="Q487">
        <f t="shared" si="66"/>
        <v>65000</v>
      </c>
      <c r="R487" t="str">
        <f t="shared" si="67"/>
        <v>Male</v>
      </c>
      <c r="S487" t="str">
        <f t="shared" si="68"/>
        <v>Finance</v>
      </c>
      <c r="T487" t="str">
        <f t="shared" si="69"/>
        <v>Director</v>
      </c>
      <c r="U487" s="2">
        <v>43800</v>
      </c>
      <c r="V487" t="s">
        <v>36</v>
      </c>
      <c r="W487" t="s">
        <v>52</v>
      </c>
      <c r="X487" t="str">
        <f t="shared" si="70"/>
        <v>user@domain/com</v>
      </c>
      <c r="Y487" t="str">
        <f t="shared" si="71"/>
        <v>user@domain.com</v>
      </c>
      <c r="Z487" t="str">
        <f t="shared" si="63"/>
        <v>Phone not provided</v>
      </c>
    </row>
    <row r="488" spans="1:26" x14ac:dyDescent="0.25">
      <c r="A488" t="s">
        <v>42</v>
      </c>
      <c r="B488" t="s">
        <v>15</v>
      </c>
      <c r="C488">
        <v>55000</v>
      </c>
      <c r="D488" t="s">
        <v>11</v>
      </c>
      <c r="E488" t="s">
        <v>18</v>
      </c>
      <c r="F488" t="s">
        <v>19</v>
      </c>
      <c r="G488" s="2">
        <v>43845</v>
      </c>
      <c r="H488" t="s">
        <v>14</v>
      </c>
      <c r="I488" t="s">
        <v>53</v>
      </c>
      <c r="J488" t="s">
        <v>25</v>
      </c>
      <c r="M488" t="str">
        <f t="shared" si="64"/>
        <v>Alice</v>
      </c>
      <c r="N488" t="s">
        <v>15</v>
      </c>
      <c r="O488">
        <f t="shared" si="65"/>
        <v>35</v>
      </c>
      <c r="P488">
        <v>55000</v>
      </c>
      <c r="Q488">
        <f t="shared" si="66"/>
        <v>55000</v>
      </c>
      <c r="R488" t="str">
        <f t="shared" si="67"/>
        <v>Male</v>
      </c>
      <c r="S488" t="str">
        <f t="shared" si="68"/>
        <v>Finance</v>
      </c>
      <c r="T488" t="str">
        <f t="shared" si="69"/>
        <v>Director</v>
      </c>
      <c r="U488" s="2">
        <v>43845</v>
      </c>
      <c r="V488" t="s">
        <v>14</v>
      </c>
      <c r="W488" t="s">
        <v>53</v>
      </c>
      <c r="X488" t="str">
        <f t="shared" si="70"/>
        <v>name@company/org</v>
      </c>
      <c r="Y488" t="str">
        <f t="shared" si="71"/>
        <v>name@company.org</v>
      </c>
      <c r="Z488" t="str">
        <f t="shared" si="63"/>
        <v>098-765-4321</v>
      </c>
    </row>
    <row r="489" spans="1:26" x14ac:dyDescent="0.25">
      <c r="A489" t="s">
        <v>34</v>
      </c>
      <c r="B489">
        <v>50</v>
      </c>
      <c r="C489">
        <v>60000</v>
      </c>
      <c r="D489" t="s">
        <v>11</v>
      </c>
      <c r="E489" t="s">
        <v>33</v>
      </c>
      <c r="F489" t="s">
        <v>35</v>
      </c>
      <c r="G489" s="1">
        <v>43195</v>
      </c>
      <c r="H489" t="s">
        <v>20</v>
      </c>
      <c r="J489" t="s">
        <v>15</v>
      </c>
      <c r="M489" t="str">
        <f t="shared" si="64"/>
        <v>Charlie</v>
      </c>
      <c r="N489">
        <v>50</v>
      </c>
      <c r="O489">
        <f t="shared" si="65"/>
        <v>50</v>
      </c>
      <c r="P489">
        <v>60000</v>
      </c>
      <c r="Q489">
        <f t="shared" si="66"/>
        <v>60000</v>
      </c>
      <c r="R489" t="str">
        <f t="shared" si="67"/>
        <v>Male</v>
      </c>
      <c r="S489" t="str">
        <f t="shared" si="68"/>
        <v>Marketing</v>
      </c>
      <c r="T489" t="str">
        <f t="shared" si="69"/>
        <v>Clerk</v>
      </c>
      <c r="U489" s="2">
        <v>43195</v>
      </c>
      <c r="V489" t="s">
        <v>20</v>
      </c>
      <c r="X489" t="str">
        <f t="shared" si="70"/>
        <v>Email not provided</v>
      </c>
      <c r="Y489" t="str">
        <f t="shared" si="71"/>
        <v>Email not provided</v>
      </c>
      <c r="Z489" t="str">
        <f t="shared" si="63"/>
        <v>Phone not provided</v>
      </c>
    </row>
    <row r="490" spans="1:26" x14ac:dyDescent="0.25">
      <c r="A490" t="s">
        <v>16</v>
      </c>
      <c r="B490">
        <v>40</v>
      </c>
      <c r="C490">
        <v>50000</v>
      </c>
      <c r="D490" t="s">
        <v>11</v>
      </c>
      <c r="E490" t="s">
        <v>27</v>
      </c>
      <c r="F490" t="s">
        <v>37</v>
      </c>
      <c r="G490" s="2">
        <v>43800</v>
      </c>
      <c r="H490" t="s">
        <v>36</v>
      </c>
      <c r="J490" t="s">
        <v>15</v>
      </c>
      <c r="M490" t="str">
        <f t="shared" si="64"/>
        <v>David</v>
      </c>
      <c r="N490">
        <v>40</v>
      </c>
      <c r="O490">
        <f t="shared" si="65"/>
        <v>40</v>
      </c>
      <c r="P490">
        <v>50000</v>
      </c>
      <c r="Q490">
        <f t="shared" si="66"/>
        <v>50000</v>
      </c>
      <c r="R490" t="str">
        <f t="shared" si="67"/>
        <v>Male</v>
      </c>
      <c r="S490" t="str">
        <f t="shared" si="68"/>
        <v>IT</v>
      </c>
      <c r="T490" t="str">
        <f t="shared" si="69"/>
        <v>Assistant</v>
      </c>
      <c r="U490" s="2">
        <v>43800</v>
      </c>
      <c r="V490" t="s">
        <v>36</v>
      </c>
      <c r="X490" t="str">
        <f t="shared" si="70"/>
        <v>Email not provided</v>
      </c>
      <c r="Y490" t="str">
        <f t="shared" si="71"/>
        <v>Email not provided</v>
      </c>
      <c r="Z490" t="str">
        <f t="shared" si="63"/>
        <v>Phone not provided</v>
      </c>
    </row>
    <row r="491" spans="1:26" x14ac:dyDescent="0.25">
      <c r="A491" t="s">
        <v>41</v>
      </c>
      <c r="B491">
        <v>30</v>
      </c>
      <c r="C491">
        <v>70000</v>
      </c>
      <c r="D491" t="s">
        <v>11</v>
      </c>
      <c r="E491" t="s">
        <v>33</v>
      </c>
      <c r="F491" t="s">
        <v>37</v>
      </c>
      <c r="G491" s="2">
        <v>43800</v>
      </c>
      <c r="H491" t="s">
        <v>36</v>
      </c>
      <c r="I491" t="s">
        <v>15</v>
      </c>
      <c r="J491" t="s">
        <v>25</v>
      </c>
      <c r="M491" t="str">
        <f t="shared" si="64"/>
        <v>Bob</v>
      </c>
      <c r="N491">
        <v>30</v>
      </c>
      <c r="O491">
        <f t="shared" si="65"/>
        <v>30</v>
      </c>
      <c r="P491">
        <v>70000</v>
      </c>
      <c r="Q491">
        <f t="shared" si="66"/>
        <v>70000</v>
      </c>
      <c r="R491" t="str">
        <f t="shared" si="67"/>
        <v>Male</v>
      </c>
      <c r="S491" t="str">
        <f t="shared" si="68"/>
        <v>Marketing</v>
      </c>
      <c r="T491" t="str">
        <f t="shared" si="69"/>
        <v>Assistant</v>
      </c>
      <c r="U491" s="2">
        <v>43800</v>
      </c>
      <c r="V491" t="s">
        <v>36</v>
      </c>
      <c r="W491" t="s">
        <v>15</v>
      </c>
      <c r="X491" t="str">
        <f t="shared" si="70"/>
        <v>Email not provided</v>
      </c>
      <c r="Y491" t="str">
        <f t="shared" si="71"/>
        <v>Email not provided</v>
      </c>
      <c r="Z491" t="str">
        <f t="shared" si="63"/>
        <v>098-765-4321</v>
      </c>
    </row>
    <row r="492" spans="1:26" x14ac:dyDescent="0.25">
      <c r="A492" t="s">
        <v>42</v>
      </c>
      <c r="B492">
        <v>35</v>
      </c>
      <c r="C492">
        <v>65000</v>
      </c>
      <c r="D492" t="s">
        <v>17</v>
      </c>
      <c r="E492" t="s">
        <v>27</v>
      </c>
      <c r="F492" t="s">
        <v>35</v>
      </c>
      <c r="G492" s="2">
        <v>43800</v>
      </c>
      <c r="H492" t="s">
        <v>14</v>
      </c>
      <c r="I492" t="s">
        <v>53</v>
      </c>
      <c r="J492" t="s">
        <v>29</v>
      </c>
      <c r="M492" t="str">
        <f t="shared" si="64"/>
        <v>Alice</v>
      </c>
      <c r="N492">
        <v>35</v>
      </c>
      <c r="O492">
        <f t="shared" si="65"/>
        <v>35</v>
      </c>
      <c r="P492">
        <v>65000</v>
      </c>
      <c r="Q492">
        <f t="shared" si="66"/>
        <v>65000</v>
      </c>
      <c r="R492" t="str">
        <f t="shared" si="67"/>
        <v>Female</v>
      </c>
      <c r="S492" t="str">
        <f t="shared" si="68"/>
        <v>IT</v>
      </c>
      <c r="T492" t="str">
        <f t="shared" si="69"/>
        <v>Clerk</v>
      </c>
      <c r="U492" s="2">
        <v>43800</v>
      </c>
      <c r="V492" t="s">
        <v>14</v>
      </c>
      <c r="W492" t="s">
        <v>53</v>
      </c>
      <c r="X492" t="str">
        <f t="shared" si="70"/>
        <v>name@company/org</v>
      </c>
      <c r="Y492" t="str">
        <f t="shared" si="71"/>
        <v>name@company.org</v>
      </c>
      <c r="Z492" t="str">
        <f t="shared" si="63"/>
        <v>Phone not provided</v>
      </c>
    </row>
    <row r="493" spans="1:26" x14ac:dyDescent="0.25">
      <c r="A493" t="s">
        <v>10</v>
      </c>
      <c r="B493">
        <v>25</v>
      </c>
      <c r="C493">
        <v>70000</v>
      </c>
      <c r="D493" t="s">
        <v>11</v>
      </c>
      <c r="E493" t="s">
        <v>33</v>
      </c>
      <c r="F493" t="s">
        <v>19</v>
      </c>
      <c r="G493" s="2">
        <v>43845</v>
      </c>
      <c r="H493" t="s">
        <v>14</v>
      </c>
      <c r="I493" t="s">
        <v>51</v>
      </c>
      <c r="J493" t="s">
        <v>21</v>
      </c>
      <c r="M493" t="str">
        <f t="shared" si="64"/>
        <v>Grace</v>
      </c>
      <c r="N493">
        <v>25</v>
      </c>
      <c r="O493">
        <f t="shared" si="65"/>
        <v>25</v>
      </c>
      <c r="P493">
        <v>70000</v>
      </c>
      <c r="Q493">
        <f t="shared" si="66"/>
        <v>70000</v>
      </c>
      <c r="R493" t="str">
        <f t="shared" si="67"/>
        <v>Male</v>
      </c>
      <c r="S493" t="str">
        <f t="shared" si="68"/>
        <v>Marketing</v>
      </c>
      <c r="T493" t="str">
        <f t="shared" si="69"/>
        <v>Director</v>
      </c>
      <c r="U493" s="2">
        <v>43845</v>
      </c>
      <c r="V493" t="s">
        <v>14</v>
      </c>
      <c r="W493" t="s">
        <v>51</v>
      </c>
      <c r="X493" t="str">
        <f t="shared" si="70"/>
        <v>email@example/com</v>
      </c>
      <c r="Y493" t="str">
        <f t="shared" si="71"/>
        <v>email@example.com</v>
      </c>
      <c r="Z493" t="str">
        <f t="shared" si="63"/>
        <v>123-456-7890</v>
      </c>
    </row>
    <row r="494" spans="1:26" x14ac:dyDescent="0.25">
      <c r="A494" t="s">
        <v>22</v>
      </c>
      <c r="B494">
        <v>35</v>
      </c>
      <c r="C494" t="s">
        <v>30</v>
      </c>
      <c r="D494" t="s">
        <v>17</v>
      </c>
      <c r="E494" t="s">
        <v>18</v>
      </c>
      <c r="F494" t="s">
        <v>38</v>
      </c>
      <c r="G494" s="2">
        <v>43549</v>
      </c>
      <c r="H494" t="s">
        <v>20</v>
      </c>
      <c r="I494" t="s">
        <v>53</v>
      </c>
      <c r="J494" t="s">
        <v>15</v>
      </c>
      <c r="M494" t="str">
        <f t="shared" si="64"/>
        <v>Hannah</v>
      </c>
      <c r="N494">
        <v>35</v>
      </c>
      <c r="O494">
        <f t="shared" si="65"/>
        <v>35</v>
      </c>
      <c r="P494" t="s">
        <v>30</v>
      </c>
      <c r="Q494">
        <f t="shared" si="66"/>
        <v>60000</v>
      </c>
      <c r="R494" t="str">
        <f t="shared" si="67"/>
        <v>Female</v>
      </c>
      <c r="S494" t="str">
        <f t="shared" si="68"/>
        <v>Finance</v>
      </c>
      <c r="T494" t="str">
        <f t="shared" si="69"/>
        <v>Analyst</v>
      </c>
      <c r="U494" s="2">
        <v>43549</v>
      </c>
      <c r="V494" t="s">
        <v>20</v>
      </c>
      <c r="W494" t="s">
        <v>53</v>
      </c>
      <c r="X494" t="str">
        <f t="shared" si="70"/>
        <v>name@company/org</v>
      </c>
      <c r="Y494" t="str">
        <f t="shared" si="71"/>
        <v>name@company.org</v>
      </c>
      <c r="Z494" t="str">
        <f t="shared" si="63"/>
        <v>Phone not provided</v>
      </c>
    </row>
    <row r="495" spans="1:26" x14ac:dyDescent="0.25">
      <c r="A495" t="s">
        <v>10</v>
      </c>
      <c r="B495">
        <v>35</v>
      </c>
      <c r="C495">
        <v>55000</v>
      </c>
      <c r="D495" t="s">
        <v>11</v>
      </c>
      <c r="E495" t="s">
        <v>23</v>
      </c>
      <c r="F495" t="s">
        <v>19</v>
      </c>
      <c r="G495" s="2">
        <v>43845</v>
      </c>
      <c r="H495" t="s">
        <v>28</v>
      </c>
      <c r="I495" t="s">
        <v>53</v>
      </c>
      <c r="J495" t="s">
        <v>15</v>
      </c>
      <c r="M495" t="str">
        <f t="shared" si="64"/>
        <v>Grace</v>
      </c>
      <c r="N495">
        <v>35</v>
      </c>
      <c r="O495">
        <f t="shared" si="65"/>
        <v>35</v>
      </c>
      <c r="P495">
        <v>55000</v>
      </c>
      <c r="Q495">
        <f t="shared" si="66"/>
        <v>55000</v>
      </c>
      <c r="R495" t="str">
        <f t="shared" si="67"/>
        <v>Male</v>
      </c>
      <c r="S495" t="str">
        <f t="shared" si="68"/>
        <v>Sales</v>
      </c>
      <c r="T495" t="str">
        <f t="shared" si="69"/>
        <v>Director</v>
      </c>
      <c r="U495" s="2">
        <v>43845</v>
      </c>
      <c r="V495" t="s">
        <v>28</v>
      </c>
      <c r="W495" t="s">
        <v>53</v>
      </c>
      <c r="X495" t="str">
        <f t="shared" si="70"/>
        <v>name@company/org</v>
      </c>
      <c r="Y495" t="str">
        <f t="shared" si="71"/>
        <v>name@company.org</v>
      </c>
      <c r="Z495" t="str">
        <f t="shared" si="63"/>
        <v>Phone not provided</v>
      </c>
    </row>
    <row r="496" spans="1:26" x14ac:dyDescent="0.25">
      <c r="A496" t="s">
        <v>26</v>
      </c>
      <c r="B496" t="s">
        <v>15</v>
      </c>
      <c r="C496">
        <v>70000</v>
      </c>
      <c r="D496" t="s">
        <v>32</v>
      </c>
      <c r="E496" t="s">
        <v>33</v>
      </c>
      <c r="F496" t="s">
        <v>19</v>
      </c>
      <c r="G496" s="2">
        <v>43549</v>
      </c>
      <c r="H496" t="s">
        <v>28</v>
      </c>
      <c r="I496" t="s">
        <v>53</v>
      </c>
      <c r="J496" t="s">
        <v>29</v>
      </c>
      <c r="M496" t="str">
        <f t="shared" si="64"/>
        <v>Eve</v>
      </c>
      <c r="N496" t="s">
        <v>15</v>
      </c>
      <c r="O496">
        <f t="shared" si="65"/>
        <v>35</v>
      </c>
      <c r="P496">
        <v>70000</v>
      </c>
      <c r="Q496">
        <f t="shared" si="66"/>
        <v>70000</v>
      </c>
      <c r="R496" t="str">
        <f t="shared" si="67"/>
        <v>Other</v>
      </c>
      <c r="S496" t="str">
        <f t="shared" si="68"/>
        <v>Marketing</v>
      </c>
      <c r="T496" t="str">
        <f t="shared" si="69"/>
        <v>Director</v>
      </c>
      <c r="U496" s="2">
        <v>43549</v>
      </c>
      <c r="V496" t="s">
        <v>28</v>
      </c>
      <c r="W496" t="s">
        <v>53</v>
      </c>
      <c r="X496" t="str">
        <f t="shared" si="70"/>
        <v>name@company/org</v>
      </c>
      <c r="Y496" t="str">
        <f t="shared" si="71"/>
        <v>name@company.org</v>
      </c>
      <c r="Z496" t="str">
        <f t="shared" si="63"/>
        <v>Phone not provided</v>
      </c>
    </row>
    <row r="497" spans="1:26" x14ac:dyDescent="0.25">
      <c r="A497" t="s">
        <v>42</v>
      </c>
      <c r="B497">
        <v>40</v>
      </c>
      <c r="C497">
        <v>55000</v>
      </c>
      <c r="D497" t="s">
        <v>32</v>
      </c>
      <c r="E497" t="s">
        <v>27</v>
      </c>
      <c r="F497" t="s">
        <v>35</v>
      </c>
      <c r="G497" s="2">
        <v>43800</v>
      </c>
      <c r="H497" t="s">
        <v>24</v>
      </c>
      <c r="J497" t="s">
        <v>29</v>
      </c>
      <c r="M497" t="str">
        <f t="shared" si="64"/>
        <v>Alice</v>
      </c>
      <c r="N497">
        <v>40</v>
      </c>
      <c r="O497">
        <f t="shared" si="65"/>
        <v>40</v>
      </c>
      <c r="P497">
        <v>55000</v>
      </c>
      <c r="Q497">
        <f t="shared" si="66"/>
        <v>55000</v>
      </c>
      <c r="R497" t="str">
        <f t="shared" si="67"/>
        <v>Other</v>
      </c>
      <c r="S497" t="str">
        <f t="shared" si="68"/>
        <v>IT</v>
      </c>
      <c r="T497" t="str">
        <f t="shared" si="69"/>
        <v>Clerk</v>
      </c>
      <c r="U497" s="2">
        <v>43800</v>
      </c>
      <c r="V497" t="s">
        <v>24</v>
      </c>
      <c r="X497" t="str">
        <f t="shared" si="70"/>
        <v>Email not provided</v>
      </c>
      <c r="Y497" t="str">
        <f t="shared" si="71"/>
        <v>Email not provided</v>
      </c>
      <c r="Z497" t="str">
        <f t="shared" si="63"/>
        <v>Phone not provided</v>
      </c>
    </row>
    <row r="498" spans="1:26" x14ac:dyDescent="0.25">
      <c r="A498" t="s">
        <v>10</v>
      </c>
      <c r="B498">
        <v>25</v>
      </c>
      <c r="C498">
        <v>70000</v>
      </c>
      <c r="D498" t="s">
        <v>32</v>
      </c>
      <c r="E498" t="s">
        <v>27</v>
      </c>
      <c r="F498" t="s">
        <v>37</v>
      </c>
      <c r="G498" s="2">
        <v>43800</v>
      </c>
      <c r="H498" t="s">
        <v>36</v>
      </c>
      <c r="J498" t="s">
        <v>39</v>
      </c>
      <c r="M498" t="str">
        <f t="shared" si="64"/>
        <v>Grace</v>
      </c>
      <c r="N498">
        <v>25</v>
      </c>
      <c r="O498">
        <f t="shared" si="65"/>
        <v>25</v>
      </c>
      <c r="P498">
        <v>70000</v>
      </c>
      <c r="Q498">
        <f t="shared" si="66"/>
        <v>70000</v>
      </c>
      <c r="R498" t="str">
        <f t="shared" si="67"/>
        <v>Other</v>
      </c>
      <c r="S498" t="str">
        <f t="shared" si="68"/>
        <v>IT</v>
      </c>
      <c r="T498" t="str">
        <f t="shared" si="69"/>
        <v>Assistant</v>
      </c>
      <c r="U498" s="2">
        <v>43800</v>
      </c>
      <c r="V498" t="s">
        <v>36</v>
      </c>
      <c r="X498" t="str">
        <f t="shared" si="70"/>
        <v>Email not provided</v>
      </c>
      <c r="Y498" t="str">
        <f t="shared" si="71"/>
        <v>Email not provided</v>
      </c>
      <c r="Z498" t="str">
        <f t="shared" si="63"/>
        <v>555-555-5555</v>
      </c>
    </row>
    <row r="499" spans="1:26" x14ac:dyDescent="0.25">
      <c r="A499" t="s">
        <v>10</v>
      </c>
      <c r="B499">
        <v>35</v>
      </c>
      <c r="C499">
        <v>50000</v>
      </c>
      <c r="D499" t="s">
        <v>32</v>
      </c>
      <c r="E499" t="s">
        <v>18</v>
      </c>
      <c r="F499" t="s">
        <v>19</v>
      </c>
      <c r="G499" s="1">
        <v>43195</v>
      </c>
      <c r="H499" t="s">
        <v>20</v>
      </c>
      <c r="I499" t="s">
        <v>52</v>
      </c>
      <c r="J499" t="s">
        <v>29</v>
      </c>
      <c r="M499" t="str">
        <f t="shared" si="64"/>
        <v>Grace</v>
      </c>
      <c r="N499">
        <v>35</v>
      </c>
      <c r="O499">
        <f t="shared" si="65"/>
        <v>35</v>
      </c>
      <c r="P499">
        <v>50000</v>
      </c>
      <c r="Q499">
        <f t="shared" si="66"/>
        <v>50000</v>
      </c>
      <c r="R499" t="str">
        <f t="shared" si="67"/>
        <v>Other</v>
      </c>
      <c r="S499" t="str">
        <f t="shared" si="68"/>
        <v>Finance</v>
      </c>
      <c r="T499" t="str">
        <f t="shared" si="69"/>
        <v>Director</v>
      </c>
      <c r="U499" s="2">
        <v>43195</v>
      </c>
      <c r="V499" t="s">
        <v>20</v>
      </c>
      <c r="W499" t="s">
        <v>52</v>
      </c>
      <c r="X499" t="str">
        <f t="shared" si="70"/>
        <v>user@domain/com</v>
      </c>
      <c r="Y499" t="str">
        <f t="shared" si="71"/>
        <v>user@domain.com</v>
      </c>
      <c r="Z499" t="str">
        <f t="shared" si="63"/>
        <v>Phone not provided</v>
      </c>
    </row>
    <row r="500" spans="1:26" x14ac:dyDescent="0.25">
      <c r="A500" t="s">
        <v>43</v>
      </c>
      <c r="B500">
        <v>25</v>
      </c>
      <c r="C500">
        <v>50000</v>
      </c>
      <c r="D500" t="s">
        <v>17</v>
      </c>
      <c r="E500" t="s">
        <v>27</v>
      </c>
      <c r="F500" t="s">
        <v>37</v>
      </c>
      <c r="G500" s="2">
        <v>43549</v>
      </c>
      <c r="H500" t="s">
        <v>36</v>
      </c>
      <c r="I500" t="s">
        <v>51</v>
      </c>
      <c r="J500" t="s">
        <v>15</v>
      </c>
      <c r="M500" t="str">
        <f t="shared" si="64"/>
        <v>Ivy</v>
      </c>
      <c r="N500">
        <v>25</v>
      </c>
      <c r="O500">
        <f t="shared" si="65"/>
        <v>25</v>
      </c>
      <c r="P500">
        <v>50000</v>
      </c>
      <c r="Q500">
        <f t="shared" si="66"/>
        <v>50000</v>
      </c>
      <c r="R500" t="str">
        <f t="shared" si="67"/>
        <v>Female</v>
      </c>
      <c r="S500" t="str">
        <f t="shared" si="68"/>
        <v>IT</v>
      </c>
      <c r="T500" t="str">
        <f t="shared" si="69"/>
        <v>Assistant</v>
      </c>
      <c r="U500" s="2">
        <v>43549</v>
      </c>
      <c r="V500" t="s">
        <v>36</v>
      </c>
      <c r="W500" t="s">
        <v>51</v>
      </c>
      <c r="X500" t="str">
        <f t="shared" si="70"/>
        <v>email@example/com</v>
      </c>
      <c r="Y500" t="str">
        <f t="shared" si="71"/>
        <v>email@example.com</v>
      </c>
      <c r="Z500" t="str">
        <f t="shared" si="63"/>
        <v>Phone not provided</v>
      </c>
    </row>
    <row r="501" spans="1:26" x14ac:dyDescent="0.25">
      <c r="A501" t="s">
        <v>34</v>
      </c>
      <c r="B501">
        <v>30</v>
      </c>
      <c r="C501">
        <v>50000</v>
      </c>
      <c r="D501" t="s">
        <v>17</v>
      </c>
      <c r="E501" t="s">
        <v>12</v>
      </c>
      <c r="F501" t="s">
        <v>13</v>
      </c>
      <c r="G501" s="2">
        <v>43800</v>
      </c>
      <c r="H501" t="s">
        <v>20</v>
      </c>
      <c r="I501" t="s">
        <v>15</v>
      </c>
      <c r="J501" t="s">
        <v>25</v>
      </c>
      <c r="M501" t="str">
        <f t="shared" si="64"/>
        <v>Charlie</v>
      </c>
      <c r="N501">
        <v>30</v>
      </c>
      <c r="O501">
        <f t="shared" si="65"/>
        <v>30</v>
      </c>
      <c r="P501">
        <v>50000</v>
      </c>
      <c r="Q501">
        <f t="shared" si="66"/>
        <v>50000</v>
      </c>
      <c r="R501" t="str">
        <f t="shared" si="67"/>
        <v>Female</v>
      </c>
      <c r="S501" t="str">
        <f t="shared" si="68"/>
        <v>HR</v>
      </c>
      <c r="T501" t="str">
        <f t="shared" si="69"/>
        <v>Manager</v>
      </c>
      <c r="U501" s="2">
        <v>43800</v>
      </c>
      <c r="V501" t="s">
        <v>20</v>
      </c>
      <c r="W501" t="s">
        <v>15</v>
      </c>
      <c r="X501" t="str">
        <f t="shared" si="70"/>
        <v>Email not provided</v>
      </c>
      <c r="Y501" t="str">
        <f t="shared" si="71"/>
        <v>Email not provided</v>
      </c>
      <c r="Z501" t="str">
        <f t="shared" si="63"/>
        <v>098-765-4321</v>
      </c>
    </row>
    <row r="502" spans="1:26" x14ac:dyDescent="0.25">
      <c r="A502" t="s">
        <v>43</v>
      </c>
      <c r="B502" t="s">
        <v>15</v>
      </c>
      <c r="C502">
        <v>50000</v>
      </c>
      <c r="D502" t="s">
        <v>11</v>
      </c>
      <c r="E502" t="s">
        <v>23</v>
      </c>
      <c r="F502" t="s">
        <v>37</v>
      </c>
      <c r="G502" s="2">
        <v>43881</v>
      </c>
      <c r="H502" t="s">
        <v>20</v>
      </c>
      <c r="I502" t="s">
        <v>53</v>
      </c>
      <c r="J502" t="s">
        <v>21</v>
      </c>
      <c r="M502" t="str">
        <f t="shared" si="64"/>
        <v>Ivy</v>
      </c>
      <c r="N502" t="s">
        <v>15</v>
      </c>
      <c r="O502">
        <f t="shared" si="65"/>
        <v>35</v>
      </c>
      <c r="P502">
        <v>50000</v>
      </c>
      <c r="Q502">
        <f t="shared" si="66"/>
        <v>50000</v>
      </c>
      <c r="R502" t="str">
        <f t="shared" si="67"/>
        <v>Male</v>
      </c>
      <c r="S502" t="str">
        <f t="shared" si="68"/>
        <v>Sales</v>
      </c>
      <c r="T502" t="str">
        <f t="shared" si="69"/>
        <v>Assistant</v>
      </c>
      <c r="U502" s="2">
        <v>43881</v>
      </c>
      <c r="V502" t="s">
        <v>20</v>
      </c>
      <c r="W502" t="s">
        <v>53</v>
      </c>
      <c r="X502" t="str">
        <f t="shared" si="70"/>
        <v>name@company/org</v>
      </c>
      <c r="Y502" t="str">
        <f t="shared" si="71"/>
        <v>name@company.org</v>
      </c>
      <c r="Z502" t="str">
        <f t="shared" si="63"/>
        <v>123-456-7890</v>
      </c>
    </row>
    <row r="503" spans="1:26" x14ac:dyDescent="0.25">
      <c r="A503" t="s">
        <v>42</v>
      </c>
      <c r="B503">
        <v>30</v>
      </c>
      <c r="C503">
        <v>50000</v>
      </c>
      <c r="D503" t="s">
        <v>32</v>
      </c>
      <c r="E503" t="s">
        <v>33</v>
      </c>
      <c r="F503" t="s">
        <v>38</v>
      </c>
      <c r="G503" s="1">
        <v>43195</v>
      </c>
      <c r="H503" t="s">
        <v>20</v>
      </c>
      <c r="I503" t="s">
        <v>51</v>
      </c>
      <c r="J503" t="s">
        <v>39</v>
      </c>
      <c r="M503" t="str">
        <f t="shared" si="64"/>
        <v>Alice</v>
      </c>
      <c r="N503">
        <v>30</v>
      </c>
      <c r="O503">
        <f t="shared" si="65"/>
        <v>30</v>
      </c>
      <c r="P503">
        <v>50000</v>
      </c>
      <c r="Q503">
        <f t="shared" si="66"/>
        <v>50000</v>
      </c>
      <c r="R503" t="str">
        <f t="shared" si="67"/>
        <v>Other</v>
      </c>
      <c r="S503" t="str">
        <f t="shared" si="68"/>
        <v>Marketing</v>
      </c>
      <c r="T503" t="str">
        <f t="shared" si="69"/>
        <v>Analyst</v>
      </c>
      <c r="U503" s="2">
        <v>43195</v>
      </c>
      <c r="V503" t="s">
        <v>20</v>
      </c>
      <c r="W503" t="s">
        <v>51</v>
      </c>
      <c r="X503" t="str">
        <f t="shared" si="70"/>
        <v>email@example/com</v>
      </c>
      <c r="Y503" t="str">
        <f t="shared" si="71"/>
        <v>email@example.com</v>
      </c>
      <c r="Z503" t="str">
        <f t="shared" si="63"/>
        <v>555-555-5555</v>
      </c>
    </row>
    <row r="504" spans="1:26" x14ac:dyDescent="0.25">
      <c r="A504" t="s">
        <v>42</v>
      </c>
      <c r="B504">
        <v>25</v>
      </c>
      <c r="C504">
        <v>50000</v>
      </c>
      <c r="D504" t="s">
        <v>17</v>
      </c>
      <c r="E504" t="s">
        <v>23</v>
      </c>
      <c r="F504" t="s">
        <v>38</v>
      </c>
      <c r="G504" s="2">
        <v>43845</v>
      </c>
      <c r="H504" t="s">
        <v>36</v>
      </c>
      <c r="I504" t="s">
        <v>51</v>
      </c>
      <c r="J504" t="s">
        <v>25</v>
      </c>
      <c r="M504" t="str">
        <f t="shared" si="64"/>
        <v>Alice</v>
      </c>
      <c r="N504">
        <v>25</v>
      </c>
      <c r="O504">
        <f t="shared" si="65"/>
        <v>25</v>
      </c>
      <c r="P504">
        <v>50000</v>
      </c>
      <c r="Q504">
        <f t="shared" si="66"/>
        <v>50000</v>
      </c>
      <c r="R504" t="str">
        <f t="shared" si="67"/>
        <v>Female</v>
      </c>
      <c r="S504" t="str">
        <f t="shared" si="68"/>
        <v>Sales</v>
      </c>
      <c r="T504" t="str">
        <f t="shared" si="69"/>
        <v>Analyst</v>
      </c>
      <c r="U504" s="2">
        <v>43845</v>
      </c>
      <c r="V504" t="s">
        <v>36</v>
      </c>
      <c r="W504" t="s">
        <v>51</v>
      </c>
      <c r="X504" t="str">
        <f t="shared" si="70"/>
        <v>email@example/com</v>
      </c>
      <c r="Y504" t="str">
        <f t="shared" si="71"/>
        <v>email@example.com</v>
      </c>
      <c r="Z504" t="str">
        <f t="shared" si="63"/>
        <v>098-765-4321</v>
      </c>
    </row>
    <row r="505" spans="1:26" x14ac:dyDescent="0.25">
      <c r="A505" t="s">
        <v>16</v>
      </c>
      <c r="B505">
        <v>25</v>
      </c>
      <c r="C505">
        <v>55000</v>
      </c>
      <c r="D505" t="s">
        <v>11</v>
      </c>
      <c r="E505" t="s">
        <v>18</v>
      </c>
      <c r="F505" t="s">
        <v>19</v>
      </c>
      <c r="G505" s="1">
        <v>43195</v>
      </c>
      <c r="H505" t="s">
        <v>14</v>
      </c>
      <c r="I505" t="s">
        <v>52</v>
      </c>
      <c r="J505" t="s">
        <v>21</v>
      </c>
      <c r="M505" t="str">
        <f t="shared" si="64"/>
        <v>David</v>
      </c>
      <c r="N505">
        <v>25</v>
      </c>
      <c r="O505">
        <f t="shared" si="65"/>
        <v>25</v>
      </c>
      <c r="P505">
        <v>55000</v>
      </c>
      <c r="Q505">
        <f t="shared" si="66"/>
        <v>55000</v>
      </c>
      <c r="R505" t="str">
        <f t="shared" si="67"/>
        <v>Male</v>
      </c>
      <c r="S505" t="str">
        <f t="shared" si="68"/>
        <v>Finance</v>
      </c>
      <c r="T505" t="str">
        <f t="shared" si="69"/>
        <v>Director</v>
      </c>
      <c r="U505" s="2">
        <v>43195</v>
      </c>
      <c r="V505" t="s">
        <v>14</v>
      </c>
      <c r="W505" t="s">
        <v>52</v>
      </c>
      <c r="X505" t="str">
        <f t="shared" si="70"/>
        <v>user@domain/com</v>
      </c>
      <c r="Y505" t="str">
        <f t="shared" si="71"/>
        <v>user@domain.com</v>
      </c>
      <c r="Z505" t="str">
        <f t="shared" si="63"/>
        <v>123-456-7890</v>
      </c>
    </row>
    <row r="506" spans="1:26" x14ac:dyDescent="0.25">
      <c r="A506" t="s">
        <v>43</v>
      </c>
      <c r="B506">
        <v>40</v>
      </c>
      <c r="C506">
        <v>65000</v>
      </c>
      <c r="D506" t="s">
        <v>11</v>
      </c>
      <c r="E506" t="s">
        <v>33</v>
      </c>
      <c r="F506" t="s">
        <v>37</v>
      </c>
      <c r="G506" s="2">
        <v>43881</v>
      </c>
      <c r="H506" t="s">
        <v>36</v>
      </c>
      <c r="I506" t="s">
        <v>15</v>
      </c>
      <c r="J506" t="s">
        <v>21</v>
      </c>
      <c r="M506" t="str">
        <f t="shared" si="64"/>
        <v>Ivy</v>
      </c>
      <c r="N506">
        <v>40</v>
      </c>
      <c r="O506">
        <f t="shared" si="65"/>
        <v>40</v>
      </c>
      <c r="P506">
        <v>65000</v>
      </c>
      <c r="Q506">
        <f t="shared" si="66"/>
        <v>65000</v>
      </c>
      <c r="R506" t="str">
        <f t="shared" si="67"/>
        <v>Male</v>
      </c>
      <c r="S506" t="str">
        <f t="shared" si="68"/>
        <v>Marketing</v>
      </c>
      <c r="T506" t="str">
        <f t="shared" si="69"/>
        <v>Assistant</v>
      </c>
      <c r="U506" s="2">
        <v>43881</v>
      </c>
      <c r="V506" t="s">
        <v>36</v>
      </c>
      <c r="W506" t="s">
        <v>15</v>
      </c>
      <c r="X506" t="str">
        <f t="shared" si="70"/>
        <v>Email not provided</v>
      </c>
      <c r="Y506" t="str">
        <f t="shared" si="71"/>
        <v>Email not provided</v>
      </c>
      <c r="Z506" t="str">
        <f t="shared" si="63"/>
        <v>123-456-7890</v>
      </c>
    </row>
    <row r="507" spans="1:26" x14ac:dyDescent="0.25">
      <c r="A507" t="s">
        <v>40</v>
      </c>
      <c r="B507">
        <v>35</v>
      </c>
      <c r="C507">
        <v>70000</v>
      </c>
      <c r="D507" t="s">
        <v>17</v>
      </c>
      <c r="E507" t="s">
        <v>33</v>
      </c>
      <c r="F507" t="s">
        <v>19</v>
      </c>
      <c r="G507" s="2">
        <v>43549</v>
      </c>
      <c r="H507" t="s">
        <v>20</v>
      </c>
      <c r="I507" t="s">
        <v>53</v>
      </c>
      <c r="J507" t="s">
        <v>21</v>
      </c>
      <c r="M507" t="str">
        <f t="shared" si="64"/>
        <v>Frank</v>
      </c>
      <c r="N507">
        <v>35</v>
      </c>
      <c r="O507">
        <f t="shared" si="65"/>
        <v>35</v>
      </c>
      <c r="P507">
        <v>70000</v>
      </c>
      <c r="Q507">
        <f t="shared" si="66"/>
        <v>70000</v>
      </c>
      <c r="R507" t="str">
        <f t="shared" si="67"/>
        <v>Female</v>
      </c>
      <c r="S507" t="str">
        <f t="shared" si="68"/>
        <v>Marketing</v>
      </c>
      <c r="T507" t="str">
        <f t="shared" si="69"/>
        <v>Director</v>
      </c>
      <c r="U507" s="2">
        <v>43549</v>
      </c>
      <c r="V507" t="s">
        <v>20</v>
      </c>
      <c r="W507" t="s">
        <v>53</v>
      </c>
      <c r="X507" t="str">
        <f t="shared" si="70"/>
        <v>name@company/org</v>
      </c>
      <c r="Y507" t="str">
        <f t="shared" si="71"/>
        <v>name@company.org</v>
      </c>
      <c r="Z507" t="str">
        <f t="shared" si="63"/>
        <v>123-456-7890</v>
      </c>
    </row>
    <row r="508" spans="1:26" x14ac:dyDescent="0.25">
      <c r="A508" t="s">
        <v>34</v>
      </c>
      <c r="B508">
        <v>35</v>
      </c>
      <c r="C508">
        <v>50000</v>
      </c>
      <c r="D508" t="s">
        <v>32</v>
      </c>
      <c r="E508" t="s">
        <v>12</v>
      </c>
      <c r="F508" t="s">
        <v>35</v>
      </c>
      <c r="G508" s="2">
        <v>43845</v>
      </c>
      <c r="H508" t="s">
        <v>24</v>
      </c>
      <c r="I508" t="s">
        <v>15</v>
      </c>
      <c r="J508" t="s">
        <v>25</v>
      </c>
      <c r="M508" t="str">
        <f t="shared" si="64"/>
        <v>Charlie</v>
      </c>
      <c r="N508">
        <v>35</v>
      </c>
      <c r="O508">
        <f t="shared" si="65"/>
        <v>35</v>
      </c>
      <c r="P508">
        <v>50000</v>
      </c>
      <c r="Q508">
        <f t="shared" si="66"/>
        <v>50000</v>
      </c>
      <c r="R508" t="str">
        <f t="shared" si="67"/>
        <v>Other</v>
      </c>
      <c r="S508" t="str">
        <f t="shared" si="68"/>
        <v>HR</v>
      </c>
      <c r="T508" t="str">
        <f t="shared" si="69"/>
        <v>Clerk</v>
      </c>
      <c r="U508" s="2">
        <v>43845</v>
      </c>
      <c r="V508" t="s">
        <v>24</v>
      </c>
      <c r="W508" t="s">
        <v>15</v>
      </c>
      <c r="X508" t="str">
        <f t="shared" si="70"/>
        <v>Email not provided</v>
      </c>
      <c r="Y508" t="str">
        <f t="shared" si="71"/>
        <v>Email not provided</v>
      </c>
      <c r="Z508" t="str">
        <f t="shared" si="63"/>
        <v>098-765-4321</v>
      </c>
    </row>
    <row r="509" spans="1:26" x14ac:dyDescent="0.25">
      <c r="A509" t="s">
        <v>42</v>
      </c>
      <c r="B509">
        <v>30</v>
      </c>
      <c r="C509">
        <v>55000</v>
      </c>
      <c r="D509" t="s">
        <v>11</v>
      </c>
      <c r="E509" t="s">
        <v>18</v>
      </c>
      <c r="F509" t="s">
        <v>38</v>
      </c>
      <c r="G509" s="2">
        <v>43845</v>
      </c>
      <c r="H509" t="s">
        <v>28</v>
      </c>
      <c r="I509" t="s">
        <v>52</v>
      </c>
      <c r="J509" t="s">
        <v>39</v>
      </c>
      <c r="M509" t="str">
        <f t="shared" si="64"/>
        <v>Alice</v>
      </c>
      <c r="N509">
        <v>30</v>
      </c>
      <c r="O509">
        <f t="shared" si="65"/>
        <v>30</v>
      </c>
      <c r="P509">
        <v>55000</v>
      </c>
      <c r="Q509">
        <f t="shared" si="66"/>
        <v>55000</v>
      </c>
      <c r="R509" t="str">
        <f t="shared" si="67"/>
        <v>Male</v>
      </c>
      <c r="S509" t="str">
        <f t="shared" si="68"/>
        <v>Finance</v>
      </c>
      <c r="T509" t="str">
        <f t="shared" si="69"/>
        <v>Analyst</v>
      </c>
      <c r="U509" s="2">
        <v>43845</v>
      </c>
      <c r="V509" t="s">
        <v>28</v>
      </c>
      <c r="W509" t="s">
        <v>52</v>
      </c>
      <c r="X509" t="str">
        <f t="shared" si="70"/>
        <v>user@domain/com</v>
      </c>
      <c r="Y509" t="str">
        <f t="shared" si="71"/>
        <v>user@domain.com</v>
      </c>
      <c r="Z509" t="str">
        <f t="shared" si="63"/>
        <v>555-555-5555</v>
      </c>
    </row>
    <row r="510" spans="1:26" x14ac:dyDescent="0.25">
      <c r="A510" t="s">
        <v>16</v>
      </c>
      <c r="B510" t="s">
        <v>15</v>
      </c>
      <c r="C510">
        <v>55000</v>
      </c>
      <c r="D510" t="s">
        <v>32</v>
      </c>
      <c r="E510" t="s">
        <v>27</v>
      </c>
      <c r="F510" t="s">
        <v>19</v>
      </c>
      <c r="G510" s="2">
        <v>43549</v>
      </c>
      <c r="H510" t="s">
        <v>20</v>
      </c>
      <c r="J510" t="s">
        <v>39</v>
      </c>
      <c r="M510" t="str">
        <f t="shared" si="64"/>
        <v>David</v>
      </c>
      <c r="N510" t="s">
        <v>15</v>
      </c>
      <c r="O510">
        <f t="shared" si="65"/>
        <v>35</v>
      </c>
      <c r="P510">
        <v>55000</v>
      </c>
      <c r="Q510">
        <f t="shared" si="66"/>
        <v>55000</v>
      </c>
      <c r="R510" t="str">
        <f t="shared" si="67"/>
        <v>Other</v>
      </c>
      <c r="S510" t="str">
        <f t="shared" si="68"/>
        <v>IT</v>
      </c>
      <c r="T510" t="str">
        <f t="shared" si="69"/>
        <v>Director</v>
      </c>
      <c r="U510" s="2">
        <v>43549</v>
      </c>
      <c r="V510" t="s">
        <v>20</v>
      </c>
      <c r="X510" t="str">
        <f t="shared" si="70"/>
        <v>Email not provided</v>
      </c>
      <c r="Y510" t="str">
        <f t="shared" si="71"/>
        <v>Email not provided</v>
      </c>
      <c r="Z510" t="str">
        <f t="shared" si="63"/>
        <v>555-555-5555</v>
      </c>
    </row>
    <row r="511" spans="1:26" x14ac:dyDescent="0.25">
      <c r="A511" t="s">
        <v>43</v>
      </c>
      <c r="B511">
        <v>50</v>
      </c>
      <c r="C511">
        <v>55000</v>
      </c>
      <c r="D511" t="s">
        <v>32</v>
      </c>
      <c r="E511" t="s">
        <v>12</v>
      </c>
      <c r="F511" t="s">
        <v>35</v>
      </c>
      <c r="G511" s="1">
        <v>43195</v>
      </c>
      <c r="H511" t="s">
        <v>24</v>
      </c>
      <c r="I511" t="s">
        <v>51</v>
      </c>
      <c r="J511" t="s">
        <v>21</v>
      </c>
      <c r="M511" t="str">
        <f t="shared" si="64"/>
        <v>Ivy</v>
      </c>
      <c r="N511">
        <v>50</v>
      </c>
      <c r="O511">
        <f t="shared" si="65"/>
        <v>50</v>
      </c>
      <c r="P511">
        <v>55000</v>
      </c>
      <c r="Q511">
        <f t="shared" si="66"/>
        <v>55000</v>
      </c>
      <c r="R511" t="str">
        <f t="shared" si="67"/>
        <v>Other</v>
      </c>
      <c r="S511" t="str">
        <f t="shared" si="68"/>
        <v>HR</v>
      </c>
      <c r="T511" t="str">
        <f t="shared" si="69"/>
        <v>Clerk</v>
      </c>
      <c r="U511" s="2">
        <v>43195</v>
      </c>
      <c r="V511" t="s">
        <v>24</v>
      </c>
      <c r="W511" t="s">
        <v>51</v>
      </c>
      <c r="X511" t="str">
        <f t="shared" si="70"/>
        <v>email@example/com</v>
      </c>
      <c r="Y511" t="str">
        <f t="shared" si="71"/>
        <v>email@example.com</v>
      </c>
      <c r="Z511" t="str">
        <f t="shared" si="63"/>
        <v>123-456-7890</v>
      </c>
    </row>
    <row r="512" spans="1:26" x14ac:dyDescent="0.25">
      <c r="A512" t="s">
        <v>34</v>
      </c>
      <c r="B512">
        <v>35</v>
      </c>
      <c r="C512">
        <v>65000</v>
      </c>
      <c r="D512" t="s">
        <v>32</v>
      </c>
      <c r="E512" t="s">
        <v>12</v>
      </c>
      <c r="F512" t="s">
        <v>19</v>
      </c>
      <c r="G512" s="2">
        <v>43800</v>
      </c>
      <c r="H512" t="s">
        <v>14</v>
      </c>
      <c r="I512" t="s">
        <v>53</v>
      </c>
      <c r="J512" t="s">
        <v>25</v>
      </c>
      <c r="M512" t="str">
        <f t="shared" si="64"/>
        <v>Charlie</v>
      </c>
      <c r="N512">
        <v>35</v>
      </c>
      <c r="O512">
        <f t="shared" si="65"/>
        <v>35</v>
      </c>
      <c r="P512">
        <v>65000</v>
      </c>
      <c r="Q512">
        <f t="shared" si="66"/>
        <v>65000</v>
      </c>
      <c r="R512" t="str">
        <f t="shared" si="67"/>
        <v>Other</v>
      </c>
      <c r="S512" t="str">
        <f t="shared" si="68"/>
        <v>HR</v>
      </c>
      <c r="T512" t="str">
        <f t="shared" si="69"/>
        <v>Director</v>
      </c>
      <c r="U512" s="2">
        <v>43800</v>
      </c>
      <c r="V512" t="s">
        <v>14</v>
      </c>
      <c r="W512" t="s">
        <v>53</v>
      </c>
      <c r="X512" t="str">
        <f t="shared" si="70"/>
        <v>name@company/org</v>
      </c>
      <c r="Y512" t="str">
        <f t="shared" si="71"/>
        <v>name@company.org</v>
      </c>
      <c r="Z512" t="str">
        <f t="shared" si="63"/>
        <v>098-765-4321</v>
      </c>
    </row>
    <row r="513" spans="1:26" x14ac:dyDescent="0.25">
      <c r="A513" t="s">
        <v>43</v>
      </c>
      <c r="B513">
        <v>40</v>
      </c>
      <c r="C513">
        <v>70000</v>
      </c>
      <c r="D513" t="s">
        <v>11</v>
      </c>
      <c r="E513" t="s">
        <v>23</v>
      </c>
      <c r="F513" t="s">
        <v>37</v>
      </c>
      <c r="G513" s="1">
        <v>43195</v>
      </c>
      <c r="H513" t="s">
        <v>20</v>
      </c>
      <c r="J513" t="s">
        <v>21</v>
      </c>
      <c r="M513" t="str">
        <f t="shared" si="64"/>
        <v>Ivy</v>
      </c>
      <c r="N513">
        <v>40</v>
      </c>
      <c r="O513">
        <f t="shared" si="65"/>
        <v>40</v>
      </c>
      <c r="P513">
        <v>70000</v>
      </c>
      <c r="Q513">
        <f t="shared" si="66"/>
        <v>70000</v>
      </c>
      <c r="R513" t="str">
        <f t="shared" si="67"/>
        <v>Male</v>
      </c>
      <c r="S513" t="str">
        <f t="shared" si="68"/>
        <v>Sales</v>
      </c>
      <c r="T513" t="str">
        <f t="shared" si="69"/>
        <v>Assistant</v>
      </c>
      <c r="U513" s="2">
        <v>43195</v>
      </c>
      <c r="V513" t="s">
        <v>20</v>
      </c>
      <c r="X513" t="str">
        <f t="shared" si="70"/>
        <v>Email not provided</v>
      </c>
      <c r="Y513" t="str">
        <f t="shared" si="71"/>
        <v>Email not provided</v>
      </c>
      <c r="Z513" t="str">
        <f t="shared" si="63"/>
        <v>123-456-7890</v>
      </c>
    </row>
    <row r="514" spans="1:26" x14ac:dyDescent="0.25">
      <c r="A514" t="s">
        <v>10</v>
      </c>
      <c r="B514">
        <v>30</v>
      </c>
      <c r="C514">
        <v>65000</v>
      </c>
      <c r="D514" t="s">
        <v>32</v>
      </c>
      <c r="E514" t="s">
        <v>23</v>
      </c>
      <c r="F514" t="s">
        <v>37</v>
      </c>
      <c r="G514" s="2">
        <v>43881</v>
      </c>
      <c r="H514" t="s">
        <v>24</v>
      </c>
      <c r="I514" t="s">
        <v>52</v>
      </c>
      <c r="J514" t="s">
        <v>29</v>
      </c>
      <c r="M514" t="str">
        <f t="shared" si="64"/>
        <v>Grace</v>
      </c>
      <c r="N514">
        <v>30</v>
      </c>
      <c r="O514">
        <f t="shared" si="65"/>
        <v>30</v>
      </c>
      <c r="P514">
        <v>65000</v>
      </c>
      <c r="Q514">
        <f t="shared" si="66"/>
        <v>65000</v>
      </c>
      <c r="R514" t="str">
        <f t="shared" si="67"/>
        <v>Other</v>
      </c>
      <c r="S514" t="str">
        <f t="shared" si="68"/>
        <v>Sales</v>
      </c>
      <c r="T514" t="str">
        <f t="shared" si="69"/>
        <v>Assistant</v>
      </c>
      <c r="U514" s="2">
        <v>43881</v>
      </c>
      <c r="V514" t="s">
        <v>24</v>
      </c>
      <c r="W514" t="s">
        <v>52</v>
      </c>
      <c r="X514" t="str">
        <f t="shared" si="70"/>
        <v>user@domain/com</v>
      </c>
      <c r="Y514" t="str">
        <f t="shared" si="71"/>
        <v>user@domain.com</v>
      </c>
      <c r="Z514" t="str">
        <f t="shared" ref="Z514:Z577" si="72">IF(OR(TRIM(J514)="", LOWER(J514)="nan"), "Phone not provided", TRIM(J514))</f>
        <v>Phone not provided</v>
      </c>
    </row>
    <row r="515" spans="1:26" x14ac:dyDescent="0.25">
      <c r="A515" t="s">
        <v>16</v>
      </c>
      <c r="B515">
        <v>30</v>
      </c>
      <c r="C515">
        <v>60000</v>
      </c>
      <c r="D515" t="s">
        <v>11</v>
      </c>
      <c r="E515" t="s">
        <v>23</v>
      </c>
      <c r="F515" t="s">
        <v>37</v>
      </c>
      <c r="G515" s="2">
        <v>43800</v>
      </c>
      <c r="H515" t="s">
        <v>20</v>
      </c>
      <c r="I515" t="s">
        <v>15</v>
      </c>
      <c r="J515" t="s">
        <v>39</v>
      </c>
      <c r="M515" t="str">
        <f t="shared" ref="M515:M578" si="73">PROPER(TRIM(CLEAN(A515:A1514)))</f>
        <v>David</v>
      </c>
      <c r="N515">
        <v>30</v>
      </c>
      <c r="O515">
        <f t="shared" ref="O515:O578" si="74">IF(ISNUMBER(N515),N515,MEDIAN($N$2:$N$1001))</f>
        <v>30</v>
      </c>
      <c r="P515">
        <v>60000</v>
      </c>
      <c r="Q515">
        <f t="shared" ref="Q515:Q578" si="75">IF(ISNUMBER(P515),P515,MEDIAN(P515:P1514))</f>
        <v>60000</v>
      </c>
      <c r="R515" t="str">
        <f t="shared" ref="R515:R578" si="76">PROPER(TRIM(CLEAN(D515:D1514)))</f>
        <v>Male</v>
      </c>
      <c r="S515" t="str">
        <f t="shared" ref="S515:S578" si="77">TRIM(CLEAN(E515:E1514))</f>
        <v>Sales</v>
      </c>
      <c r="T515" t="str">
        <f t="shared" ref="T515:T578" si="78">TRIM(CLEAN(F515:F1514))</f>
        <v>Assistant</v>
      </c>
      <c r="U515" s="2">
        <v>43800</v>
      </c>
      <c r="V515" t="s">
        <v>20</v>
      </c>
      <c r="W515" t="s">
        <v>15</v>
      </c>
      <c r="X515" t="str">
        <f t="shared" ref="X515:X578" si="79">IF(
   OR(TRIM(W515)="",LOWER(W515)="nan"),
   "Email not provided",
   W515
)</f>
        <v>Email not provided</v>
      </c>
      <c r="Y515" t="str">
        <f t="shared" ref="Y515:Y578" si="80">SUBSTITUTE(X515,"/",".")</f>
        <v>Email not provided</v>
      </c>
      <c r="Z515" t="str">
        <f t="shared" si="72"/>
        <v>555-555-5555</v>
      </c>
    </row>
    <row r="516" spans="1:26" x14ac:dyDescent="0.25">
      <c r="A516" t="s">
        <v>34</v>
      </c>
      <c r="B516">
        <v>50</v>
      </c>
      <c r="C516">
        <v>55000</v>
      </c>
      <c r="D516" t="s">
        <v>32</v>
      </c>
      <c r="E516" t="s">
        <v>12</v>
      </c>
      <c r="F516" t="s">
        <v>37</v>
      </c>
      <c r="G516" s="1">
        <v>43195</v>
      </c>
      <c r="H516" t="s">
        <v>36</v>
      </c>
      <c r="I516" t="s">
        <v>51</v>
      </c>
      <c r="J516" t="s">
        <v>15</v>
      </c>
      <c r="M516" t="str">
        <f t="shared" si="73"/>
        <v>Charlie</v>
      </c>
      <c r="N516">
        <v>50</v>
      </c>
      <c r="O516">
        <f t="shared" si="74"/>
        <v>50</v>
      </c>
      <c r="P516">
        <v>55000</v>
      </c>
      <c r="Q516">
        <f t="shared" si="75"/>
        <v>55000</v>
      </c>
      <c r="R516" t="str">
        <f t="shared" si="76"/>
        <v>Other</v>
      </c>
      <c r="S516" t="str">
        <f t="shared" si="77"/>
        <v>HR</v>
      </c>
      <c r="T516" t="str">
        <f t="shared" si="78"/>
        <v>Assistant</v>
      </c>
      <c r="U516" s="2">
        <v>43195</v>
      </c>
      <c r="V516" t="s">
        <v>36</v>
      </c>
      <c r="W516" t="s">
        <v>51</v>
      </c>
      <c r="X516" t="str">
        <f t="shared" si="79"/>
        <v>email@example/com</v>
      </c>
      <c r="Y516" t="str">
        <f t="shared" si="80"/>
        <v>email@example.com</v>
      </c>
      <c r="Z516" t="str">
        <f t="shared" si="72"/>
        <v>Phone not provided</v>
      </c>
    </row>
    <row r="517" spans="1:26" x14ac:dyDescent="0.25">
      <c r="A517" t="s">
        <v>31</v>
      </c>
      <c r="B517">
        <v>40</v>
      </c>
      <c r="C517">
        <v>60000</v>
      </c>
      <c r="D517" t="s">
        <v>11</v>
      </c>
      <c r="E517" t="s">
        <v>27</v>
      </c>
      <c r="F517" t="s">
        <v>13</v>
      </c>
      <c r="G517" s="2">
        <v>43549</v>
      </c>
      <c r="H517" t="s">
        <v>24</v>
      </c>
      <c r="I517" t="s">
        <v>53</v>
      </c>
      <c r="J517" t="s">
        <v>21</v>
      </c>
      <c r="M517" t="str">
        <f t="shared" si="73"/>
        <v>Jack</v>
      </c>
      <c r="N517">
        <v>40</v>
      </c>
      <c r="O517">
        <f t="shared" si="74"/>
        <v>40</v>
      </c>
      <c r="P517">
        <v>60000</v>
      </c>
      <c r="Q517">
        <f t="shared" si="75"/>
        <v>60000</v>
      </c>
      <c r="R517" t="str">
        <f t="shared" si="76"/>
        <v>Male</v>
      </c>
      <c r="S517" t="str">
        <f t="shared" si="77"/>
        <v>IT</v>
      </c>
      <c r="T517" t="str">
        <f t="shared" si="78"/>
        <v>Manager</v>
      </c>
      <c r="U517" s="2">
        <v>43549</v>
      </c>
      <c r="V517" t="s">
        <v>24</v>
      </c>
      <c r="W517" t="s">
        <v>53</v>
      </c>
      <c r="X517" t="str">
        <f t="shared" si="79"/>
        <v>name@company/org</v>
      </c>
      <c r="Y517" t="str">
        <f t="shared" si="80"/>
        <v>name@company.org</v>
      </c>
      <c r="Z517" t="str">
        <f t="shared" si="72"/>
        <v>123-456-7890</v>
      </c>
    </row>
    <row r="518" spans="1:26" x14ac:dyDescent="0.25">
      <c r="A518" t="s">
        <v>26</v>
      </c>
      <c r="B518" t="s">
        <v>15</v>
      </c>
      <c r="C518" t="s">
        <v>30</v>
      </c>
      <c r="D518" t="s">
        <v>32</v>
      </c>
      <c r="E518" t="s">
        <v>33</v>
      </c>
      <c r="F518" t="s">
        <v>35</v>
      </c>
      <c r="G518" s="2">
        <v>43881</v>
      </c>
      <c r="H518" t="s">
        <v>36</v>
      </c>
      <c r="J518" t="s">
        <v>29</v>
      </c>
      <c r="M518" t="str">
        <f t="shared" si="73"/>
        <v>Eve</v>
      </c>
      <c r="N518" t="s">
        <v>15</v>
      </c>
      <c r="O518">
        <f t="shared" si="74"/>
        <v>35</v>
      </c>
      <c r="P518" t="s">
        <v>30</v>
      </c>
      <c r="Q518">
        <f t="shared" si="75"/>
        <v>60000</v>
      </c>
      <c r="R518" t="str">
        <f t="shared" si="76"/>
        <v>Other</v>
      </c>
      <c r="S518" t="str">
        <f t="shared" si="77"/>
        <v>Marketing</v>
      </c>
      <c r="T518" t="str">
        <f t="shared" si="78"/>
        <v>Clerk</v>
      </c>
      <c r="U518" s="2">
        <v>43881</v>
      </c>
      <c r="V518" t="s">
        <v>36</v>
      </c>
      <c r="X518" t="str">
        <f t="shared" si="79"/>
        <v>Email not provided</v>
      </c>
      <c r="Y518" t="str">
        <f t="shared" si="80"/>
        <v>Email not provided</v>
      </c>
      <c r="Z518" t="str">
        <f t="shared" si="72"/>
        <v>Phone not provided</v>
      </c>
    </row>
    <row r="519" spans="1:26" x14ac:dyDescent="0.25">
      <c r="A519" t="s">
        <v>26</v>
      </c>
      <c r="B519">
        <v>40</v>
      </c>
      <c r="C519">
        <v>50000</v>
      </c>
      <c r="D519" t="s">
        <v>17</v>
      </c>
      <c r="E519" t="s">
        <v>23</v>
      </c>
      <c r="F519" t="s">
        <v>35</v>
      </c>
      <c r="G519" s="2">
        <v>43881</v>
      </c>
      <c r="H519" t="s">
        <v>36</v>
      </c>
      <c r="J519" t="s">
        <v>39</v>
      </c>
      <c r="M519" t="str">
        <f t="shared" si="73"/>
        <v>Eve</v>
      </c>
      <c r="N519">
        <v>40</v>
      </c>
      <c r="O519">
        <f t="shared" si="74"/>
        <v>40</v>
      </c>
      <c r="P519">
        <v>50000</v>
      </c>
      <c r="Q519">
        <f t="shared" si="75"/>
        <v>50000</v>
      </c>
      <c r="R519" t="str">
        <f t="shared" si="76"/>
        <v>Female</v>
      </c>
      <c r="S519" t="str">
        <f t="shared" si="77"/>
        <v>Sales</v>
      </c>
      <c r="T519" t="str">
        <f t="shared" si="78"/>
        <v>Clerk</v>
      </c>
      <c r="U519" s="2">
        <v>43881</v>
      </c>
      <c r="V519" t="s">
        <v>36</v>
      </c>
      <c r="X519" t="str">
        <f t="shared" si="79"/>
        <v>Email not provided</v>
      </c>
      <c r="Y519" t="str">
        <f t="shared" si="80"/>
        <v>Email not provided</v>
      </c>
      <c r="Z519" t="str">
        <f t="shared" si="72"/>
        <v>555-555-5555</v>
      </c>
    </row>
    <row r="520" spans="1:26" x14ac:dyDescent="0.25">
      <c r="A520" t="s">
        <v>34</v>
      </c>
      <c r="B520" t="s">
        <v>15</v>
      </c>
      <c r="C520">
        <v>50000</v>
      </c>
      <c r="D520" t="s">
        <v>32</v>
      </c>
      <c r="E520" t="s">
        <v>27</v>
      </c>
      <c r="F520" t="s">
        <v>37</v>
      </c>
      <c r="G520" s="2">
        <v>43881</v>
      </c>
      <c r="H520" t="s">
        <v>24</v>
      </c>
      <c r="I520" t="s">
        <v>51</v>
      </c>
      <c r="J520" t="s">
        <v>25</v>
      </c>
      <c r="M520" t="str">
        <f t="shared" si="73"/>
        <v>Charlie</v>
      </c>
      <c r="N520" t="s">
        <v>15</v>
      </c>
      <c r="O520">
        <f t="shared" si="74"/>
        <v>35</v>
      </c>
      <c r="P520">
        <v>50000</v>
      </c>
      <c r="Q520">
        <f t="shared" si="75"/>
        <v>50000</v>
      </c>
      <c r="R520" t="str">
        <f t="shared" si="76"/>
        <v>Other</v>
      </c>
      <c r="S520" t="str">
        <f t="shared" si="77"/>
        <v>IT</v>
      </c>
      <c r="T520" t="str">
        <f t="shared" si="78"/>
        <v>Assistant</v>
      </c>
      <c r="U520" s="2">
        <v>43881</v>
      </c>
      <c r="V520" t="s">
        <v>24</v>
      </c>
      <c r="W520" t="s">
        <v>51</v>
      </c>
      <c r="X520" t="str">
        <f t="shared" si="79"/>
        <v>email@example/com</v>
      </c>
      <c r="Y520" t="str">
        <f t="shared" si="80"/>
        <v>email@example.com</v>
      </c>
      <c r="Z520" t="str">
        <f t="shared" si="72"/>
        <v>098-765-4321</v>
      </c>
    </row>
    <row r="521" spans="1:26" x14ac:dyDescent="0.25">
      <c r="A521" t="s">
        <v>43</v>
      </c>
      <c r="B521">
        <v>40</v>
      </c>
      <c r="C521">
        <v>65000</v>
      </c>
      <c r="D521" t="s">
        <v>32</v>
      </c>
      <c r="E521" t="s">
        <v>18</v>
      </c>
      <c r="F521" t="s">
        <v>13</v>
      </c>
      <c r="G521" s="2">
        <v>43800</v>
      </c>
      <c r="H521" t="s">
        <v>28</v>
      </c>
      <c r="I521" t="s">
        <v>15</v>
      </c>
      <c r="J521" t="s">
        <v>39</v>
      </c>
      <c r="M521" t="str">
        <f t="shared" si="73"/>
        <v>Ivy</v>
      </c>
      <c r="N521">
        <v>40</v>
      </c>
      <c r="O521">
        <f t="shared" si="74"/>
        <v>40</v>
      </c>
      <c r="P521">
        <v>65000</v>
      </c>
      <c r="Q521">
        <f t="shared" si="75"/>
        <v>65000</v>
      </c>
      <c r="R521" t="str">
        <f t="shared" si="76"/>
        <v>Other</v>
      </c>
      <c r="S521" t="str">
        <f t="shared" si="77"/>
        <v>Finance</v>
      </c>
      <c r="T521" t="str">
        <f t="shared" si="78"/>
        <v>Manager</v>
      </c>
      <c r="U521" s="2">
        <v>43800</v>
      </c>
      <c r="V521" t="s">
        <v>28</v>
      </c>
      <c r="W521" t="s">
        <v>15</v>
      </c>
      <c r="X521" t="str">
        <f t="shared" si="79"/>
        <v>Email not provided</v>
      </c>
      <c r="Y521" t="str">
        <f t="shared" si="80"/>
        <v>Email not provided</v>
      </c>
      <c r="Z521" t="str">
        <f t="shared" si="72"/>
        <v>555-555-5555</v>
      </c>
    </row>
    <row r="522" spans="1:26" x14ac:dyDescent="0.25">
      <c r="A522" t="s">
        <v>16</v>
      </c>
      <c r="B522">
        <v>40</v>
      </c>
      <c r="C522">
        <v>70000</v>
      </c>
      <c r="D522" t="s">
        <v>11</v>
      </c>
      <c r="E522" t="s">
        <v>23</v>
      </c>
      <c r="F522" t="s">
        <v>37</v>
      </c>
      <c r="G522" s="2">
        <v>43845</v>
      </c>
      <c r="H522" t="s">
        <v>24</v>
      </c>
      <c r="I522" t="s">
        <v>52</v>
      </c>
      <c r="J522" t="s">
        <v>25</v>
      </c>
      <c r="M522" t="str">
        <f t="shared" si="73"/>
        <v>David</v>
      </c>
      <c r="N522">
        <v>40</v>
      </c>
      <c r="O522">
        <f t="shared" si="74"/>
        <v>40</v>
      </c>
      <c r="P522">
        <v>70000</v>
      </c>
      <c r="Q522">
        <f t="shared" si="75"/>
        <v>70000</v>
      </c>
      <c r="R522" t="str">
        <f t="shared" si="76"/>
        <v>Male</v>
      </c>
      <c r="S522" t="str">
        <f t="shared" si="77"/>
        <v>Sales</v>
      </c>
      <c r="T522" t="str">
        <f t="shared" si="78"/>
        <v>Assistant</v>
      </c>
      <c r="U522" s="2">
        <v>43845</v>
      </c>
      <c r="V522" t="s">
        <v>24</v>
      </c>
      <c r="W522" t="s">
        <v>52</v>
      </c>
      <c r="X522" t="str">
        <f t="shared" si="79"/>
        <v>user@domain/com</v>
      </c>
      <c r="Y522" t="str">
        <f t="shared" si="80"/>
        <v>user@domain.com</v>
      </c>
      <c r="Z522" t="str">
        <f t="shared" si="72"/>
        <v>098-765-4321</v>
      </c>
    </row>
    <row r="523" spans="1:26" x14ac:dyDescent="0.25">
      <c r="A523" t="s">
        <v>26</v>
      </c>
      <c r="B523">
        <v>25</v>
      </c>
      <c r="C523">
        <v>60000</v>
      </c>
      <c r="D523" t="s">
        <v>11</v>
      </c>
      <c r="E523" t="s">
        <v>33</v>
      </c>
      <c r="F523" t="s">
        <v>13</v>
      </c>
      <c r="G523" s="2">
        <v>43800</v>
      </c>
      <c r="H523" t="s">
        <v>28</v>
      </c>
      <c r="I523" t="s">
        <v>15</v>
      </c>
      <c r="J523" t="s">
        <v>25</v>
      </c>
      <c r="M523" t="str">
        <f t="shared" si="73"/>
        <v>Eve</v>
      </c>
      <c r="N523">
        <v>25</v>
      </c>
      <c r="O523">
        <f t="shared" si="74"/>
        <v>25</v>
      </c>
      <c r="P523">
        <v>60000</v>
      </c>
      <c r="Q523">
        <f t="shared" si="75"/>
        <v>60000</v>
      </c>
      <c r="R523" t="str">
        <f t="shared" si="76"/>
        <v>Male</v>
      </c>
      <c r="S523" t="str">
        <f t="shared" si="77"/>
        <v>Marketing</v>
      </c>
      <c r="T523" t="str">
        <f t="shared" si="78"/>
        <v>Manager</v>
      </c>
      <c r="U523" s="2">
        <v>43800</v>
      </c>
      <c r="V523" t="s">
        <v>28</v>
      </c>
      <c r="W523" t="s">
        <v>15</v>
      </c>
      <c r="X523" t="str">
        <f t="shared" si="79"/>
        <v>Email not provided</v>
      </c>
      <c r="Y523" t="str">
        <f t="shared" si="80"/>
        <v>Email not provided</v>
      </c>
      <c r="Z523" t="str">
        <f t="shared" si="72"/>
        <v>098-765-4321</v>
      </c>
    </row>
    <row r="524" spans="1:26" x14ac:dyDescent="0.25">
      <c r="A524" t="s">
        <v>16</v>
      </c>
      <c r="B524">
        <v>30</v>
      </c>
      <c r="C524">
        <v>70000</v>
      </c>
      <c r="D524" t="s">
        <v>32</v>
      </c>
      <c r="E524" t="s">
        <v>18</v>
      </c>
      <c r="F524" t="s">
        <v>37</v>
      </c>
      <c r="G524" s="1">
        <v>43195</v>
      </c>
      <c r="H524" t="s">
        <v>20</v>
      </c>
      <c r="I524" t="s">
        <v>15</v>
      </c>
      <c r="J524" t="s">
        <v>21</v>
      </c>
      <c r="M524" t="str">
        <f t="shared" si="73"/>
        <v>David</v>
      </c>
      <c r="N524">
        <v>30</v>
      </c>
      <c r="O524">
        <f t="shared" si="74"/>
        <v>30</v>
      </c>
      <c r="P524">
        <v>70000</v>
      </c>
      <c r="Q524">
        <f t="shared" si="75"/>
        <v>70000</v>
      </c>
      <c r="R524" t="str">
        <f t="shared" si="76"/>
        <v>Other</v>
      </c>
      <c r="S524" t="str">
        <f t="shared" si="77"/>
        <v>Finance</v>
      </c>
      <c r="T524" t="str">
        <f t="shared" si="78"/>
        <v>Assistant</v>
      </c>
      <c r="U524" s="2">
        <v>43195</v>
      </c>
      <c r="V524" t="s">
        <v>20</v>
      </c>
      <c r="W524" t="s">
        <v>15</v>
      </c>
      <c r="X524" t="str">
        <f t="shared" si="79"/>
        <v>Email not provided</v>
      </c>
      <c r="Y524" t="str">
        <f t="shared" si="80"/>
        <v>Email not provided</v>
      </c>
      <c r="Z524" t="str">
        <f t="shared" si="72"/>
        <v>123-456-7890</v>
      </c>
    </row>
    <row r="525" spans="1:26" x14ac:dyDescent="0.25">
      <c r="A525" t="s">
        <v>26</v>
      </c>
      <c r="B525">
        <v>40</v>
      </c>
      <c r="C525">
        <v>65000</v>
      </c>
      <c r="D525" t="s">
        <v>17</v>
      </c>
      <c r="E525" t="s">
        <v>18</v>
      </c>
      <c r="F525" t="s">
        <v>38</v>
      </c>
      <c r="G525" s="2">
        <v>43845</v>
      </c>
      <c r="H525" t="s">
        <v>20</v>
      </c>
      <c r="I525" t="s">
        <v>15</v>
      </c>
      <c r="J525" t="s">
        <v>21</v>
      </c>
      <c r="M525" t="str">
        <f t="shared" si="73"/>
        <v>Eve</v>
      </c>
      <c r="N525">
        <v>40</v>
      </c>
      <c r="O525">
        <f t="shared" si="74"/>
        <v>40</v>
      </c>
      <c r="P525">
        <v>65000</v>
      </c>
      <c r="Q525">
        <f t="shared" si="75"/>
        <v>65000</v>
      </c>
      <c r="R525" t="str">
        <f t="shared" si="76"/>
        <v>Female</v>
      </c>
      <c r="S525" t="str">
        <f t="shared" si="77"/>
        <v>Finance</v>
      </c>
      <c r="T525" t="str">
        <f t="shared" si="78"/>
        <v>Analyst</v>
      </c>
      <c r="U525" s="2">
        <v>43845</v>
      </c>
      <c r="V525" t="s">
        <v>20</v>
      </c>
      <c r="W525" t="s">
        <v>15</v>
      </c>
      <c r="X525" t="str">
        <f t="shared" si="79"/>
        <v>Email not provided</v>
      </c>
      <c r="Y525" t="str">
        <f t="shared" si="80"/>
        <v>Email not provided</v>
      </c>
      <c r="Z525" t="str">
        <f t="shared" si="72"/>
        <v>123-456-7890</v>
      </c>
    </row>
    <row r="526" spans="1:26" x14ac:dyDescent="0.25">
      <c r="A526" t="s">
        <v>10</v>
      </c>
      <c r="B526">
        <v>50</v>
      </c>
      <c r="C526">
        <v>50000</v>
      </c>
      <c r="D526" t="s">
        <v>17</v>
      </c>
      <c r="E526" t="s">
        <v>33</v>
      </c>
      <c r="F526" t="s">
        <v>38</v>
      </c>
      <c r="G526" s="1">
        <v>43195</v>
      </c>
      <c r="H526" t="s">
        <v>24</v>
      </c>
      <c r="I526" t="s">
        <v>51</v>
      </c>
      <c r="J526" t="s">
        <v>39</v>
      </c>
      <c r="M526" t="str">
        <f t="shared" si="73"/>
        <v>Grace</v>
      </c>
      <c r="N526">
        <v>50</v>
      </c>
      <c r="O526">
        <f t="shared" si="74"/>
        <v>50</v>
      </c>
      <c r="P526">
        <v>50000</v>
      </c>
      <c r="Q526">
        <f t="shared" si="75"/>
        <v>50000</v>
      </c>
      <c r="R526" t="str">
        <f t="shared" si="76"/>
        <v>Female</v>
      </c>
      <c r="S526" t="str">
        <f t="shared" si="77"/>
        <v>Marketing</v>
      </c>
      <c r="T526" t="str">
        <f t="shared" si="78"/>
        <v>Analyst</v>
      </c>
      <c r="U526" s="2">
        <v>43195</v>
      </c>
      <c r="V526" t="s">
        <v>24</v>
      </c>
      <c r="W526" t="s">
        <v>51</v>
      </c>
      <c r="X526" t="str">
        <f t="shared" si="79"/>
        <v>email@example/com</v>
      </c>
      <c r="Y526" t="str">
        <f t="shared" si="80"/>
        <v>email@example.com</v>
      </c>
      <c r="Z526" t="str">
        <f t="shared" si="72"/>
        <v>555-555-5555</v>
      </c>
    </row>
    <row r="527" spans="1:26" x14ac:dyDescent="0.25">
      <c r="A527" t="s">
        <v>43</v>
      </c>
      <c r="B527">
        <v>40</v>
      </c>
      <c r="C527">
        <v>70000</v>
      </c>
      <c r="D527" t="s">
        <v>11</v>
      </c>
      <c r="E527" t="s">
        <v>23</v>
      </c>
      <c r="F527" t="s">
        <v>19</v>
      </c>
      <c r="G527" s="2">
        <v>43845</v>
      </c>
      <c r="H527" t="s">
        <v>20</v>
      </c>
      <c r="I527" t="s">
        <v>51</v>
      </c>
      <c r="J527" t="s">
        <v>29</v>
      </c>
      <c r="M527" t="str">
        <f t="shared" si="73"/>
        <v>Ivy</v>
      </c>
      <c r="N527">
        <v>40</v>
      </c>
      <c r="O527">
        <f t="shared" si="74"/>
        <v>40</v>
      </c>
      <c r="P527">
        <v>70000</v>
      </c>
      <c r="Q527">
        <f t="shared" si="75"/>
        <v>70000</v>
      </c>
      <c r="R527" t="str">
        <f t="shared" si="76"/>
        <v>Male</v>
      </c>
      <c r="S527" t="str">
        <f t="shared" si="77"/>
        <v>Sales</v>
      </c>
      <c r="T527" t="str">
        <f t="shared" si="78"/>
        <v>Director</v>
      </c>
      <c r="U527" s="2">
        <v>43845</v>
      </c>
      <c r="V527" t="s">
        <v>20</v>
      </c>
      <c r="W527" t="s">
        <v>51</v>
      </c>
      <c r="X527" t="str">
        <f t="shared" si="79"/>
        <v>email@example/com</v>
      </c>
      <c r="Y527" t="str">
        <f t="shared" si="80"/>
        <v>email@example.com</v>
      </c>
      <c r="Z527" t="str">
        <f t="shared" si="72"/>
        <v>Phone not provided</v>
      </c>
    </row>
    <row r="528" spans="1:26" x14ac:dyDescent="0.25">
      <c r="A528" t="s">
        <v>10</v>
      </c>
      <c r="B528">
        <v>35</v>
      </c>
      <c r="C528">
        <v>70000</v>
      </c>
      <c r="D528" t="s">
        <v>17</v>
      </c>
      <c r="E528" t="s">
        <v>12</v>
      </c>
      <c r="F528" t="s">
        <v>37</v>
      </c>
      <c r="G528" s="2">
        <v>43800</v>
      </c>
      <c r="H528" t="s">
        <v>14</v>
      </c>
      <c r="I528" t="s">
        <v>52</v>
      </c>
      <c r="J528" t="s">
        <v>39</v>
      </c>
      <c r="M528" t="str">
        <f t="shared" si="73"/>
        <v>Grace</v>
      </c>
      <c r="N528">
        <v>35</v>
      </c>
      <c r="O528">
        <f t="shared" si="74"/>
        <v>35</v>
      </c>
      <c r="P528">
        <v>70000</v>
      </c>
      <c r="Q528">
        <f t="shared" si="75"/>
        <v>70000</v>
      </c>
      <c r="R528" t="str">
        <f t="shared" si="76"/>
        <v>Female</v>
      </c>
      <c r="S528" t="str">
        <f t="shared" si="77"/>
        <v>HR</v>
      </c>
      <c r="T528" t="str">
        <f t="shared" si="78"/>
        <v>Assistant</v>
      </c>
      <c r="U528" s="2">
        <v>43800</v>
      </c>
      <c r="V528" t="s">
        <v>14</v>
      </c>
      <c r="W528" t="s">
        <v>52</v>
      </c>
      <c r="X528" t="str">
        <f t="shared" si="79"/>
        <v>user@domain/com</v>
      </c>
      <c r="Y528" t="str">
        <f t="shared" si="80"/>
        <v>user@domain.com</v>
      </c>
      <c r="Z528" t="str">
        <f t="shared" si="72"/>
        <v>555-555-5555</v>
      </c>
    </row>
    <row r="529" spans="1:26" x14ac:dyDescent="0.25">
      <c r="A529" t="s">
        <v>26</v>
      </c>
      <c r="B529">
        <v>30</v>
      </c>
      <c r="C529">
        <v>50000</v>
      </c>
      <c r="D529" t="s">
        <v>32</v>
      </c>
      <c r="E529" t="s">
        <v>33</v>
      </c>
      <c r="F529" t="s">
        <v>35</v>
      </c>
      <c r="G529" s="2">
        <v>43881</v>
      </c>
      <c r="H529" t="s">
        <v>36</v>
      </c>
      <c r="I529" t="s">
        <v>15</v>
      </c>
      <c r="J529" t="s">
        <v>15</v>
      </c>
      <c r="M529" t="str">
        <f t="shared" si="73"/>
        <v>Eve</v>
      </c>
      <c r="N529">
        <v>30</v>
      </c>
      <c r="O529">
        <f t="shared" si="74"/>
        <v>30</v>
      </c>
      <c r="P529">
        <v>50000</v>
      </c>
      <c r="Q529">
        <f t="shared" si="75"/>
        <v>50000</v>
      </c>
      <c r="R529" t="str">
        <f t="shared" si="76"/>
        <v>Other</v>
      </c>
      <c r="S529" t="str">
        <f t="shared" si="77"/>
        <v>Marketing</v>
      </c>
      <c r="T529" t="str">
        <f t="shared" si="78"/>
        <v>Clerk</v>
      </c>
      <c r="U529" s="2">
        <v>43881</v>
      </c>
      <c r="V529" t="s">
        <v>36</v>
      </c>
      <c r="W529" t="s">
        <v>15</v>
      </c>
      <c r="X529" t="str">
        <f t="shared" si="79"/>
        <v>Email not provided</v>
      </c>
      <c r="Y529" t="str">
        <f t="shared" si="80"/>
        <v>Email not provided</v>
      </c>
      <c r="Z529" t="str">
        <f t="shared" si="72"/>
        <v>Phone not provided</v>
      </c>
    </row>
    <row r="530" spans="1:26" x14ac:dyDescent="0.25">
      <c r="A530" t="s">
        <v>31</v>
      </c>
      <c r="B530">
        <v>35</v>
      </c>
      <c r="C530">
        <v>60000</v>
      </c>
      <c r="D530" t="s">
        <v>11</v>
      </c>
      <c r="E530" t="s">
        <v>33</v>
      </c>
      <c r="F530" t="s">
        <v>19</v>
      </c>
      <c r="G530" s="2">
        <v>43549</v>
      </c>
      <c r="H530" t="s">
        <v>36</v>
      </c>
      <c r="I530" t="s">
        <v>51</v>
      </c>
      <c r="J530" t="s">
        <v>25</v>
      </c>
      <c r="M530" t="str">
        <f t="shared" si="73"/>
        <v>Jack</v>
      </c>
      <c r="N530">
        <v>35</v>
      </c>
      <c r="O530">
        <f t="shared" si="74"/>
        <v>35</v>
      </c>
      <c r="P530">
        <v>60000</v>
      </c>
      <c r="Q530">
        <f t="shared" si="75"/>
        <v>60000</v>
      </c>
      <c r="R530" t="str">
        <f t="shared" si="76"/>
        <v>Male</v>
      </c>
      <c r="S530" t="str">
        <f t="shared" si="77"/>
        <v>Marketing</v>
      </c>
      <c r="T530" t="str">
        <f t="shared" si="78"/>
        <v>Director</v>
      </c>
      <c r="U530" s="2">
        <v>43549</v>
      </c>
      <c r="V530" t="s">
        <v>36</v>
      </c>
      <c r="W530" t="s">
        <v>51</v>
      </c>
      <c r="X530" t="str">
        <f t="shared" si="79"/>
        <v>email@example/com</v>
      </c>
      <c r="Y530" t="str">
        <f t="shared" si="80"/>
        <v>email@example.com</v>
      </c>
      <c r="Z530" t="str">
        <f t="shared" si="72"/>
        <v>098-765-4321</v>
      </c>
    </row>
    <row r="531" spans="1:26" x14ac:dyDescent="0.25">
      <c r="A531" t="s">
        <v>31</v>
      </c>
      <c r="B531">
        <v>30</v>
      </c>
      <c r="C531">
        <v>50000</v>
      </c>
      <c r="D531" t="s">
        <v>32</v>
      </c>
      <c r="E531" t="s">
        <v>33</v>
      </c>
      <c r="F531" t="s">
        <v>38</v>
      </c>
      <c r="G531" s="2">
        <v>43881</v>
      </c>
      <c r="H531" t="s">
        <v>28</v>
      </c>
      <c r="I531" t="s">
        <v>52</v>
      </c>
      <c r="J531" t="s">
        <v>25</v>
      </c>
      <c r="M531" t="str">
        <f t="shared" si="73"/>
        <v>Jack</v>
      </c>
      <c r="N531">
        <v>30</v>
      </c>
      <c r="O531">
        <f t="shared" si="74"/>
        <v>30</v>
      </c>
      <c r="P531">
        <v>50000</v>
      </c>
      <c r="Q531">
        <f t="shared" si="75"/>
        <v>50000</v>
      </c>
      <c r="R531" t="str">
        <f t="shared" si="76"/>
        <v>Other</v>
      </c>
      <c r="S531" t="str">
        <f t="shared" si="77"/>
        <v>Marketing</v>
      </c>
      <c r="T531" t="str">
        <f t="shared" si="78"/>
        <v>Analyst</v>
      </c>
      <c r="U531" s="2">
        <v>43881</v>
      </c>
      <c r="V531" t="s">
        <v>28</v>
      </c>
      <c r="W531" t="s">
        <v>52</v>
      </c>
      <c r="X531" t="str">
        <f t="shared" si="79"/>
        <v>user@domain/com</v>
      </c>
      <c r="Y531" t="str">
        <f t="shared" si="80"/>
        <v>user@domain.com</v>
      </c>
      <c r="Z531" t="str">
        <f t="shared" si="72"/>
        <v>098-765-4321</v>
      </c>
    </row>
    <row r="532" spans="1:26" x14ac:dyDescent="0.25">
      <c r="A532" t="s">
        <v>10</v>
      </c>
      <c r="B532">
        <v>35</v>
      </c>
      <c r="C532">
        <v>70000</v>
      </c>
      <c r="D532" t="s">
        <v>11</v>
      </c>
      <c r="E532" t="s">
        <v>18</v>
      </c>
      <c r="F532" t="s">
        <v>37</v>
      </c>
      <c r="G532" s="2">
        <v>43800</v>
      </c>
      <c r="H532" t="s">
        <v>20</v>
      </c>
      <c r="I532" t="s">
        <v>52</v>
      </c>
      <c r="J532" t="s">
        <v>21</v>
      </c>
      <c r="M532" t="str">
        <f t="shared" si="73"/>
        <v>Grace</v>
      </c>
      <c r="N532">
        <v>35</v>
      </c>
      <c r="O532">
        <f t="shared" si="74"/>
        <v>35</v>
      </c>
      <c r="P532">
        <v>70000</v>
      </c>
      <c r="Q532">
        <f t="shared" si="75"/>
        <v>70000</v>
      </c>
      <c r="R532" t="str">
        <f t="shared" si="76"/>
        <v>Male</v>
      </c>
      <c r="S532" t="str">
        <f t="shared" si="77"/>
        <v>Finance</v>
      </c>
      <c r="T532" t="str">
        <f t="shared" si="78"/>
        <v>Assistant</v>
      </c>
      <c r="U532" s="2">
        <v>43800</v>
      </c>
      <c r="V532" t="s">
        <v>20</v>
      </c>
      <c r="W532" t="s">
        <v>52</v>
      </c>
      <c r="X532" t="str">
        <f t="shared" si="79"/>
        <v>user@domain/com</v>
      </c>
      <c r="Y532" t="str">
        <f t="shared" si="80"/>
        <v>user@domain.com</v>
      </c>
      <c r="Z532" t="str">
        <f t="shared" si="72"/>
        <v>123-456-7890</v>
      </c>
    </row>
    <row r="533" spans="1:26" x14ac:dyDescent="0.25">
      <c r="A533" t="s">
        <v>31</v>
      </c>
      <c r="B533">
        <v>40</v>
      </c>
      <c r="C533">
        <v>60000</v>
      </c>
      <c r="D533" t="s">
        <v>11</v>
      </c>
      <c r="E533" t="s">
        <v>27</v>
      </c>
      <c r="F533" t="s">
        <v>19</v>
      </c>
      <c r="G533" s="2">
        <v>43845</v>
      </c>
      <c r="H533" t="s">
        <v>28</v>
      </c>
      <c r="I533" t="s">
        <v>15</v>
      </c>
      <c r="J533" t="s">
        <v>29</v>
      </c>
      <c r="M533" t="str">
        <f t="shared" si="73"/>
        <v>Jack</v>
      </c>
      <c r="N533">
        <v>40</v>
      </c>
      <c r="O533">
        <f t="shared" si="74"/>
        <v>40</v>
      </c>
      <c r="P533">
        <v>60000</v>
      </c>
      <c r="Q533">
        <f t="shared" si="75"/>
        <v>60000</v>
      </c>
      <c r="R533" t="str">
        <f t="shared" si="76"/>
        <v>Male</v>
      </c>
      <c r="S533" t="str">
        <f t="shared" si="77"/>
        <v>IT</v>
      </c>
      <c r="T533" t="str">
        <f t="shared" si="78"/>
        <v>Director</v>
      </c>
      <c r="U533" s="2">
        <v>43845</v>
      </c>
      <c r="V533" t="s">
        <v>28</v>
      </c>
      <c r="W533" t="s">
        <v>15</v>
      </c>
      <c r="X533" t="str">
        <f t="shared" si="79"/>
        <v>Email not provided</v>
      </c>
      <c r="Y533" t="str">
        <f t="shared" si="80"/>
        <v>Email not provided</v>
      </c>
      <c r="Z533" t="str">
        <f t="shared" si="72"/>
        <v>Phone not provided</v>
      </c>
    </row>
    <row r="534" spans="1:26" x14ac:dyDescent="0.25">
      <c r="A534" t="s">
        <v>26</v>
      </c>
      <c r="B534">
        <v>40</v>
      </c>
      <c r="C534">
        <v>60000</v>
      </c>
      <c r="D534" t="s">
        <v>11</v>
      </c>
      <c r="E534" t="s">
        <v>12</v>
      </c>
      <c r="F534" t="s">
        <v>37</v>
      </c>
      <c r="G534" s="2">
        <v>43881</v>
      </c>
      <c r="H534" t="s">
        <v>36</v>
      </c>
      <c r="I534" t="s">
        <v>53</v>
      </c>
      <c r="J534" t="s">
        <v>21</v>
      </c>
      <c r="M534" t="str">
        <f t="shared" si="73"/>
        <v>Eve</v>
      </c>
      <c r="N534">
        <v>40</v>
      </c>
      <c r="O534">
        <f t="shared" si="74"/>
        <v>40</v>
      </c>
      <c r="P534">
        <v>60000</v>
      </c>
      <c r="Q534">
        <f t="shared" si="75"/>
        <v>60000</v>
      </c>
      <c r="R534" t="str">
        <f t="shared" si="76"/>
        <v>Male</v>
      </c>
      <c r="S534" t="str">
        <f t="shared" si="77"/>
        <v>HR</v>
      </c>
      <c r="T534" t="str">
        <f t="shared" si="78"/>
        <v>Assistant</v>
      </c>
      <c r="U534" s="2">
        <v>43881</v>
      </c>
      <c r="V534" t="s">
        <v>36</v>
      </c>
      <c r="W534" t="s">
        <v>53</v>
      </c>
      <c r="X534" t="str">
        <f t="shared" si="79"/>
        <v>name@company/org</v>
      </c>
      <c r="Y534" t="str">
        <f t="shared" si="80"/>
        <v>name@company.org</v>
      </c>
      <c r="Z534" t="str">
        <f t="shared" si="72"/>
        <v>123-456-7890</v>
      </c>
    </row>
    <row r="535" spans="1:26" x14ac:dyDescent="0.25">
      <c r="A535" t="s">
        <v>34</v>
      </c>
      <c r="B535">
        <v>25</v>
      </c>
      <c r="C535">
        <v>50000</v>
      </c>
      <c r="D535" t="s">
        <v>11</v>
      </c>
      <c r="E535" t="s">
        <v>23</v>
      </c>
      <c r="F535" t="s">
        <v>38</v>
      </c>
      <c r="G535" s="2">
        <v>43800</v>
      </c>
      <c r="H535" t="s">
        <v>36</v>
      </c>
      <c r="I535" t="s">
        <v>15</v>
      </c>
      <c r="J535" t="s">
        <v>15</v>
      </c>
      <c r="M535" t="str">
        <f t="shared" si="73"/>
        <v>Charlie</v>
      </c>
      <c r="N535">
        <v>25</v>
      </c>
      <c r="O535">
        <f t="shared" si="74"/>
        <v>25</v>
      </c>
      <c r="P535">
        <v>50000</v>
      </c>
      <c r="Q535">
        <f t="shared" si="75"/>
        <v>50000</v>
      </c>
      <c r="R535" t="str">
        <f t="shared" si="76"/>
        <v>Male</v>
      </c>
      <c r="S535" t="str">
        <f t="shared" si="77"/>
        <v>Sales</v>
      </c>
      <c r="T535" t="str">
        <f t="shared" si="78"/>
        <v>Analyst</v>
      </c>
      <c r="U535" s="2">
        <v>43800</v>
      </c>
      <c r="V535" t="s">
        <v>36</v>
      </c>
      <c r="W535" t="s">
        <v>15</v>
      </c>
      <c r="X535" t="str">
        <f t="shared" si="79"/>
        <v>Email not provided</v>
      </c>
      <c r="Y535" t="str">
        <f t="shared" si="80"/>
        <v>Email not provided</v>
      </c>
      <c r="Z535" t="str">
        <f t="shared" si="72"/>
        <v>Phone not provided</v>
      </c>
    </row>
    <row r="536" spans="1:26" x14ac:dyDescent="0.25">
      <c r="A536" t="s">
        <v>10</v>
      </c>
      <c r="B536">
        <v>50</v>
      </c>
      <c r="C536">
        <v>70000</v>
      </c>
      <c r="D536" t="s">
        <v>17</v>
      </c>
      <c r="E536" t="s">
        <v>23</v>
      </c>
      <c r="F536" t="s">
        <v>19</v>
      </c>
      <c r="G536" s="1">
        <v>43195</v>
      </c>
      <c r="H536" t="s">
        <v>20</v>
      </c>
      <c r="I536" t="s">
        <v>53</v>
      </c>
      <c r="J536" t="s">
        <v>39</v>
      </c>
      <c r="M536" t="str">
        <f t="shared" si="73"/>
        <v>Grace</v>
      </c>
      <c r="N536">
        <v>50</v>
      </c>
      <c r="O536">
        <f t="shared" si="74"/>
        <v>50</v>
      </c>
      <c r="P536">
        <v>70000</v>
      </c>
      <c r="Q536">
        <f t="shared" si="75"/>
        <v>70000</v>
      </c>
      <c r="R536" t="str">
        <f t="shared" si="76"/>
        <v>Female</v>
      </c>
      <c r="S536" t="str">
        <f t="shared" si="77"/>
        <v>Sales</v>
      </c>
      <c r="T536" t="str">
        <f t="shared" si="78"/>
        <v>Director</v>
      </c>
      <c r="U536" s="2">
        <v>43195</v>
      </c>
      <c r="V536" t="s">
        <v>20</v>
      </c>
      <c r="W536" t="s">
        <v>53</v>
      </c>
      <c r="X536" t="str">
        <f t="shared" si="79"/>
        <v>name@company/org</v>
      </c>
      <c r="Y536" t="str">
        <f t="shared" si="80"/>
        <v>name@company.org</v>
      </c>
      <c r="Z536" t="str">
        <f t="shared" si="72"/>
        <v>555-555-5555</v>
      </c>
    </row>
    <row r="537" spans="1:26" x14ac:dyDescent="0.25">
      <c r="A537" t="s">
        <v>41</v>
      </c>
      <c r="B537">
        <v>35</v>
      </c>
      <c r="C537">
        <v>65000</v>
      </c>
      <c r="D537" t="s">
        <v>32</v>
      </c>
      <c r="E537" t="s">
        <v>27</v>
      </c>
      <c r="F537" t="s">
        <v>38</v>
      </c>
      <c r="G537" s="2">
        <v>43549</v>
      </c>
      <c r="H537" t="s">
        <v>14</v>
      </c>
      <c r="I537" t="s">
        <v>52</v>
      </c>
      <c r="J537" t="s">
        <v>39</v>
      </c>
      <c r="M537" t="str">
        <f t="shared" si="73"/>
        <v>Bob</v>
      </c>
      <c r="N537">
        <v>35</v>
      </c>
      <c r="O537">
        <f t="shared" si="74"/>
        <v>35</v>
      </c>
      <c r="P537">
        <v>65000</v>
      </c>
      <c r="Q537">
        <f t="shared" si="75"/>
        <v>65000</v>
      </c>
      <c r="R537" t="str">
        <f t="shared" si="76"/>
        <v>Other</v>
      </c>
      <c r="S537" t="str">
        <f t="shared" si="77"/>
        <v>IT</v>
      </c>
      <c r="T537" t="str">
        <f t="shared" si="78"/>
        <v>Analyst</v>
      </c>
      <c r="U537" s="2">
        <v>43549</v>
      </c>
      <c r="V537" t="s">
        <v>14</v>
      </c>
      <c r="W537" t="s">
        <v>52</v>
      </c>
      <c r="X537" t="str">
        <f t="shared" si="79"/>
        <v>user@domain/com</v>
      </c>
      <c r="Y537" t="str">
        <f t="shared" si="80"/>
        <v>user@domain.com</v>
      </c>
      <c r="Z537" t="str">
        <f t="shared" si="72"/>
        <v>555-555-5555</v>
      </c>
    </row>
    <row r="538" spans="1:26" x14ac:dyDescent="0.25">
      <c r="A538" t="s">
        <v>43</v>
      </c>
      <c r="B538" t="s">
        <v>15</v>
      </c>
      <c r="C538">
        <v>70000</v>
      </c>
      <c r="D538" t="s">
        <v>32</v>
      </c>
      <c r="E538" t="s">
        <v>33</v>
      </c>
      <c r="F538" t="s">
        <v>13</v>
      </c>
      <c r="G538" s="2">
        <v>43881</v>
      </c>
      <c r="H538" t="s">
        <v>14</v>
      </c>
      <c r="I538" t="s">
        <v>51</v>
      </c>
      <c r="J538" t="s">
        <v>29</v>
      </c>
      <c r="M538" t="str">
        <f t="shared" si="73"/>
        <v>Ivy</v>
      </c>
      <c r="N538" t="s">
        <v>15</v>
      </c>
      <c r="O538">
        <f t="shared" si="74"/>
        <v>35</v>
      </c>
      <c r="P538">
        <v>70000</v>
      </c>
      <c r="Q538">
        <f t="shared" si="75"/>
        <v>70000</v>
      </c>
      <c r="R538" t="str">
        <f t="shared" si="76"/>
        <v>Other</v>
      </c>
      <c r="S538" t="str">
        <f t="shared" si="77"/>
        <v>Marketing</v>
      </c>
      <c r="T538" t="str">
        <f t="shared" si="78"/>
        <v>Manager</v>
      </c>
      <c r="U538" s="2">
        <v>43881</v>
      </c>
      <c r="V538" t="s">
        <v>14</v>
      </c>
      <c r="W538" t="s">
        <v>51</v>
      </c>
      <c r="X538" t="str">
        <f t="shared" si="79"/>
        <v>email@example/com</v>
      </c>
      <c r="Y538" t="str">
        <f t="shared" si="80"/>
        <v>email@example.com</v>
      </c>
      <c r="Z538" t="str">
        <f t="shared" si="72"/>
        <v>Phone not provided</v>
      </c>
    </row>
    <row r="539" spans="1:26" x14ac:dyDescent="0.25">
      <c r="A539" t="s">
        <v>31</v>
      </c>
      <c r="B539">
        <v>25</v>
      </c>
      <c r="C539">
        <v>55000</v>
      </c>
      <c r="D539" t="s">
        <v>32</v>
      </c>
      <c r="E539" t="s">
        <v>12</v>
      </c>
      <c r="F539" t="s">
        <v>38</v>
      </c>
      <c r="G539" s="2">
        <v>43845</v>
      </c>
      <c r="H539" t="s">
        <v>20</v>
      </c>
      <c r="J539" t="s">
        <v>21</v>
      </c>
      <c r="M539" t="str">
        <f t="shared" si="73"/>
        <v>Jack</v>
      </c>
      <c r="N539">
        <v>25</v>
      </c>
      <c r="O539">
        <f t="shared" si="74"/>
        <v>25</v>
      </c>
      <c r="P539">
        <v>55000</v>
      </c>
      <c r="Q539">
        <f t="shared" si="75"/>
        <v>55000</v>
      </c>
      <c r="R539" t="str">
        <f t="shared" si="76"/>
        <v>Other</v>
      </c>
      <c r="S539" t="str">
        <f t="shared" si="77"/>
        <v>HR</v>
      </c>
      <c r="T539" t="str">
        <f t="shared" si="78"/>
        <v>Analyst</v>
      </c>
      <c r="U539" s="2">
        <v>43845</v>
      </c>
      <c r="V539" t="s">
        <v>20</v>
      </c>
      <c r="X539" t="str">
        <f t="shared" si="79"/>
        <v>Email not provided</v>
      </c>
      <c r="Y539" t="str">
        <f t="shared" si="80"/>
        <v>Email not provided</v>
      </c>
      <c r="Z539" t="str">
        <f t="shared" si="72"/>
        <v>123-456-7890</v>
      </c>
    </row>
    <row r="540" spans="1:26" x14ac:dyDescent="0.25">
      <c r="A540" t="s">
        <v>31</v>
      </c>
      <c r="B540">
        <v>35</v>
      </c>
      <c r="C540" t="s">
        <v>30</v>
      </c>
      <c r="D540" t="s">
        <v>11</v>
      </c>
      <c r="E540" t="s">
        <v>23</v>
      </c>
      <c r="F540" t="s">
        <v>37</v>
      </c>
      <c r="G540" s="1">
        <v>43195</v>
      </c>
      <c r="H540" t="s">
        <v>20</v>
      </c>
      <c r="I540" t="s">
        <v>52</v>
      </c>
      <c r="J540" t="s">
        <v>21</v>
      </c>
      <c r="M540" t="str">
        <f t="shared" si="73"/>
        <v>Jack</v>
      </c>
      <c r="N540">
        <v>35</v>
      </c>
      <c r="O540">
        <f t="shared" si="74"/>
        <v>35</v>
      </c>
      <c r="P540" t="s">
        <v>30</v>
      </c>
      <c r="Q540">
        <f t="shared" si="75"/>
        <v>60000</v>
      </c>
      <c r="R540" t="str">
        <f t="shared" si="76"/>
        <v>Male</v>
      </c>
      <c r="S540" t="str">
        <f t="shared" si="77"/>
        <v>Sales</v>
      </c>
      <c r="T540" t="str">
        <f t="shared" si="78"/>
        <v>Assistant</v>
      </c>
      <c r="U540" s="2">
        <v>43195</v>
      </c>
      <c r="V540" t="s">
        <v>20</v>
      </c>
      <c r="W540" t="s">
        <v>52</v>
      </c>
      <c r="X540" t="str">
        <f t="shared" si="79"/>
        <v>user@domain/com</v>
      </c>
      <c r="Y540" t="str">
        <f t="shared" si="80"/>
        <v>user@domain.com</v>
      </c>
      <c r="Z540" t="str">
        <f t="shared" si="72"/>
        <v>123-456-7890</v>
      </c>
    </row>
    <row r="541" spans="1:26" x14ac:dyDescent="0.25">
      <c r="A541" t="s">
        <v>42</v>
      </c>
      <c r="B541">
        <v>35</v>
      </c>
      <c r="C541">
        <v>65000</v>
      </c>
      <c r="D541" t="s">
        <v>17</v>
      </c>
      <c r="E541" t="s">
        <v>23</v>
      </c>
      <c r="F541" t="s">
        <v>35</v>
      </c>
      <c r="G541" s="2">
        <v>43800</v>
      </c>
      <c r="H541" t="s">
        <v>28</v>
      </c>
      <c r="I541" t="s">
        <v>51</v>
      </c>
      <c r="J541" t="s">
        <v>15</v>
      </c>
      <c r="M541" t="str">
        <f t="shared" si="73"/>
        <v>Alice</v>
      </c>
      <c r="N541">
        <v>35</v>
      </c>
      <c r="O541">
        <f t="shared" si="74"/>
        <v>35</v>
      </c>
      <c r="P541">
        <v>65000</v>
      </c>
      <c r="Q541">
        <f t="shared" si="75"/>
        <v>65000</v>
      </c>
      <c r="R541" t="str">
        <f t="shared" si="76"/>
        <v>Female</v>
      </c>
      <c r="S541" t="str">
        <f t="shared" si="77"/>
        <v>Sales</v>
      </c>
      <c r="T541" t="str">
        <f t="shared" si="78"/>
        <v>Clerk</v>
      </c>
      <c r="U541" s="2">
        <v>43800</v>
      </c>
      <c r="V541" t="s">
        <v>28</v>
      </c>
      <c r="W541" t="s">
        <v>51</v>
      </c>
      <c r="X541" t="str">
        <f t="shared" si="79"/>
        <v>email@example/com</v>
      </c>
      <c r="Y541" t="str">
        <f t="shared" si="80"/>
        <v>email@example.com</v>
      </c>
      <c r="Z541" t="str">
        <f t="shared" si="72"/>
        <v>Phone not provided</v>
      </c>
    </row>
    <row r="542" spans="1:26" x14ac:dyDescent="0.25">
      <c r="A542" t="s">
        <v>40</v>
      </c>
      <c r="B542">
        <v>25</v>
      </c>
      <c r="C542">
        <v>60000</v>
      </c>
      <c r="D542" t="s">
        <v>32</v>
      </c>
      <c r="E542" t="s">
        <v>33</v>
      </c>
      <c r="F542" t="s">
        <v>38</v>
      </c>
      <c r="G542" s="2">
        <v>43549</v>
      </c>
      <c r="H542" t="s">
        <v>20</v>
      </c>
      <c r="I542" t="s">
        <v>52</v>
      </c>
      <c r="J542" t="s">
        <v>39</v>
      </c>
      <c r="M542" t="str">
        <f t="shared" si="73"/>
        <v>Frank</v>
      </c>
      <c r="N542">
        <v>25</v>
      </c>
      <c r="O542">
        <f t="shared" si="74"/>
        <v>25</v>
      </c>
      <c r="P542">
        <v>60000</v>
      </c>
      <c r="Q542">
        <f t="shared" si="75"/>
        <v>60000</v>
      </c>
      <c r="R542" t="str">
        <f t="shared" si="76"/>
        <v>Other</v>
      </c>
      <c r="S542" t="str">
        <f t="shared" si="77"/>
        <v>Marketing</v>
      </c>
      <c r="T542" t="str">
        <f t="shared" si="78"/>
        <v>Analyst</v>
      </c>
      <c r="U542" s="2">
        <v>43549</v>
      </c>
      <c r="V542" t="s">
        <v>20</v>
      </c>
      <c r="W542" t="s">
        <v>52</v>
      </c>
      <c r="X542" t="str">
        <f t="shared" si="79"/>
        <v>user@domain/com</v>
      </c>
      <c r="Y542" t="str">
        <f t="shared" si="80"/>
        <v>user@domain.com</v>
      </c>
      <c r="Z542" t="str">
        <f t="shared" si="72"/>
        <v>555-555-5555</v>
      </c>
    </row>
    <row r="543" spans="1:26" x14ac:dyDescent="0.25">
      <c r="A543" t="s">
        <v>10</v>
      </c>
      <c r="B543">
        <v>40</v>
      </c>
      <c r="C543">
        <v>65000</v>
      </c>
      <c r="D543" t="s">
        <v>17</v>
      </c>
      <c r="E543" t="s">
        <v>27</v>
      </c>
      <c r="F543" t="s">
        <v>35</v>
      </c>
      <c r="G543" s="2">
        <v>43845</v>
      </c>
      <c r="H543" t="s">
        <v>14</v>
      </c>
      <c r="I543" t="s">
        <v>15</v>
      </c>
      <c r="J543" t="s">
        <v>21</v>
      </c>
      <c r="M543" t="str">
        <f t="shared" si="73"/>
        <v>Grace</v>
      </c>
      <c r="N543">
        <v>40</v>
      </c>
      <c r="O543">
        <f t="shared" si="74"/>
        <v>40</v>
      </c>
      <c r="P543">
        <v>65000</v>
      </c>
      <c r="Q543">
        <f t="shared" si="75"/>
        <v>65000</v>
      </c>
      <c r="R543" t="str">
        <f t="shared" si="76"/>
        <v>Female</v>
      </c>
      <c r="S543" t="str">
        <f t="shared" si="77"/>
        <v>IT</v>
      </c>
      <c r="T543" t="str">
        <f t="shared" si="78"/>
        <v>Clerk</v>
      </c>
      <c r="U543" s="2">
        <v>43845</v>
      </c>
      <c r="V543" t="s">
        <v>14</v>
      </c>
      <c r="W543" t="s">
        <v>15</v>
      </c>
      <c r="X543" t="str">
        <f t="shared" si="79"/>
        <v>Email not provided</v>
      </c>
      <c r="Y543" t="str">
        <f t="shared" si="80"/>
        <v>Email not provided</v>
      </c>
      <c r="Z543" t="str">
        <f t="shared" si="72"/>
        <v>123-456-7890</v>
      </c>
    </row>
    <row r="544" spans="1:26" x14ac:dyDescent="0.25">
      <c r="A544" t="s">
        <v>22</v>
      </c>
      <c r="B544">
        <v>35</v>
      </c>
      <c r="C544">
        <v>60000</v>
      </c>
      <c r="D544" t="s">
        <v>11</v>
      </c>
      <c r="E544" t="s">
        <v>12</v>
      </c>
      <c r="F544" t="s">
        <v>13</v>
      </c>
      <c r="G544" s="2">
        <v>43800</v>
      </c>
      <c r="H544" t="s">
        <v>20</v>
      </c>
      <c r="I544" t="s">
        <v>53</v>
      </c>
      <c r="J544" t="s">
        <v>29</v>
      </c>
      <c r="M544" t="str">
        <f t="shared" si="73"/>
        <v>Hannah</v>
      </c>
      <c r="N544">
        <v>35</v>
      </c>
      <c r="O544">
        <f t="shared" si="74"/>
        <v>35</v>
      </c>
      <c r="P544">
        <v>60000</v>
      </c>
      <c r="Q544">
        <f t="shared" si="75"/>
        <v>60000</v>
      </c>
      <c r="R544" t="str">
        <f t="shared" si="76"/>
        <v>Male</v>
      </c>
      <c r="S544" t="str">
        <f t="shared" si="77"/>
        <v>HR</v>
      </c>
      <c r="T544" t="str">
        <f t="shared" si="78"/>
        <v>Manager</v>
      </c>
      <c r="U544" s="2">
        <v>43800</v>
      </c>
      <c r="V544" t="s">
        <v>20</v>
      </c>
      <c r="W544" t="s">
        <v>53</v>
      </c>
      <c r="X544" t="str">
        <f t="shared" si="79"/>
        <v>name@company/org</v>
      </c>
      <c r="Y544" t="str">
        <f t="shared" si="80"/>
        <v>name@company.org</v>
      </c>
      <c r="Z544" t="str">
        <f t="shared" si="72"/>
        <v>Phone not provided</v>
      </c>
    </row>
    <row r="545" spans="1:26" x14ac:dyDescent="0.25">
      <c r="A545" t="s">
        <v>31</v>
      </c>
      <c r="B545">
        <v>40</v>
      </c>
      <c r="C545">
        <v>60000</v>
      </c>
      <c r="D545" t="s">
        <v>32</v>
      </c>
      <c r="E545" t="s">
        <v>27</v>
      </c>
      <c r="F545" t="s">
        <v>19</v>
      </c>
      <c r="G545" s="2">
        <v>43800</v>
      </c>
      <c r="H545" t="s">
        <v>28</v>
      </c>
      <c r="I545" t="s">
        <v>52</v>
      </c>
      <c r="J545" t="s">
        <v>39</v>
      </c>
      <c r="M545" t="str">
        <f t="shared" si="73"/>
        <v>Jack</v>
      </c>
      <c r="N545">
        <v>40</v>
      </c>
      <c r="O545">
        <f t="shared" si="74"/>
        <v>40</v>
      </c>
      <c r="P545">
        <v>60000</v>
      </c>
      <c r="Q545">
        <f t="shared" si="75"/>
        <v>60000</v>
      </c>
      <c r="R545" t="str">
        <f t="shared" si="76"/>
        <v>Other</v>
      </c>
      <c r="S545" t="str">
        <f t="shared" si="77"/>
        <v>IT</v>
      </c>
      <c r="T545" t="str">
        <f t="shared" si="78"/>
        <v>Director</v>
      </c>
      <c r="U545" s="2">
        <v>43800</v>
      </c>
      <c r="V545" t="s">
        <v>28</v>
      </c>
      <c r="W545" t="s">
        <v>52</v>
      </c>
      <c r="X545" t="str">
        <f t="shared" si="79"/>
        <v>user@domain/com</v>
      </c>
      <c r="Y545" t="str">
        <f t="shared" si="80"/>
        <v>user@domain.com</v>
      </c>
      <c r="Z545" t="str">
        <f t="shared" si="72"/>
        <v>555-555-5555</v>
      </c>
    </row>
    <row r="546" spans="1:26" x14ac:dyDescent="0.25">
      <c r="A546" t="s">
        <v>43</v>
      </c>
      <c r="B546">
        <v>25</v>
      </c>
      <c r="C546">
        <v>65000</v>
      </c>
      <c r="D546" t="s">
        <v>17</v>
      </c>
      <c r="E546" t="s">
        <v>27</v>
      </c>
      <c r="F546" t="s">
        <v>19</v>
      </c>
      <c r="G546" s="2">
        <v>43881</v>
      </c>
      <c r="H546" t="s">
        <v>28</v>
      </c>
      <c r="I546" t="s">
        <v>51</v>
      </c>
      <c r="J546" t="s">
        <v>15</v>
      </c>
      <c r="M546" t="str">
        <f t="shared" si="73"/>
        <v>Ivy</v>
      </c>
      <c r="N546">
        <v>25</v>
      </c>
      <c r="O546">
        <f t="shared" si="74"/>
        <v>25</v>
      </c>
      <c r="P546">
        <v>65000</v>
      </c>
      <c r="Q546">
        <f t="shared" si="75"/>
        <v>65000</v>
      </c>
      <c r="R546" t="str">
        <f t="shared" si="76"/>
        <v>Female</v>
      </c>
      <c r="S546" t="str">
        <f t="shared" si="77"/>
        <v>IT</v>
      </c>
      <c r="T546" t="str">
        <f t="shared" si="78"/>
        <v>Director</v>
      </c>
      <c r="U546" s="2">
        <v>43881</v>
      </c>
      <c r="V546" t="s">
        <v>28</v>
      </c>
      <c r="W546" t="s">
        <v>51</v>
      </c>
      <c r="X546" t="str">
        <f t="shared" si="79"/>
        <v>email@example/com</v>
      </c>
      <c r="Y546" t="str">
        <f t="shared" si="80"/>
        <v>email@example.com</v>
      </c>
      <c r="Z546" t="str">
        <f t="shared" si="72"/>
        <v>Phone not provided</v>
      </c>
    </row>
    <row r="547" spans="1:26" x14ac:dyDescent="0.25">
      <c r="A547" t="s">
        <v>41</v>
      </c>
      <c r="B547">
        <v>40</v>
      </c>
      <c r="C547">
        <v>60000</v>
      </c>
      <c r="D547" t="s">
        <v>11</v>
      </c>
      <c r="E547" t="s">
        <v>12</v>
      </c>
      <c r="F547" t="s">
        <v>35</v>
      </c>
      <c r="G547" s="2">
        <v>43881</v>
      </c>
      <c r="H547" t="s">
        <v>28</v>
      </c>
      <c r="I547" t="s">
        <v>15</v>
      </c>
      <c r="J547" t="s">
        <v>29</v>
      </c>
      <c r="M547" t="str">
        <f t="shared" si="73"/>
        <v>Bob</v>
      </c>
      <c r="N547">
        <v>40</v>
      </c>
      <c r="O547">
        <f t="shared" si="74"/>
        <v>40</v>
      </c>
      <c r="P547">
        <v>60000</v>
      </c>
      <c r="Q547">
        <f t="shared" si="75"/>
        <v>60000</v>
      </c>
      <c r="R547" t="str">
        <f t="shared" si="76"/>
        <v>Male</v>
      </c>
      <c r="S547" t="str">
        <f t="shared" si="77"/>
        <v>HR</v>
      </c>
      <c r="T547" t="str">
        <f t="shared" si="78"/>
        <v>Clerk</v>
      </c>
      <c r="U547" s="2">
        <v>43881</v>
      </c>
      <c r="V547" t="s">
        <v>28</v>
      </c>
      <c r="W547" t="s">
        <v>15</v>
      </c>
      <c r="X547" t="str">
        <f t="shared" si="79"/>
        <v>Email not provided</v>
      </c>
      <c r="Y547" t="str">
        <f t="shared" si="80"/>
        <v>Email not provided</v>
      </c>
      <c r="Z547" t="str">
        <f t="shared" si="72"/>
        <v>Phone not provided</v>
      </c>
    </row>
    <row r="548" spans="1:26" x14ac:dyDescent="0.25">
      <c r="A548" t="s">
        <v>31</v>
      </c>
      <c r="B548">
        <v>30</v>
      </c>
      <c r="C548">
        <v>60000</v>
      </c>
      <c r="D548" t="s">
        <v>17</v>
      </c>
      <c r="E548" t="s">
        <v>12</v>
      </c>
      <c r="F548" t="s">
        <v>19</v>
      </c>
      <c r="G548" s="2">
        <v>43845</v>
      </c>
      <c r="H548" t="s">
        <v>28</v>
      </c>
      <c r="J548" t="s">
        <v>25</v>
      </c>
      <c r="M548" t="str">
        <f t="shared" si="73"/>
        <v>Jack</v>
      </c>
      <c r="N548">
        <v>30</v>
      </c>
      <c r="O548">
        <f t="shared" si="74"/>
        <v>30</v>
      </c>
      <c r="P548">
        <v>60000</v>
      </c>
      <c r="Q548">
        <f t="shared" si="75"/>
        <v>60000</v>
      </c>
      <c r="R548" t="str">
        <f t="shared" si="76"/>
        <v>Female</v>
      </c>
      <c r="S548" t="str">
        <f t="shared" si="77"/>
        <v>HR</v>
      </c>
      <c r="T548" t="str">
        <f t="shared" si="78"/>
        <v>Director</v>
      </c>
      <c r="U548" s="2">
        <v>43845</v>
      </c>
      <c r="V548" t="s">
        <v>28</v>
      </c>
      <c r="X548" t="str">
        <f t="shared" si="79"/>
        <v>Email not provided</v>
      </c>
      <c r="Y548" t="str">
        <f t="shared" si="80"/>
        <v>Email not provided</v>
      </c>
      <c r="Z548" t="str">
        <f t="shared" si="72"/>
        <v>098-765-4321</v>
      </c>
    </row>
    <row r="549" spans="1:26" x14ac:dyDescent="0.25">
      <c r="A549" t="s">
        <v>41</v>
      </c>
      <c r="B549" t="s">
        <v>15</v>
      </c>
      <c r="C549">
        <v>55000</v>
      </c>
      <c r="D549" t="s">
        <v>32</v>
      </c>
      <c r="E549" t="s">
        <v>23</v>
      </c>
      <c r="F549" t="s">
        <v>38</v>
      </c>
      <c r="G549" s="2">
        <v>43800</v>
      </c>
      <c r="H549" t="s">
        <v>24</v>
      </c>
      <c r="I549" t="s">
        <v>15</v>
      </c>
      <c r="J549" t="s">
        <v>15</v>
      </c>
      <c r="M549" t="str">
        <f t="shared" si="73"/>
        <v>Bob</v>
      </c>
      <c r="N549" t="s">
        <v>15</v>
      </c>
      <c r="O549">
        <f t="shared" si="74"/>
        <v>35</v>
      </c>
      <c r="P549">
        <v>55000</v>
      </c>
      <c r="Q549">
        <f t="shared" si="75"/>
        <v>55000</v>
      </c>
      <c r="R549" t="str">
        <f t="shared" si="76"/>
        <v>Other</v>
      </c>
      <c r="S549" t="str">
        <f t="shared" si="77"/>
        <v>Sales</v>
      </c>
      <c r="T549" t="str">
        <f t="shared" si="78"/>
        <v>Analyst</v>
      </c>
      <c r="U549" s="2">
        <v>43800</v>
      </c>
      <c r="V549" t="s">
        <v>24</v>
      </c>
      <c r="W549" t="s">
        <v>15</v>
      </c>
      <c r="X549" t="str">
        <f t="shared" si="79"/>
        <v>Email not provided</v>
      </c>
      <c r="Y549" t="str">
        <f t="shared" si="80"/>
        <v>Email not provided</v>
      </c>
      <c r="Z549" t="str">
        <f t="shared" si="72"/>
        <v>Phone not provided</v>
      </c>
    </row>
    <row r="550" spans="1:26" x14ac:dyDescent="0.25">
      <c r="A550" t="s">
        <v>26</v>
      </c>
      <c r="B550">
        <v>35</v>
      </c>
      <c r="C550">
        <v>70000</v>
      </c>
      <c r="D550" t="s">
        <v>32</v>
      </c>
      <c r="E550" t="s">
        <v>23</v>
      </c>
      <c r="F550" t="s">
        <v>35</v>
      </c>
      <c r="G550" s="2">
        <v>43881</v>
      </c>
      <c r="H550" t="s">
        <v>20</v>
      </c>
      <c r="I550" t="s">
        <v>53</v>
      </c>
      <c r="J550" t="s">
        <v>29</v>
      </c>
      <c r="M550" t="str">
        <f t="shared" si="73"/>
        <v>Eve</v>
      </c>
      <c r="N550">
        <v>35</v>
      </c>
      <c r="O550">
        <f t="shared" si="74"/>
        <v>35</v>
      </c>
      <c r="P550">
        <v>70000</v>
      </c>
      <c r="Q550">
        <f t="shared" si="75"/>
        <v>70000</v>
      </c>
      <c r="R550" t="str">
        <f t="shared" si="76"/>
        <v>Other</v>
      </c>
      <c r="S550" t="str">
        <f t="shared" si="77"/>
        <v>Sales</v>
      </c>
      <c r="T550" t="str">
        <f t="shared" si="78"/>
        <v>Clerk</v>
      </c>
      <c r="U550" s="2">
        <v>43881</v>
      </c>
      <c r="V550" t="s">
        <v>20</v>
      </c>
      <c r="W550" t="s">
        <v>53</v>
      </c>
      <c r="X550" t="str">
        <f t="shared" si="79"/>
        <v>name@company/org</v>
      </c>
      <c r="Y550" t="str">
        <f t="shared" si="80"/>
        <v>name@company.org</v>
      </c>
      <c r="Z550" t="str">
        <f t="shared" si="72"/>
        <v>Phone not provided</v>
      </c>
    </row>
    <row r="551" spans="1:26" x14ac:dyDescent="0.25">
      <c r="A551" t="s">
        <v>26</v>
      </c>
      <c r="B551">
        <v>50</v>
      </c>
      <c r="C551">
        <v>70000</v>
      </c>
      <c r="D551" t="s">
        <v>11</v>
      </c>
      <c r="E551" t="s">
        <v>12</v>
      </c>
      <c r="F551" t="s">
        <v>37</v>
      </c>
      <c r="G551" s="2">
        <v>43549</v>
      </c>
      <c r="H551" t="s">
        <v>36</v>
      </c>
      <c r="I551" t="s">
        <v>15</v>
      </c>
      <c r="J551" t="s">
        <v>21</v>
      </c>
      <c r="M551" t="str">
        <f t="shared" si="73"/>
        <v>Eve</v>
      </c>
      <c r="N551">
        <v>50</v>
      </c>
      <c r="O551">
        <f t="shared" si="74"/>
        <v>50</v>
      </c>
      <c r="P551">
        <v>70000</v>
      </c>
      <c r="Q551">
        <f t="shared" si="75"/>
        <v>70000</v>
      </c>
      <c r="R551" t="str">
        <f t="shared" si="76"/>
        <v>Male</v>
      </c>
      <c r="S551" t="str">
        <f t="shared" si="77"/>
        <v>HR</v>
      </c>
      <c r="T551" t="str">
        <f t="shared" si="78"/>
        <v>Assistant</v>
      </c>
      <c r="U551" s="2">
        <v>43549</v>
      </c>
      <c r="V551" t="s">
        <v>36</v>
      </c>
      <c r="W551" t="s">
        <v>15</v>
      </c>
      <c r="X551" t="str">
        <f t="shared" si="79"/>
        <v>Email not provided</v>
      </c>
      <c r="Y551" t="str">
        <f t="shared" si="80"/>
        <v>Email not provided</v>
      </c>
      <c r="Z551" t="str">
        <f t="shared" si="72"/>
        <v>123-456-7890</v>
      </c>
    </row>
    <row r="552" spans="1:26" x14ac:dyDescent="0.25">
      <c r="A552" t="s">
        <v>40</v>
      </c>
      <c r="B552" t="s">
        <v>15</v>
      </c>
      <c r="C552" t="s">
        <v>30</v>
      </c>
      <c r="D552" t="s">
        <v>11</v>
      </c>
      <c r="E552" t="s">
        <v>18</v>
      </c>
      <c r="F552" t="s">
        <v>38</v>
      </c>
      <c r="G552" s="2">
        <v>43549</v>
      </c>
      <c r="H552" t="s">
        <v>20</v>
      </c>
      <c r="J552" t="s">
        <v>25</v>
      </c>
      <c r="M552" t="str">
        <f t="shared" si="73"/>
        <v>Frank</v>
      </c>
      <c r="N552" t="s">
        <v>15</v>
      </c>
      <c r="O552">
        <f t="shared" si="74"/>
        <v>35</v>
      </c>
      <c r="P552" t="s">
        <v>30</v>
      </c>
      <c r="Q552">
        <f t="shared" si="75"/>
        <v>60000</v>
      </c>
      <c r="R552" t="str">
        <f t="shared" si="76"/>
        <v>Male</v>
      </c>
      <c r="S552" t="str">
        <f t="shared" si="77"/>
        <v>Finance</v>
      </c>
      <c r="T552" t="str">
        <f t="shared" si="78"/>
        <v>Analyst</v>
      </c>
      <c r="U552" s="2">
        <v>43549</v>
      </c>
      <c r="V552" t="s">
        <v>20</v>
      </c>
      <c r="X552" t="str">
        <f t="shared" si="79"/>
        <v>Email not provided</v>
      </c>
      <c r="Y552" t="str">
        <f t="shared" si="80"/>
        <v>Email not provided</v>
      </c>
      <c r="Z552" t="str">
        <f t="shared" si="72"/>
        <v>098-765-4321</v>
      </c>
    </row>
    <row r="553" spans="1:26" x14ac:dyDescent="0.25">
      <c r="A553" t="s">
        <v>34</v>
      </c>
      <c r="B553">
        <v>40</v>
      </c>
      <c r="C553" t="s">
        <v>30</v>
      </c>
      <c r="D553" t="s">
        <v>11</v>
      </c>
      <c r="E553" t="s">
        <v>23</v>
      </c>
      <c r="F553" t="s">
        <v>38</v>
      </c>
      <c r="G553" s="2">
        <v>43800</v>
      </c>
      <c r="H553" t="s">
        <v>24</v>
      </c>
      <c r="I553" t="s">
        <v>51</v>
      </c>
      <c r="J553" t="s">
        <v>15</v>
      </c>
      <c r="M553" t="str">
        <f t="shared" si="73"/>
        <v>Charlie</v>
      </c>
      <c r="N553">
        <v>40</v>
      </c>
      <c r="O553">
        <f t="shared" si="74"/>
        <v>40</v>
      </c>
      <c r="P553" t="s">
        <v>30</v>
      </c>
      <c r="Q553">
        <f t="shared" si="75"/>
        <v>60000</v>
      </c>
      <c r="R553" t="str">
        <f t="shared" si="76"/>
        <v>Male</v>
      </c>
      <c r="S553" t="str">
        <f t="shared" si="77"/>
        <v>Sales</v>
      </c>
      <c r="T553" t="str">
        <f t="shared" si="78"/>
        <v>Analyst</v>
      </c>
      <c r="U553" s="2">
        <v>43800</v>
      </c>
      <c r="V553" t="s">
        <v>24</v>
      </c>
      <c r="W553" t="s">
        <v>51</v>
      </c>
      <c r="X553" t="str">
        <f t="shared" si="79"/>
        <v>email@example/com</v>
      </c>
      <c r="Y553" t="str">
        <f t="shared" si="80"/>
        <v>email@example.com</v>
      </c>
      <c r="Z553" t="str">
        <f t="shared" si="72"/>
        <v>Phone not provided</v>
      </c>
    </row>
    <row r="554" spans="1:26" x14ac:dyDescent="0.25">
      <c r="A554" t="s">
        <v>22</v>
      </c>
      <c r="B554">
        <v>35</v>
      </c>
      <c r="C554">
        <v>55000</v>
      </c>
      <c r="D554" t="s">
        <v>17</v>
      </c>
      <c r="E554" t="s">
        <v>18</v>
      </c>
      <c r="F554" t="s">
        <v>38</v>
      </c>
      <c r="G554" s="2">
        <v>43881</v>
      </c>
      <c r="H554" t="s">
        <v>28</v>
      </c>
      <c r="I554" t="s">
        <v>52</v>
      </c>
      <c r="J554" t="s">
        <v>21</v>
      </c>
      <c r="M554" t="str">
        <f t="shared" si="73"/>
        <v>Hannah</v>
      </c>
      <c r="N554">
        <v>35</v>
      </c>
      <c r="O554">
        <f t="shared" si="74"/>
        <v>35</v>
      </c>
      <c r="P554">
        <v>55000</v>
      </c>
      <c r="Q554">
        <f t="shared" si="75"/>
        <v>55000</v>
      </c>
      <c r="R554" t="str">
        <f t="shared" si="76"/>
        <v>Female</v>
      </c>
      <c r="S554" t="str">
        <f t="shared" si="77"/>
        <v>Finance</v>
      </c>
      <c r="T554" t="str">
        <f t="shared" si="78"/>
        <v>Analyst</v>
      </c>
      <c r="U554" s="2">
        <v>43881</v>
      </c>
      <c r="V554" t="s">
        <v>28</v>
      </c>
      <c r="W554" t="s">
        <v>52</v>
      </c>
      <c r="X554" t="str">
        <f t="shared" si="79"/>
        <v>user@domain/com</v>
      </c>
      <c r="Y554" t="str">
        <f t="shared" si="80"/>
        <v>user@domain.com</v>
      </c>
      <c r="Z554" t="str">
        <f t="shared" si="72"/>
        <v>123-456-7890</v>
      </c>
    </row>
    <row r="555" spans="1:26" x14ac:dyDescent="0.25">
      <c r="A555" t="s">
        <v>42</v>
      </c>
      <c r="B555">
        <v>40</v>
      </c>
      <c r="C555" t="s">
        <v>30</v>
      </c>
      <c r="D555" t="s">
        <v>17</v>
      </c>
      <c r="E555" t="s">
        <v>12</v>
      </c>
      <c r="F555" t="s">
        <v>37</v>
      </c>
      <c r="G555" s="2">
        <v>43845</v>
      </c>
      <c r="H555" t="s">
        <v>24</v>
      </c>
      <c r="I555" t="s">
        <v>53</v>
      </c>
      <c r="J555" t="s">
        <v>25</v>
      </c>
      <c r="M555" t="str">
        <f t="shared" si="73"/>
        <v>Alice</v>
      </c>
      <c r="N555">
        <v>40</v>
      </c>
      <c r="O555">
        <f t="shared" si="74"/>
        <v>40</v>
      </c>
      <c r="P555" t="s">
        <v>30</v>
      </c>
      <c r="Q555">
        <f t="shared" si="75"/>
        <v>60000</v>
      </c>
      <c r="R555" t="str">
        <f t="shared" si="76"/>
        <v>Female</v>
      </c>
      <c r="S555" t="str">
        <f t="shared" si="77"/>
        <v>HR</v>
      </c>
      <c r="T555" t="str">
        <f t="shared" si="78"/>
        <v>Assistant</v>
      </c>
      <c r="U555" s="2">
        <v>43845</v>
      </c>
      <c r="V555" t="s">
        <v>24</v>
      </c>
      <c r="W555" t="s">
        <v>53</v>
      </c>
      <c r="X555" t="str">
        <f t="shared" si="79"/>
        <v>name@company/org</v>
      </c>
      <c r="Y555" t="str">
        <f t="shared" si="80"/>
        <v>name@company.org</v>
      </c>
      <c r="Z555" t="str">
        <f t="shared" si="72"/>
        <v>098-765-4321</v>
      </c>
    </row>
    <row r="556" spans="1:26" x14ac:dyDescent="0.25">
      <c r="A556" t="s">
        <v>40</v>
      </c>
      <c r="B556">
        <v>30</v>
      </c>
      <c r="C556">
        <v>65000</v>
      </c>
      <c r="D556" t="s">
        <v>17</v>
      </c>
      <c r="E556" t="s">
        <v>23</v>
      </c>
      <c r="F556" t="s">
        <v>13</v>
      </c>
      <c r="G556" s="2">
        <v>43845</v>
      </c>
      <c r="H556" t="s">
        <v>14</v>
      </c>
      <c r="J556" t="s">
        <v>39</v>
      </c>
      <c r="M556" t="str">
        <f t="shared" si="73"/>
        <v>Frank</v>
      </c>
      <c r="N556">
        <v>30</v>
      </c>
      <c r="O556">
        <f t="shared" si="74"/>
        <v>30</v>
      </c>
      <c r="P556">
        <v>65000</v>
      </c>
      <c r="Q556">
        <f t="shared" si="75"/>
        <v>65000</v>
      </c>
      <c r="R556" t="str">
        <f t="shared" si="76"/>
        <v>Female</v>
      </c>
      <c r="S556" t="str">
        <f t="shared" si="77"/>
        <v>Sales</v>
      </c>
      <c r="T556" t="str">
        <f t="shared" si="78"/>
        <v>Manager</v>
      </c>
      <c r="U556" s="2">
        <v>43845</v>
      </c>
      <c r="V556" t="s">
        <v>14</v>
      </c>
      <c r="X556" t="str">
        <f t="shared" si="79"/>
        <v>Email not provided</v>
      </c>
      <c r="Y556" t="str">
        <f t="shared" si="80"/>
        <v>Email not provided</v>
      </c>
      <c r="Z556" t="str">
        <f t="shared" si="72"/>
        <v>555-555-5555</v>
      </c>
    </row>
    <row r="557" spans="1:26" x14ac:dyDescent="0.25">
      <c r="A557" t="s">
        <v>16</v>
      </c>
      <c r="B557">
        <v>25</v>
      </c>
      <c r="C557">
        <v>50000</v>
      </c>
      <c r="D557" t="s">
        <v>11</v>
      </c>
      <c r="E557" t="s">
        <v>27</v>
      </c>
      <c r="F557" t="s">
        <v>19</v>
      </c>
      <c r="G557" s="2">
        <v>43845</v>
      </c>
      <c r="H557" t="s">
        <v>14</v>
      </c>
      <c r="I557" t="s">
        <v>53</v>
      </c>
      <c r="J557" t="s">
        <v>21</v>
      </c>
      <c r="M557" t="str">
        <f t="shared" si="73"/>
        <v>David</v>
      </c>
      <c r="N557">
        <v>25</v>
      </c>
      <c r="O557">
        <f t="shared" si="74"/>
        <v>25</v>
      </c>
      <c r="P557">
        <v>50000</v>
      </c>
      <c r="Q557">
        <f t="shared" si="75"/>
        <v>50000</v>
      </c>
      <c r="R557" t="str">
        <f t="shared" si="76"/>
        <v>Male</v>
      </c>
      <c r="S557" t="str">
        <f t="shared" si="77"/>
        <v>IT</v>
      </c>
      <c r="T557" t="str">
        <f t="shared" si="78"/>
        <v>Director</v>
      </c>
      <c r="U557" s="2">
        <v>43845</v>
      </c>
      <c r="V557" t="s">
        <v>14</v>
      </c>
      <c r="W557" t="s">
        <v>53</v>
      </c>
      <c r="X557" t="str">
        <f t="shared" si="79"/>
        <v>name@company/org</v>
      </c>
      <c r="Y557" t="str">
        <f t="shared" si="80"/>
        <v>name@company.org</v>
      </c>
      <c r="Z557" t="str">
        <f t="shared" si="72"/>
        <v>123-456-7890</v>
      </c>
    </row>
    <row r="558" spans="1:26" x14ac:dyDescent="0.25">
      <c r="A558" t="s">
        <v>42</v>
      </c>
      <c r="B558">
        <v>35</v>
      </c>
      <c r="C558">
        <v>50000</v>
      </c>
      <c r="D558" t="s">
        <v>32</v>
      </c>
      <c r="E558" t="s">
        <v>12</v>
      </c>
      <c r="F558" t="s">
        <v>35</v>
      </c>
      <c r="G558" s="2">
        <v>43549</v>
      </c>
      <c r="H558" t="s">
        <v>20</v>
      </c>
      <c r="I558" t="s">
        <v>15</v>
      </c>
      <c r="J558" t="s">
        <v>29</v>
      </c>
      <c r="M558" t="str">
        <f t="shared" si="73"/>
        <v>Alice</v>
      </c>
      <c r="N558">
        <v>35</v>
      </c>
      <c r="O558">
        <f t="shared" si="74"/>
        <v>35</v>
      </c>
      <c r="P558">
        <v>50000</v>
      </c>
      <c r="Q558">
        <f t="shared" si="75"/>
        <v>50000</v>
      </c>
      <c r="R558" t="str">
        <f t="shared" si="76"/>
        <v>Other</v>
      </c>
      <c r="S558" t="str">
        <f t="shared" si="77"/>
        <v>HR</v>
      </c>
      <c r="T558" t="str">
        <f t="shared" si="78"/>
        <v>Clerk</v>
      </c>
      <c r="U558" s="2">
        <v>43549</v>
      </c>
      <c r="V558" t="s">
        <v>20</v>
      </c>
      <c r="W558" t="s">
        <v>15</v>
      </c>
      <c r="X558" t="str">
        <f t="shared" si="79"/>
        <v>Email not provided</v>
      </c>
      <c r="Y558" t="str">
        <f t="shared" si="80"/>
        <v>Email not provided</v>
      </c>
      <c r="Z558" t="str">
        <f t="shared" si="72"/>
        <v>Phone not provided</v>
      </c>
    </row>
    <row r="559" spans="1:26" x14ac:dyDescent="0.25">
      <c r="A559" t="s">
        <v>10</v>
      </c>
      <c r="B559">
        <v>30</v>
      </c>
      <c r="C559">
        <v>50000</v>
      </c>
      <c r="D559" t="s">
        <v>32</v>
      </c>
      <c r="E559" t="s">
        <v>33</v>
      </c>
      <c r="F559" t="s">
        <v>13</v>
      </c>
      <c r="G559" s="2">
        <v>43881</v>
      </c>
      <c r="H559" t="s">
        <v>20</v>
      </c>
      <c r="I559" t="s">
        <v>53</v>
      </c>
      <c r="J559" t="s">
        <v>15</v>
      </c>
      <c r="M559" t="str">
        <f t="shared" si="73"/>
        <v>Grace</v>
      </c>
      <c r="N559">
        <v>30</v>
      </c>
      <c r="O559">
        <f t="shared" si="74"/>
        <v>30</v>
      </c>
      <c r="P559">
        <v>50000</v>
      </c>
      <c r="Q559">
        <f t="shared" si="75"/>
        <v>50000</v>
      </c>
      <c r="R559" t="str">
        <f t="shared" si="76"/>
        <v>Other</v>
      </c>
      <c r="S559" t="str">
        <f t="shared" si="77"/>
        <v>Marketing</v>
      </c>
      <c r="T559" t="str">
        <f t="shared" si="78"/>
        <v>Manager</v>
      </c>
      <c r="U559" s="2">
        <v>43881</v>
      </c>
      <c r="V559" t="s">
        <v>20</v>
      </c>
      <c r="W559" t="s">
        <v>53</v>
      </c>
      <c r="X559" t="str">
        <f t="shared" si="79"/>
        <v>name@company/org</v>
      </c>
      <c r="Y559" t="str">
        <f t="shared" si="80"/>
        <v>name@company.org</v>
      </c>
      <c r="Z559" t="str">
        <f t="shared" si="72"/>
        <v>Phone not provided</v>
      </c>
    </row>
    <row r="560" spans="1:26" x14ac:dyDescent="0.25">
      <c r="A560" t="s">
        <v>43</v>
      </c>
      <c r="B560">
        <v>30</v>
      </c>
      <c r="C560">
        <v>55000</v>
      </c>
      <c r="D560" t="s">
        <v>17</v>
      </c>
      <c r="E560" t="s">
        <v>18</v>
      </c>
      <c r="F560" t="s">
        <v>35</v>
      </c>
      <c r="G560" s="2">
        <v>43881</v>
      </c>
      <c r="H560" t="s">
        <v>36</v>
      </c>
      <c r="J560" t="s">
        <v>25</v>
      </c>
      <c r="M560" t="str">
        <f t="shared" si="73"/>
        <v>Ivy</v>
      </c>
      <c r="N560">
        <v>30</v>
      </c>
      <c r="O560">
        <f t="shared" si="74"/>
        <v>30</v>
      </c>
      <c r="P560">
        <v>55000</v>
      </c>
      <c r="Q560">
        <f t="shared" si="75"/>
        <v>55000</v>
      </c>
      <c r="R560" t="str">
        <f t="shared" si="76"/>
        <v>Female</v>
      </c>
      <c r="S560" t="str">
        <f t="shared" si="77"/>
        <v>Finance</v>
      </c>
      <c r="T560" t="str">
        <f t="shared" si="78"/>
        <v>Clerk</v>
      </c>
      <c r="U560" s="2">
        <v>43881</v>
      </c>
      <c r="V560" t="s">
        <v>36</v>
      </c>
      <c r="X560" t="str">
        <f t="shared" si="79"/>
        <v>Email not provided</v>
      </c>
      <c r="Y560" t="str">
        <f t="shared" si="80"/>
        <v>Email not provided</v>
      </c>
      <c r="Z560" t="str">
        <f t="shared" si="72"/>
        <v>098-765-4321</v>
      </c>
    </row>
    <row r="561" spans="1:26" x14ac:dyDescent="0.25">
      <c r="A561" t="s">
        <v>16</v>
      </c>
      <c r="B561">
        <v>35</v>
      </c>
      <c r="C561">
        <v>55000</v>
      </c>
      <c r="D561" t="s">
        <v>17</v>
      </c>
      <c r="E561" t="s">
        <v>12</v>
      </c>
      <c r="F561" t="s">
        <v>19</v>
      </c>
      <c r="G561" s="2">
        <v>43549</v>
      </c>
      <c r="H561" t="s">
        <v>36</v>
      </c>
      <c r="I561" t="s">
        <v>52</v>
      </c>
      <c r="J561" t="s">
        <v>21</v>
      </c>
      <c r="M561" t="str">
        <f t="shared" si="73"/>
        <v>David</v>
      </c>
      <c r="N561">
        <v>35</v>
      </c>
      <c r="O561">
        <f t="shared" si="74"/>
        <v>35</v>
      </c>
      <c r="P561">
        <v>55000</v>
      </c>
      <c r="Q561">
        <f t="shared" si="75"/>
        <v>55000</v>
      </c>
      <c r="R561" t="str">
        <f t="shared" si="76"/>
        <v>Female</v>
      </c>
      <c r="S561" t="str">
        <f t="shared" si="77"/>
        <v>HR</v>
      </c>
      <c r="T561" t="str">
        <f t="shared" si="78"/>
        <v>Director</v>
      </c>
      <c r="U561" s="2">
        <v>43549</v>
      </c>
      <c r="V561" t="s">
        <v>36</v>
      </c>
      <c r="W561" t="s">
        <v>52</v>
      </c>
      <c r="X561" t="str">
        <f t="shared" si="79"/>
        <v>user@domain/com</v>
      </c>
      <c r="Y561" t="str">
        <f t="shared" si="80"/>
        <v>user@domain.com</v>
      </c>
      <c r="Z561" t="str">
        <f t="shared" si="72"/>
        <v>123-456-7890</v>
      </c>
    </row>
    <row r="562" spans="1:26" x14ac:dyDescent="0.25">
      <c r="A562" t="s">
        <v>16</v>
      </c>
      <c r="B562">
        <v>40</v>
      </c>
      <c r="C562">
        <v>60000</v>
      </c>
      <c r="D562" t="s">
        <v>32</v>
      </c>
      <c r="E562" t="s">
        <v>12</v>
      </c>
      <c r="F562" t="s">
        <v>37</v>
      </c>
      <c r="G562" s="2">
        <v>43845</v>
      </c>
      <c r="H562" t="s">
        <v>14</v>
      </c>
      <c r="I562" t="s">
        <v>52</v>
      </c>
      <c r="J562" t="s">
        <v>39</v>
      </c>
      <c r="M562" t="str">
        <f t="shared" si="73"/>
        <v>David</v>
      </c>
      <c r="N562">
        <v>40</v>
      </c>
      <c r="O562">
        <f t="shared" si="74"/>
        <v>40</v>
      </c>
      <c r="P562">
        <v>60000</v>
      </c>
      <c r="Q562">
        <f t="shared" si="75"/>
        <v>60000</v>
      </c>
      <c r="R562" t="str">
        <f t="shared" si="76"/>
        <v>Other</v>
      </c>
      <c r="S562" t="str">
        <f t="shared" si="77"/>
        <v>HR</v>
      </c>
      <c r="T562" t="str">
        <f t="shared" si="78"/>
        <v>Assistant</v>
      </c>
      <c r="U562" s="2">
        <v>43845</v>
      </c>
      <c r="V562" t="s">
        <v>14</v>
      </c>
      <c r="W562" t="s">
        <v>52</v>
      </c>
      <c r="X562" t="str">
        <f t="shared" si="79"/>
        <v>user@domain/com</v>
      </c>
      <c r="Y562" t="str">
        <f t="shared" si="80"/>
        <v>user@domain.com</v>
      </c>
      <c r="Z562" t="str">
        <f t="shared" si="72"/>
        <v>555-555-5555</v>
      </c>
    </row>
    <row r="563" spans="1:26" x14ac:dyDescent="0.25">
      <c r="A563" t="s">
        <v>40</v>
      </c>
      <c r="B563">
        <v>50</v>
      </c>
      <c r="C563">
        <v>50000</v>
      </c>
      <c r="D563" t="s">
        <v>32</v>
      </c>
      <c r="E563" t="s">
        <v>23</v>
      </c>
      <c r="F563" t="s">
        <v>38</v>
      </c>
      <c r="G563" s="2">
        <v>43845</v>
      </c>
      <c r="H563" t="s">
        <v>28</v>
      </c>
      <c r="I563" t="s">
        <v>53</v>
      </c>
      <c r="J563" t="s">
        <v>15</v>
      </c>
      <c r="M563" t="str">
        <f t="shared" si="73"/>
        <v>Frank</v>
      </c>
      <c r="N563">
        <v>50</v>
      </c>
      <c r="O563">
        <f t="shared" si="74"/>
        <v>50</v>
      </c>
      <c r="P563">
        <v>50000</v>
      </c>
      <c r="Q563">
        <f t="shared" si="75"/>
        <v>50000</v>
      </c>
      <c r="R563" t="str">
        <f t="shared" si="76"/>
        <v>Other</v>
      </c>
      <c r="S563" t="str">
        <f t="shared" si="77"/>
        <v>Sales</v>
      </c>
      <c r="T563" t="str">
        <f t="shared" si="78"/>
        <v>Analyst</v>
      </c>
      <c r="U563" s="2">
        <v>43845</v>
      </c>
      <c r="V563" t="s">
        <v>28</v>
      </c>
      <c r="W563" t="s">
        <v>53</v>
      </c>
      <c r="X563" t="str">
        <f t="shared" si="79"/>
        <v>name@company/org</v>
      </c>
      <c r="Y563" t="str">
        <f t="shared" si="80"/>
        <v>name@company.org</v>
      </c>
      <c r="Z563" t="str">
        <f t="shared" si="72"/>
        <v>Phone not provided</v>
      </c>
    </row>
    <row r="564" spans="1:26" x14ac:dyDescent="0.25">
      <c r="A564" t="s">
        <v>34</v>
      </c>
      <c r="B564">
        <v>30</v>
      </c>
      <c r="C564">
        <v>65000</v>
      </c>
      <c r="D564" t="s">
        <v>17</v>
      </c>
      <c r="E564" t="s">
        <v>23</v>
      </c>
      <c r="F564" t="s">
        <v>38</v>
      </c>
      <c r="G564" s="2">
        <v>43800</v>
      </c>
      <c r="H564" t="s">
        <v>24</v>
      </c>
      <c r="I564" t="s">
        <v>51</v>
      </c>
      <c r="J564" t="s">
        <v>15</v>
      </c>
      <c r="M564" t="str">
        <f t="shared" si="73"/>
        <v>Charlie</v>
      </c>
      <c r="N564">
        <v>30</v>
      </c>
      <c r="O564">
        <f t="shared" si="74"/>
        <v>30</v>
      </c>
      <c r="P564">
        <v>65000</v>
      </c>
      <c r="Q564">
        <f t="shared" si="75"/>
        <v>65000</v>
      </c>
      <c r="R564" t="str">
        <f t="shared" si="76"/>
        <v>Female</v>
      </c>
      <c r="S564" t="str">
        <f t="shared" si="77"/>
        <v>Sales</v>
      </c>
      <c r="T564" t="str">
        <f t="shared" si="78"/>
        <v>Analyst</v>
      </c>
      <c r="U564" s="2">
        <v>43800</v>
      </c>
      <c r="V564" t="s">
        <v>24</v>
      </c>
      <c r="W564" t="s">
        <v>51</v>
      </c>
      <c r="X564" t="str">
        <f t="shared" si="79"/>
        <v>email@example/com</v>
      </c>
      <c r="Y564" t="str">
        <f t="shared" si="80"/>
        <v>email@example.com</v>
      </c>
      <c r="Z564" t="str">
        <f t="shared" si="72"/>
        <v>Phone not provided</v>
      </c>
    </row>
    <row r="565" spans="1:26" x14ac:dyDescent="0.25">
      <c r="A565" t="s">
        <v>40</v>
      </c>
      <c r="B565" t="s">
        <v>15</v>
      </c>
      <c r="C565" t="s">
        <v>30</v>
      </c>
      <c r="D565" t="s">
        <v>17</v>
      </c>
      <c r="E565" t="s">
        <v>23</v>
      </c>
      <c r="F565" t="s">
        <v>37</v>
      </c>
      <c r="G565" s="1">
        <v>43195</v>
      </c>
      <c r="H565" t="s">
        <v>36</v>
      </c>
      <c r="I565" t="s">
        <v>53</v>
      </c>
      <c r="J565" t="s">
        <v>21</v>
      </c>
      <c r="M565" t="str">
        <f t="shared" si="73"/>
        <v>Frank</v>
      </c>
      <c r="N565" t="s">
        <v>15</v>
      </c>
      <c r="O565">
        <f t="shared" si="74"/>
        <v>35</v>
      </c>
      <c r="P565" t="s">
        <v>30</v>
      </c>
      <c r="Q565">
        <f t="shared" si="75"/>
        <v>60000</v>
      </c>
      <c r="R565" t="str">
        <f t="shared" si="76"/>
        <v>Female</v>
      </c>
      <c r="S565" t="str">
        <f t="shared" si="77"/>
        <v>Sales</v>
      </c>
      <c r="T565" t="str">
        <f t="shared" si="78"/>
        <v>Assistant</v>
      </c>
      <c r="U565" s="2">
        <v>43195</v>
      </c>
      <c r="V565" t="s">
        <v>36</v>
      </c>
      <c r="W565" t="s">
        <v>53</v>
      </c>
      <c r="X565" t="str">
        <f t="shared" si="79"/>
        <v>name@company/org</v>
      </c>
      <c r="Y565" t="str">
        <f t="shared" si="80"/>
        <v>name@company.org</v>
      </c>
      <c r="Z565" t="str">
        <f t="shared" si="72"/>
        <v>123-456-7890</v>
      </c>
    </row>
    <row r="566" spans="1:26" x14ac:dyDescent="0.25">
      <c r="A566" t="s">
        <v>10</v>
      </c>
      <c r="B566">
        <v>30</v>
      </c>
      <c r="C566">
        <v>65000</v>
      </c>
      <c r="D566" t="s">
        <v>32</v>
      </c>
      <c r="E566" t="s">
        <v>33</v>
      </c>
      <c r="F566" t="s">
        <v>13</v>
      </c>
      <c r="G566" s="2">
        <v>43881</v>
      </c>
      <c r="H566" t="s">
        <v>36</v>
      </c>
      <c r="I566" t="s">
        <v>15</v>
      </c>
      <c r="J566" t="s">
        <v>39</v>
      </c>
      <c r="M566" t="str">
        <f t="shared" si="73"/>
        <v>Grace</v>
      </c>
      <c r="N566">
        <v>30</v>
      </c>
      <c r="O566">
        <f t="shared" si="74"/>
        <v>30</v>
      </c>
      <c r="P566">
        <v>65000</v>
      </c>
      <c r="Q566">
        <f t="shared" si="75"/>
        <v>65000</v>
      </c>
      <c r="R566" t="str">
        <f t="shared" si="76"/>
        <v>Other</v>
      </c>
      <c r="S566" t="str">
        <f t="shared" si="77"/>
        <v>Marketing</v>
      </c>
      <c r="T566" t="str">
        <f t="shared" si="78"/>
        <v>Manager</v>
      </c>
      <c r="U566" s="2">
        <v>43881</v>
      </c>
      <c r="V566" t="s">
        <v>36</v>
      </c>
      <c r="W566" t="s">
        <v>15</v>
      </c>
      <c r="X566" t="str">
        <f t="shared" si="79"/>
        <v>Email not provided</v>
      </c>
      <c r="Y566" t="str">
        <f t="shared" si="80"/>
        <v>Email not provided</v>
      </c>
      <c r="Z566" t="str">
        <f t="shared" si="72"/>
        <v>555-555-5555</v>
      </c>
    </row>
    <row r="567" spans="1:26" x14ac:dyDescent="0.25">
      <c r="A567" t="s">
        <v>31</v>
      </c>
      <c r="B567">
        <v>50</v>
      </c>
      <c r="C567" t="s">
        <v>30</v>
      </c>
      <c r="D567" t="s">
        <v>11</v>
      </c>
      <c r="E567" t="s">
        <v>23</v>
      </c>
      <c r="F567" t="s">
        <v>13</v>
      </c>
      <c r="G567" s="2">
        <v>43881</v>
      </c>
      <c r="H567" t="s">
        <v>28</v>
      </c>
      <c r="I567" t="s">
        <v>52</v>
      </c>
      <c r="J567" t="s">
        <v>25</v>
      </c>
      <c r="M567" t="str">
        <f t="shared" si="73"/>
        <v>Jack</v>
      </c>
      <c r="N567">
        <v>50</v>
      </c>
      <c r="O567">
        <f t="shared" si="74"/>
        <v>50</v>
      </c>
      <c r="P567" t="s">
        <v>30</v>
      </c>
      <c r="Q567">
        <f t="shared" si="75"/>
        <v>60000</v>
      </c>
      <c r="R567" t="str">
        <f t="shared" si="76"/>
        <v>Male</v>
      </c>
      <c r="S567" t="str">
        <f t="shared" si="77"/>
        <v>Sales</v>
      </c>
      <c r="T567" t="str">
        <f t="shared" si="78"/>
        <v>Manager</v>
      </c>
      <c r="U567" s="2">
        <v>43881</v>
      </c>
      <c r="V567" t="s">
        <v>28</v>
      </c>
      <c r="W567" t="s">
        <v>52</v>
      </c>
      <c r="X567" t="str">
        <f t="shared" si="79"/>
        <v>user@domain/com</v>
      </c>
      <c r="Y567" t="str">
        <f t="shared" si="80"/>
        <v>user@domain.com</v>
      </c>
      <c r="Z567" t="str">
        <f t="shared" si="72"/>
        <v>098-765-4321</v>
      </c>
    </row>
    <row r="568" spans="1:26" x14ac:dyDescent="0.25">
      <c r="A568" t="s">
        <v>31</v>
      </c>
      <c r="B568">
        <v>40</v>
      </c>
      <c r="C568">
        <v>50000</v>
      </c>
      <c r="D568" t="s">
        <v>17</v>
      </c>
      <c r="E568" t="s">
        <v>12</v>
      </c>
      <c r="F568" t="s">
        <v>35</v>
      </c>
      <c r="G568" s="2">
        <v>43881</v>
      </c>
      <c r="H568" t="s">
        <v>28</v>
      </c>
      <c r="I568" t="s">
        <v>52</v>
      </c>
      <c r="J568" t="s">
        <v>21</v>
      </c>
      <c r="M568" t="str">
        <f t="shared" si="73"/>
        <v>Jack</v>
      </c>
      <c r="N568">
        <v>40</v>
      </c>
      <c r="O568">
        <f t="shared" si="74"/>
        <v>40</v>
      </c>
      <c r="P568">
        <v>50000</v>
      </c>
      <c r="Q568">
        <f t="shared" si="75"/>
        <v>50000</v>
      </c>
      <c r="R568" t="str">
        <f t="shared" si="76"/>
        <v>Female</v>
      </c>
      <c r="S568" t="str">
        <f t="shared" si="77"/>
        <v>HR</v>
      </c>
      <c r="T568" t="str">
        <f t="shared" si="78"/>
        <v>Clerk</v>
      </c>
      <c r="U568" s="2">
        <v>43881</v>
      </c>
      <c r="V568" t="s">
        <v>28</v>
      </c>
      <c r="W568" t="s">
        <v>52</v>
      </c>
      <c r="X568" t="str">
        <f t="shared" si="79"/>
        <v>user@domain/com</v>
      </c>
      <c r="Y568" t="str">
        <f t="shared" si="80"/>
        <v>user@domain.com</v>
      </c>
      <c r="Z568" t="str">
        <f t="shared" si="72"/>
        <v>123-456-7890</v>
      </c>
    </row>
    <row r="569" spans="1:26" x14ac:dyDescent="0.25">
      <c r="A569" t="s">
        <v>34</v>
      </c>
      <c r="B569">
        <v>40</v>
      </c>
      <c r="C569">
        <v>50000</v>
      </c>
      <c r="D569" t="s">
        <v>32</v>
      </c>
      <c r="E569" t="s">
        <v>23</v>
      </c>
      <c r="F569" t="s">
        <v>37</v>
      </c>
      <c r="G569" s="1">
        <v>43195</v>
      </c>
      <c r="H569" t="s">
        <v>20</v>
      </c>
      <c r="I569" t="s">
        <v>52</v>
      </c>
      <c r="J569" t="s">
        <v>25</v>
      </c>
      <c r="M569" t="str">
        <f t="shared" si="73"/>
        <v>Charlie</v>
      </c>
      <c r="N569">
        <v>40</v>
      </c>
      <c r="O569">
        <f t="shared" si="74"/>
        <v>40</v>
      </c>
      <c r="P569">
        <v>50000</v>
      </c>
      <c r="Q569">
        <f t="shared" si="75"/>
        <v>50000</v>
      </c>
      <c r="R569" t="str">
        <f t="shared" si="76"/>
        <v>Other</v>
      </c>
      <c r="S569" t="str">
        <f t="shared" si="77"/>
        <v>Sales</v>
      </c>
      <c r="T569" t="str">
        <f t="shared" si="78"/>
        <v>Assistant</v>
      </c>
      <c r="U569" s="2">
        <v>43195</v>
      </c>
      <c r="V569" t="s">
        <v>20</v>
      </c>
      <c r="W569" t="s">
        <v>52</v>
      </c>
      <c r="X569" t="str">
        <f t="shared" si="79"/>
        <v>user@domain/com</v>
      </c>
      <c r="Y569" t="str">
        <f t="shared" si="80"/>
        <v>user@domain.com</v>
      </c>
      <c r="Z569" t="str">
        <f t="shared" si="72"/>
        <v>098-765-4321</v>
      </c>
    </row>
    <row r="570" spans="1:26" x14ac:dyDescent="0.25">
      <c r="A570" t="s">
        <v>10</v>
      </c>
      <c r="B570" t="s">
        <v>15</v>
      </c>
      <c r="C570">
        <v>50000</v>
      </c>
      <c r="D570" t="s">
        <v>32</v>
      </c>
      <c r="E570" t="s">
        <v>27</v>
      </c>
      <c r="F570" t="s">
        <v>13</v>
      </c>
      <c r="G570" s="2">
        <v>43800</v>
      </c>
      <c r="H570" t="s">
        <v>24</v>
      </c>
      <c r="I570" t="s">
        <v>51</v>
      </c>
      <c r="J570" t="s">
        <v>15</v>
      </c>
      <c r="M570" t="str">
        <f t="shared" si="73"/>
        <v>Grace</v>
      </c>
      <c r="N570" t="s">
        <v>15</v>
      </c>
      <c r="O570">
        <f t="shared" si="74"/>
        <v>35</v>
      </c>
      <c r="P570">
        <v>50000</v>
      </c>
      <c r="Q570">
        <f t="shared" si="75"/>
        <v>50000</v>
      </c>
      <c r="R570" t="str">
        <f t="shared" si="76"/>
        <v>Other</v>
      </c>
      <c r="S570" t="str">
        <f t="shared" si="77"/>
        <v>IT</v>
      </c>
      <c r="T570" t="str">
        <f t="shared" si="78"/>
        <v>Manager</v>
      </c>
      <c r="U570" s="2">
        <v>43800</v>
      </c>
      <c r="V570" t="s">
        <v>24</v>
      </c>
      <c r="W570" t="s">
        <v>51</v>
      </c>
      <c r="X570" t="str">
        <f t="shared" si="79"/>
        <v>email@example/com</v>
      </c>
      <c r="Y570" t="str">
        <f t="shared" si="80"/>
        <v>email@example.com</v>
      </c>
      <c r="Z570" t="str">
        <f t="shared" si="72"/>
        <v>Phone not provided</v>
      </c>
    </row>
    <row r="571" spans="1:26" x14ac:dyDescent="0.25">
      <c r="A571" t="s">
        <v>34</v>
      </c>
      <c r="B571">
        <v>30</v>
      </c>
      <c r="C571">
        <v>55000</v>
      </c>
      <c r="D571" t="s">
        <v>32</v>
      </c>
      <c r="E571" t="s">
        <v>23</v>
      </c>
      <c r="F571" t="s">
        <v>37</v>
      </c>
      <c r="G571" s="1">
        <v>43195</v>
      </c>
      <c r="H571" t="s">
        <v>28</v>
      </c>
      <c r="I571" t="s">
        <v>51</v>
      </c>
      <c r="J571" t="s">
        <v>25</v>
      </c>
      <c r="M571" t="str">
        <f t="shared" si="73"/>
        <v>Charlie</v>
      </c>
      <c r="N571">
        <v>30</v>
      </c>
      <c r="O571">
        <f t="shared" si="74"/>
        <v>30</v>
      </c>
      <c r="P571">
        <v>55000</v>
      </c>
      <c r="Q571">
        <f t="shared" si="75"/>
        <v>55000</v>
      </c>
      <c r="R571" t="str">
        <f t="shared" si="76"/>
        <v>Other</v>
      </c>
      <c r="S571" t="str">
        <f t="shared" si="77"/>
        <v>Sales</v>
      </c>
      <c r="T571" t="str">
        <f t="shared" si="78"/>
        <v>Assistant</v>
      </c>
      <c r="U571" s="2">
        <v>43195</v>
      </c>
      <c r="V571" t="s">
        <v>28</v>
      </c>
      <c r="W571" t="s">
        <v>51</v>
      </c>
      <c r="X571" t="str">
        <f t="shared" si="79"/>
        <v>email@example/com</v>
      </c>
      <c r="Y571" t="str">
        <f t="shared" si="80"/>
        <v>email@example.com</v>
      </c>
      <c r="Z571" t="str">
        <f t="shared" si="72"/>
        <v>098-765-4321</v>
      </c>
    </row>
    <row r="572" spans="1:26" x14ac:dyDescent="0.25">
      <c r="A572" t="s">
        <v>41</v>
      </c>
      <c r="B572">
        <v>40</v>
      </c>
      <c r="C572" t="s">
        <v>30</v>
      </c>
      <c r="D572" t="s">
        <v>32</v>
      </c>
      <c r="E572" t="s">
        <v>33</v>
      </c>
      <c r="F572" t="s">
        <v>19</v>
      </c>
      <c r="G572" s="2">
        <v>43845</v>
      </c>
      <c r="H572" t="s">
        <v>36</v>
      </c>
      <c r="J572" t="s">
        <v>39</v>
      </c>
      <c r="M572" t="str">
        <f t="shared" si="73"/>
        <v>Bob</v>
      </c>
      <c r="N572">
        <v>40</v>
      </c>
      <c r="O572">
        <f t="shared" si="74"/>
        <v>40</v>
      </c>
      <c r="P572" t="s">
        <v>30</v>
      </c>
      <c r="Q572">
        <f t="shared" si="75"/>
        <v>60000</v>
      </c>
      <c r="R572" t="str">
        <f t="shared" si="76"/>
        <v>Other</v>
      </c>
      <c r="S572" t="str">
        <f t="shared" si="77"/>
        <v>Marketing</v>
      </c>
      <c r="T572" t="str">
        <f t="shared" si="78"/>
        <v>Director</v>
      </c>
      <c r="U572" s="2">
        <v>43845</v>
      </c>
      <c r="V572" t="s">
        <v>36</v>
      </c>
      <c r="X572" t="str">
        <f t="shared" si="79"/>
        <v>Email not provided</v>
      </c>
      <c r="Y572" t="str">
        <f t="shared" si="80"/>
        <v>Email not provided</v>
      </c>
      <c r="Z572" t="str">
        <f t="shared" si="72"/>
        <v>555-555-5555</v>
      </c>
    </row>
    <row r="573" spans="1:26" x14ac:dyDescent="0.25">
      <c r="A573" t="s">
        <v>31</v>
      </c>
      <c r="B573">
        <v>50</v>
      </c>
      <c r="C573">
        <v>55000</v>
      </c>
      <c r="D573" t="s">
        <v>11</v>
      </c>
      <c r="E573" t="s">
        <v>27</v>
      </c>
      <c r="F573" t="s">
        <v>38</v>
      </c>
      <c r="G573" s="2">
        <v>43845</v>
      </c>
      <c r="H573" t="s">
        <v>36</v>
      </c>
      <c r="I573" t="s">
        <v>53</v>
      </c>
      <c r="J573" t="s">
        <v>29</v>
      </c>
      <c r="M573" t="str">
        <f t="shared" si="73"/>
        <v>Jack</v>
      </c>
      <c r="N573">
        <v>50</v>
      </c>
      <c r="O573">
        <f t="shared" si="74"/>
        <v>50</v>
      </c>
      <c r="P573">
        <v>55000</v>
      </c>
      <c r="Q573">
        <f t="shared" si="75"/>
        <v>55000</v>
      </c>
      <c r="R573" t="str">
        <f t="shared" si="76"/>
        <v>Male</v>
      </c>
      <c r="S573" t="str">
        <f t="shared" si="77"/>
        <v>IT</v>
      </c>
      <c r="T573" t="str">
        <f t="shared" si="78"/>
        <v>Analyst</v>
      </c>
      <c r="U573" s="2">
        <v>43845</v>
      </c>
      <c r="V573" t="s">
        <v>36</v>
      </c>
      <c r="W573" t="s">
        <v>53</v>
      </c>
      <c r="X573" t="str">
        <f t="shared" si="79"/>
        <v>name@company/org</v>
      </c>
      <c r="Y573" t="str">
        <f t="shared" si="80"/>
        <v>name@company.org</v>
      </c>
      <c r="Z573" t="str">
        <f t="shared" si="72"/>
        <v>Phone not provided</v>
      </c>
    </row>
    <row r="574" spans="1:26" x14ac:dyDescent="0.25">
      <c r="A574" t="s">
        <v>16</v>
      </c>
      <c r="B574">
        <v>35</v>
      </c>
      <c r="C574">
        <v>55000</v>
      </c>
      <c r="D574" t="s">
        <v>32</v>
      </c>
      <c r="E574" t="s">
        <v>12</v>
      </c>
      <c r="F574" t="s">
        <v>38</v>
      </c>
      <c r="G574" s="2">
        <v>43881</v>
      </c>
      <c r="H574" t="s">
        <v>14</v>
      </c>
      <c r="I574" t="s">
        <v>53</v>
      </c>
      <c r="J574" t="s">
        <v>39</v>
      </c>
      <c r="M574" t="str">
        <f t="shared" si="73"/>
        <v>David</v>
      </c>
      <c r="N574">
        <v>35</v>
      </c>
      <c r="O574">
        <f t="shared" si="74"/>
        <v>35</v>
      </c>
      <c r="P574">
        <v>55000</v>
      </c>
      <c r="Q574">
        <f t="shared" si="75"/>
        <v>55000</v>
      </c>
      <c r="R574" t="str">
        <f t="shared" si="76"/>
        <v>Other</v>
      </c>
      <c r="S574" t="str">
        <f t="shared" si="77"/>
        <v>HR</v>
      </c>
      <c r="T574" t="str">
        <f t="shared" si="78"/>
        <v>Analyst</v>
      </c>
      <c r="U574" s="2">
        <v>43881</v>
      </c>
      <c r="V574" t="s">
        <v>14</v>
      </c>
      <c r="W574" t="s">
        <v>53</v>
      </c>
      <c r="X574" t="str">
        <f t="shared" si="79"/>
        <v>name@company/org</v>
      </c>
      <c r="Y574" t="str">
        <f t="shared" si="80"/>
        <v>name@company.org</v>
      </c>
      <c r="Z574" t="str">
        <f t="shared" si="72"/>
        <v>555-555-5555</v>
      </c>
    </row>
    <row r="575" spans="1:26" x14ac:dyDescent="0.25">
      <c r="A575" t="s">
        <v>22</v>
      </c>
      <c r="B575">
        <v>25</v>
      </c>
      <c r="C575">
        <v>70000</v>
      </c>
      <c r="D575" t="s">
        <v>17</v>
      </c>
      <c r="E575" t="s">
        <v>12</v>
      </c>
      <c r="F575" t="s">
        <v>38</v>
      </c>
      <c r="G575" s="2">
        <v>43549</v>
      </c>
      <c r="H575" t="s">
        <v>28</v>
      </c>
      <c r="I575" t="s">
        <v>15</v>
      </c>
      <c r="J575" t="s">
        <v>25</v>
      </c>
      <c r="M575" t="str">
        <f t="shared" si="73"/>
        <v>Hannah</v>
      </c>
      <c r="N575">
        <v>25</v>
      </c>
      <c r="O575">
        <f t="shared" si="74"/>
        <v>25</v>
      </c>
      <c r="P575">
        <v>70000</v>
      </c>
      <c r="Q575">
        <f t="shared" si="75"/>
        <v>70000</v>
      </c>
      <c r="R575" t="str">
        <f t="shared" si="76"/>
        <v>Female</v>
      </c>
      <c r="S575" t="str">
        <f t="shared" si="77"/>
        <v>HR</v>
      </c>
      <c r="T575" t="str">
        <f t="shared" si="78"/>
        <v>Analyst</v>
      </c>
      <c r="U575" s="2">
        <v>43549</v>
      </c>
      <c r="V575" t="s">
        <v>28</v>
      </c>
      <c r="W575" t="s">
        <v>15</v>
      </c>
      <c r="X575" t="str">
        <f t="shared" si="79"/>
        <v>Email not provided</v>
      </c>
      <c r="Y575" t="str">
        <f t="shared" si="80"/>
        <v>Email not provided</v>
      </c>
      <c r="Z575" t="str">
        <f t="shared" si="72"/>
        <v>098-765-4321</v>
      </c>
    </row>
    <row r="576" spans="1:26" x14ac:dyDescent="0.25">
      <c r="A576" t="s">
        <v>43</v>
      </c>
      <c r="B576">
        <v>25</v>
      </c>
      <c r="C576">
        <v>65000</v>
      </c>
      <c r="D576" t="s">
        <v>11</v>
      </c>
      <c r="E576" t="s">
        <v>18</v>
      </c>
      <c r="F576" t="s">
        <v>37</v>
      </c>
      <c r="G576" s="2">
        <v>43881</v>
      </c>
      <c r="H576" t="s">
        <v>20</v>
      </c>
      <c r="I576" t="s">
        <v>52</v>
      </c>
      <c r="J576" t="s">
        <v>21</v>
      </c>
      <c r="M576" t="str">
        <f t="shared" si="73"/>
        <v>Ivy</v>
      </c>
      <c r="N576">
        <v>25</v>
      </c>
      <c r="O576">
        <f t="shared" si="74"/>
        <v>25</v>
      </c>
      <c r="P576">
        <v>65000</v>
      </c>
      <c r="Q576">
        <f t="shared" si="75"/>
        <v>65000</v>
      </c>
      <c r="R576" t="str">
        <f t="shared" si="76"/>
        <v>Male</v>
      </c>
      <c r="S576" t="str">
        <f t="shared" si="77"/>
        <v>Finance</v>
      </c>
      <c r="T576" t="str">
        <f t="shared" si="78"/>
        <v>Assistant</v>
      </c>
      <c r="U576" s="2">
        <v>43881</v>
      </c>
      <c r="V576" t="s">
        <v>20</v>
      </c>
      <c r="W576" t="s">
        <v>52</v>
      </c>
      <c r="X576" t="str">
        <f t="shared" si="79"/>
        <v>user@domain/com</v>
      </c>
      <c r="Y576" t="str">
        <f t="shared" si="80"/>
        <v>user@domain.com</v>
      </c>
      <c r="Z576" t="str">
        <f t="shared" si="72"/>
        <v>123-456-7890</v>
      </c>
    </row>
    <row r="577" spans="1:26" x14ac:dyDescent="0.25">
      <c r="A577" t="s">
        <v>10</v>
      </c>
      <c r="B577">
        <v>25</v>
      </c>
      <c r="C577">
        <v>65000</v>
      </c>
      <c r="D577" t="s">
        <v>32</v>
      </c>
      <c r="E577" t="s">
        <v>27</v>
      </c>
      <c r="F577" t="s">
        <v>37</v>
      </c>
      <c r="G577" s="2">
        <v>43549</v>
      </c>
      <c r="H577" t="s">
        <v>24</v>
      </c>
      <c r="I577" t="s">
        <v>51</v>
      </c>
      <c r="J577" t="s">
        <v>15</v>
      </c>
      <c r="M577" t="str">
        <f t="shared" si="73"/>
        <v>Grace</v>
      </c>
      <c r="N577">
        <v>25</v>
      </c>
      <c r="O577">
        <f t="shared" si="74"/>
        <v>25</v>
      </c>
      <c r="P577">
        <v>65000</v>
      </c>
      <c r="Q577">
        <f t="shared" si="75"/>
        <v>65000</v>
      </c>
      <c r="R577" t="str">
        <f t="shared" si="76"/>
        <v>Other</v>
      </c>
      <c r="S577" t="str">
        <f t="shared" si="77"/>
        <v>IT</v>
      </c>
      <c r="T577" t="str">
        <f t="shared" si="78"/>
        <v>Assistant</v>
      </c>
      <c r="U577" s="2">
        <v>43549</v>
      </c>
      <c r="V577" t="s">
        <v>24</v>
      </c>
      <c r="W577" t="s">
        <v>51</v>
      </c>
      <c r="X577" t="str">
        <f t="shared" si="79"/>
        <v>email@example/com</v>
      </c>
      <c r="Y577" t="str">
        <f t="shared" si="80"/>
        <v>email@example.com</v>
      </c>
      <c r="Z577" t="str">
        <f t="shared" si="72"/>
        <v>Phone not provided</v>
      </c>
    </row>
    <row r="578" spans="1:26" x14ac:dyDescent="0.25">
      <c r="A578" t="s">
        <v>42</v>
      </c>
      <c r="B578">
        <v>30</v>
      </c>
      <c r="C578">
        <v>60000</v>
      </c>
      <c r="D578" t="s">
        <v>11</v>
      </c>
      <c r="E578" t="s">
        <v>18</v>
      </c>
      <c r="F578" t="s">
        <v>35</v>
      </c>
      <c r="G578" s="1">
        <v>43195</v>
      </c>
      <c r="H578" t="s">
        <v>20</v>
      </c>
      <c r="I578" t="s">
        <v>15</v>
      </c>
      <c r="J578" t="s">
        <v>29</v>
      </c>
      <c r="M578" t="str">
        <f t="shared" si="73"/>
        <v>Alice</v>
      </c>
      <c r="N578">
        <v>30</v>
      </c>
      <c r="O578">
        <f t="shared" si="74"/>
        <v>30</v>
      </c>
      <c r="P578">
        <v>60000</v>
      </c>
      <c r="Q578">
        <f t="shared" si="75"/>
        <v>60000</v>
      </c>
      <c r="R578" t="str">
        <f t="shared" si="76"/>
        <v>Male</v>
      </c>
      <c r="S578" t="str">
        <f t="shared" si="77"/>
        <v>Finance</v>
      </c>
      <c r="T578" t="str">
        <f t="shared" si="78"/>
        <v>Clerk</v>
      </c>
      <c r="U578" s="2">
        <v>43195</v>
      </c>
      <c r="V578" t="s">
        <v>20</v>
      </c>
      <c r="W578" t="s">
        <v>15</v>
      </c>
      <c r="X578" t="str">
        <f t="shared" si="79"/>
        <v>Email not provided</v>
      </c>
      <c r="Y578" t="str">
        <f t="shared" si="80"/>
        <v>Email not provided</v>
      </c>
      <c r="Z578" t="str">
        <f t="shared" ref="Z578:Z641" si="81">IF(OR(TRIM(J578)="", LOWER(J578)="nan"), "Phone not provided", TRIM(J578))</f>
        <v>Phone not provided</v>
      </c>
    </row>
    <row r="579" spans="1:26" x14ac:dyDescent="0.25">
      <c r="A579" t="s">
        <v>34</v>
      </c>
      <c r="B579" t="s">
        <v>15</v>
      </c>
      <c r="C579">
        <v>55000</v>
      </c>
      <c r="D579" t="s">
        <v>17</v>
      </c>
      <c r="E579" t="s">
        <v>27</v>
      </c>
      <c r="F579" t="s">
        <v>38</v>
      </c>
      <c r="G579" s="2">
        <v>43845</v>
      </c>
      <c r="H579" t="s">
        <v>36</v>
      </c>
      <c r="I579" t="s">
        <v>15</v>
      </c>
      <c r="J579" t="s">
        <v>21</v>
      </c>
      <c r="M579" t="str">
        <f t="shared" ref="M579:M642" si="82">PROPER(TRIM(CLEAN(A579:A1578)))</f>
        <v>Charlie</v>
      </c>
      <c r="N579" t="s">
        <v>15</v>
      </c>
      <c r="O579">
        <f t="shared" ref="O579:O642" si="83">IF(ISNUMBER(N579),N579,MEDIAN($N$2:$N$1001))</f>
        <v>35</v>
      </c>
      <c r="P579">
        <v>55000</v>
      </c>
      <c r="Q579">
        <f t="shared" ref="Q579:Q642" si="84">IF(ISNUMBER(P579),P579,MEDIAN(P579:P1578))</f>
        <v>55000</v>
      </c>
      <c r="R579" t="str">
        <f t="shared" ref="R579:R642" si="85">PROPER(TRIM(CLEAN(D579:D1578)))</f>
        <v>Female</v>
      </c>
      <c r="S579" t="str">
        <f t="shared" ref="S579:S642" si="86">TRIM(CLEAN(E579:E1578))</f>
        <v>IT</v>
      </c>
      <c r="T579" t="str">
        <f t="shared" ref="T579:T642" si="87">TRIM(CLEAN(F579:F1578))</f>
        <v>Analyst</v>
      </c>
      <c r="U579" s="2">
        <v>43845</v>
      </c>
      <c r="V579" t="s">
        <v>36</v>
      </c>
      <c r="W579" t="s">
        <v>15</v>
      </c>
      <c r="X579" t="str">
        <f t="shared" ref="X579:X642" si="88">IF(
   OR(TRIM(W579)="",LOWER(W579)="nan"),
   "Email not provided",
   W579
)</f>
        <v>Email not provided</v>
      </c>
      <c r="Y579" t="str">
        <f t="shared" ref="Y579:Y642" si="89">SUBSTITUTE(X579,"/",".")</f>
        <v>Email not provided</v>
      </c>
      <c r="Z579" t="str">
        <f t="shared" si="81"/>
        <v>123-456-7890</v>
      </c>
    </row>
    <row r="580" spans="1:26" x14ac:dyDescent="0.25">
      <c r="A580" t="s">
        <v>43</v>
      </c>
      <c r="B580">
        <v>40</v>
      </c>
      <c r="C580" t="s">
        <v>30</v>
      </c>
      <c r="D580" t="s">
        <v>32</v>
      </c>
      <c r="E580" t="s">
        <v>27</v>
      </c>
      <c r="F580" t="s">
        <v>35</v>
      </c>
      <c r="G580" s="2">
        <v>43549</v>
      </c>
      <c r="H580" t="s">
        <v>20</v>
      </c>
      <c r="I580" t="s">
        <v>51</v>
      </c>
      <c r="J580" t="s">
        <v>21</v>
      </c>
      <c r="M580" t="str">
        <f t="shared" si="82"/>
        <v>Ivy</v>
      </c>
      <c r="N580">
        <v>40</v>
      </c>
      <c r="O580">
        <f t="shared" si="83"/>
        <v>40</v>
      </c>
      <c r="P580" t="s">
        <v>30</v>
      </c>
      <c r="Q580">
        <f t="shared" si="84"/>
        <v>60000</v>
      </c>
      <c r="R580" t="str">
        <f t="shared" si="85"/>
        <v>Other</v>
      </c>
      <c r="S580" t="str">
        <f t="shared" si="86"/>
        <v>IT</v>
      </c>
      <c r="T580" t="str">
        <f t="shared" si="87"/>
        <v>Clerk</v>
      </c>
      <c r="U580" s="2">
        <v>43549</v>
      </c>
      <c r="V580" t="s">
        <v>20</v>
      </c>
      <c r="W580" t="s">
        <v>51</v>
      </c>
      <c r="X580" t="str">
        <f t="shared" si="88"/>
        <v>email@example/com</v>
      </c>
      <c r="Y580" t="str">
        <f t="shared" si="89"/>
        <v>email@example.com</v>
      </c>
      <c r="Z580" t="str">
        <f t="shared" si="81"/>
        <v>123-456-7890</v>
      </c>
    </row>
    <row r="581" spans="1:26" x14ac:dyDescent="0.25">
      <c r="A581" t="s">
        <v>42</v>
      </c>
      <c r="B581">
        <v>35</v>
      </c>
      <c r="C581">
        <v>70000</v>
      </c>
      <c r="D581" t="s">
        <v>17</v>
      </c>
      <c r="E581" t="s">
        <v>33</v>
      </c>
      <c r="F581" t="s">
        <v>38</v>
      </c>
      <c r="G581" s="1">
        <v>43195</v>
      </c>
      <c r="H581" t="s">
        <v>36</v>
      </c>
      <c r="I581" t="s">
        <v>53</v>
      </c>
      <c r="J581" t="s">
        <v>39</v>
      </c>
      <c r="M581" t="str">
        <f t="shared" si="82"/>
        <v>Alice</v>
      </c>
      <c r="N581">
        <v>35</v>
      </c>
      <c r="O581">
        <f t="shared" si="83"/>
        <v>35</v>
      </c>
      <c r="P581">
        <v>70000</v>
      </c>
      <c r="Q581">
        <f t="shared" si="84"/>
        <v>70000</v>
      </c>
      <c r="R581" t="str">
        <f t="shared" si="85"/>
        <v>Female</v>
      </c>
      <c r="S581" t="str">
        <f t="shared" si="86"/>
        <v>Marketing</v>
      </c>
      <c r="T581" t="str">
        <f t="shared" si="87"/>
        <v>Analyst</v>
      </c>
      <c r="U581" s="2">
        <v>43195</v>
      </c>
      <c r="V581" t="s">
        <v>36</v>
      </c>
      <c r="W581" t="s">
        <v>53</v>
      </c>
      <c r="X581" t="str">
        <f t="shared" si="88"/>
        <v>name@company/org</v>
      </c>
      <c r="Y581" t="str">
        <f t="shared" si="89"/>
        <v>name@company.org</v>
      </c>
      <c r="Z581" t="str">
        <f t="shared" si="81"/>
        <v>555-555-5555</v>
      </c>
    </row>
    <row r="582" spans="1:26" x14ac:dyDescent="0.25">
      <c r="A582" t="s">
        <v>43</v>
      </c>
      <c r="B582">
        <v>50</v>
      </c>
      <c r="C582">
        <v>70000</v>
      </c>
      <c r="D582" t="s">
        <v>32</v>
      </c>
      <c r="E582" t="s">
        <v>18</v>
      </c>
      <c r="F582" t="s">
        <v>35</v>
      </c>
      <c r="G582" s="2">
        <v>43845</v>
      </c>
      <c r="H582" t="s">
        <v>36</v>
      </c>
      <c r="I582" t="s">
        <v>52</v>
      </c>
      <c r="J582" t="s">
        <v>25</v>
      </c>
      <c r="M582" t="str">
        <f t="shared" si="82"/>
        <v>Ivy</v>
      </c>
      <c r="N582">
        <v>50</v>
      </c>
      <c r="O582">
        <f t="shared" si="83"/>
        <v>50</v>
      </c>
      <c r="P582">
        <v>70000</v>
      </c>
      <c r="Q582">
        <f t="shared" si="84"/>
        <v>70000</v>
      </c>
      <c r="R582" t="str">
        <f t="shared" si="85"/>
        <v>Other</v>
      </c>
      <c r="S582" t="str">
        <f t="shared" si="86"/>
        <v>Finance</v>
      </c>
      <c r="T582" t="str">
        <f t="shared" si="87"/>
        <v>Clerk</v>
      </c>
      <c r="U582" s="2">
        <v>43845</v>
      </c>
      <c r="V582" t="s">
        <v>36</v>
      </c>
      <c r="W582" t="s">
        <v>52</v>
      </c>
      <c r="X582" t="str">
        <f t="shared" si="88"/>
        <v>user@domain/com</v>
      </c>
      <c r="Y582" t="str">
        <f t="shared" si="89"/>
        <v>user@domain.com</v>
      </c>
      <c r="Z582" t="str">
        <f t="shared" si="81"/>
        <v>098-765-4321</v>
      </c>
    </row>
    <row r="583" spans="1:26" x14ac:dyDescent="0.25">
      <c r="A583" t="s">
        <v>22</v>
      </c>
      <c r="B583">
        <v>35</v>
      </c>
      <c r="C583">
        <v>65000</v>
      </c>
      <c r="D583" t="s">
        <v>32</v>
      </c>
      <c r="E583" t="s">
        <v>33</v>
      </c>
      <c r="F583" t="s">
        <v>35</v>
      </c>
      <c r="G583" s="2">
        <v>43549</v>
      </c>
      <c r="H583" t="s">
        <v>36</v>
      </c>
      <c r="I583" t="s">
        <v>53</v>
      </c>
      <c r="J583" t="s">
        <v>39</v>
      </c>
      <c r="M583" t="str">
        <f t="shared" si="82"/>
        <v>Hannah</v>
      </c>
      <c r="N583">
        <v>35</v>
      </c>
      <c r="O583">
        <f t="shared" si="83"/>
        <v>35</v>
      </c>
      <c r="P583">
        <v>65000</v>
      </c>
      <c r="Q583">
        <f t="shared" si="84"/>
        <v>65000</v>
      </c>
      <c r="R583" t="str">
        <f t="shared" si="85"/>
        <v>Other</v>
      </c>
      <c r="S583" t="str">
        <f t="shared" si="86"/>
        <v>Marketing</v>
      </c>
      <c r="T583" t="str">
        <f t="shared" si="87"/>
        <v>Clerk</v>
      </c>
      <c r="U583" s="2">
        <v>43549</v>
      </c>
      <c r="V583" t="s">
        <v>36</v>
      </c>
      <c r="W583" t="s">
        <v>53</v>
      </c>
      <c r="X583" t="str">
        <f t="shared" si="88"/>
        <v>name@company/org</v>
      </c>
      <c r="Y583" t="str">
        <f t="shared" si="89"/>
        <v>name@company.org</v>
      </c>
      <c r="Z583" t="str">
        <f t="shared" si="81"/>
        <v>555-555-5555</v>
      </c>
    </row>
    <row r="584" spans="1:26" x14ac:dyDescent="0.25">
      <c r="A584" t="s">
        <v>42</v>
      </c>
      <c r="B584">
        <v>50</v>
      </c>
      <c r="C584">
        <v>55000</v>
      </c>
      <c r="D584" t="s">
        <v>32</v>
      </c>
      <c r="E584" t="s">
        <v>27</v>
      </c>
      <c r="F584" t="s">
        <v>19</v>
      </c>
      <c r="G584" s="2">
        <v>43881</v>
      </c>
      <c r="H584" t="s">
        <v>36</v>
      </c>
      <c r="I584" t="s">
        <v>15</v>
      </c>
      <c r="J584" t="s">
        <v>25</v>
      </c>
      <c r="M584" t="str">
        <f t="shared" si="82"/>
        <v>Alice</v>
      </c>
      <c r="N584">
        <v>50</v>
      </c>
      <c r="O584">
        <f t="shared" si="83"/>
        <v>50</v>
      </c>
      <c r="P584">
        <v>55000</v>
      </c>
      <c r="Q584">
        <f t="shared" si="84"/>
        <v>55000</v>
      </c>
      <c r="R584" t="str">
        <f t="shared" si="85"/>
        <v>Other</v>
      </c>
      <c r="S584" t="str">
        <f t="shared" si="86"/>
        <v>IT</v>
      </c>
      <c r="T584" t="str">
        <f t="shared" si="87"/>
        <v>Director</v>
      </c>
      <c r="U584" s="2">
        <v>43881</v>
      </c>
      <c r="V584" t="s">
        <v>36</v>
      </c>
      <c r="W584" t="s">
        <v>15</v>
      </c>
      <c r="X584" t="str">
        <f t="shared" si="88"/>
        <v>Email not provided</v>
      </c>
      <c r="Y584" t="str">
        <f t="shared" si="89"/>
        <v>Email not provided</v>
      </c>
      <c r="Z584" t="str">
        <f t="shared" si="81"/>
        <v>098-765-4321</v>
      </c>
    </row>
    <row r="585" spans="1:26" x14ac:dyDescent="0.25">
      <c r="A585" t="s">
        <v>40</v>
      </c>
      <c r="B585">
        <v>30</v>
      </c>
      <c r="C585">
        <v>60000</v>
      </c>
      <c r="D585" t="s">
        <v>32</v>
      </c>
      <c r="E585" t="s">
        <v>12</v>
      </c>
      <c r="F585" t="s">
        <v>35</v>
      </c>
      <c r="G585" s="2">
        <v>43881</v>
      </c>
      <c r="H585" t="s">
        <v>36</v>
      </c>
      <c r="I585" t="s">
        <v>52</v>
      </c>
      <c r="J585" t="s">
        <v>39</v>
      </c>
      <c r="M585" t="str">
        <f t="shared" si="82"/>
        <v>Frank</v>
      </c>
      <c r="N585">
        <v>30</v>
      </c>
      <c r="O585">
        <f t="shared" si="83"/>
        <v>30</v>
      </c>
      <c r="P585">
        <v>60000</v>
      </c>
      <c r="Q585">
        <f t="shared" si="84"/>
        <v>60000</v>
      </c>
      <c r="R585" t="str">
        <f t="shared" si="85"/>
        <v>Other</v>
      </c>
      <c r="S585" t="str">
        <f t="shared" si="86"/>
        <v>HR</v>
      </c>
      <c r="T585" t="str">
        <f t="shared" si="87"/>
        <v>Clerk</v>
      </c>
      <c r="U585" s="2">
        <v>43881</v>
      </c>
      <c r="V585" t="s">
        <v>36</v>
      </c>
      <c r="W585" t="s">
        <v>52</v>
      </c>
      <c r="X585" t="str">
        <f t="shared" si="88"/>
        <v>user@domain/com</v>
      </c>
      <c r="Y585" t="str">
        <f t="shared" si="89"/>
        <v>user@domain.com</v>
      </c>
      <c r="Z585" t="str">
        <f t="shared" si="81"/>
        <v>555-555-5555</v>
      </c>
    </row>
    <row r="586" spans="1:26" x14ac:dyDescent="0.25">
      <c r="A586" t="s">
        <v>26</v>
      </c>
      <c r="B586">
        <v>25</v>
      </c>
      <c r="C586">
        <v>55000</v>
      </c>
      <c r="D586" t="s">
        <v>32</v>
      </c>
      <c r="E586" t="s">
        <v>27</v>
      </c>
      <c r="F586" t="s">
        <v>37</v>
      </c>
      <c r="G586" s="2">
        <v>43881</v>
      </c>
      <c r="H586" t="s">
        <v>14</v>
      </c>
      <c r="J586" t="s">
        <v>21</v>
      </c>
      <c r="M586" t="str">
        <f t="shared" si="82"/>
        <v>Eve</v>
      </c>
      <c r="N586">
        <v>25</v>
      </c>
      <c r="O586">
        <f t="shared" si="83"/>
        <v>25</v>
      </c>
      <c r="P586">
        <v>55000</v>
      </c>
      <c r="Q586">
        <f t="shared" si="84"/>
        <v>55000</v>
      </c>
      <c r="R586" t="str">
        <f t="shared" si="85"/>
        <v>Other</v>
      </c>
      <c r="S586" t="str">
        <f t="shared" si="86"/>
        <v>IT</v>
      </c>
      <c r="T586" t="str">
        <f t="shared" si="87"/>
        <v>Assistant</v>
      </c>
      <c r="U586" s="2">
        <v>43881</v>
      </c>
      <c r="V586" t="s">
        <v>14</v>
      </c>
      <c r="X586" t="str">
        <f t="shared" si="88"/>
        <v>Email not provided</v>
      </c>
      <c r="Y586" t="str">
        <f t="shared" si="89"/>
        <v>Email not provided</v>
      </c>
      <c r="Z586" t="str">
        <f t="shared" si="81"/>
        <v>123-456-7890</v>
      </c>
    </row>
    <row r="587" spans="1:26" x14ac:dyDescent="0.25">
      <c r="A587" t="s">
        <v>40</v>
      </c>
      <c r="B587">
        <v>30</v>
      </c>
      <c r="C587">
        <v>50000</v>
      </c>
      <c r="D587" t="s">
        <v>11</v>
      </c>
      <c r="E587" t="s">
        <v>33</v>
      </c>
      <c r="F587" t="s">
        <v>35</v>
      </c>
      <c r="G587" s="1">
        <v>43195</v>
      </c>
      <c r="H587" t="s">
        <v>20</v>
      </c>
      <c r="I587" t="s">
        <v>15</v>
      </c>
      <c r="J587" t="s">
        <v>15</v>
      </c>
      <c r="M587" t="str">
        <f t="shared" si="82"/>
        <v>Frank</v>
      </c>
      <c r="N587">
        <v>30</v>
      </c>
      <c r="O587">
        <f t="shared" si="83"/>
        <v>30</v>
      </c>
      <c r="P587">
        <v>50000</v>
      </c>
      <c r="Q587">
        <f t="shared" si="84"/>
        <v>50000</v>
      </c>
      <c r="R587" t="str">
        <f t="shared" si="85"/>
        <v>Male</v>
      </c>
      <c r="S587" t="str">
        <f t="shared" si="86"/>
        <v>Marketing</v>
      </c>
      <c r="T587" t="str">
        <f t="shared" si="87"/>
        <v>Clerk</v>
      </c>
      <c r="U587" s="2">
        <v>43195</v>
      </c>
      <c r="V587" t="s">
        <v>20</v>
      </c>
      <c r="W587" t="s">
        <v>15</v>
      </c>
      <c r="X587" t="str">
        <f t="shared" si="88"/>
        <v>Email not provided</v>
      </c>
      <c r="Y587" t="str">
        <f t="shared" si="89"/>
        <v>Email not provided</v>
      </c>
      <c r="Z587" t="str">
        <f t="shared" si="81"/>
        <v>Phone not provided</v>
      </c>
    </row>
    <row r="588" spans="1:26" x14ac:dyDescent="0.25">
      <c r="A588" t="s">
        <v>31</v>
      </c>
      <c r="B588" t="s">
        <v>15</v>
      </c>
      <c r="C588">
        <v>55000</v>
      </c>
      <c r="D588" t="s">
        <v>32</v>
      </c>
      <c r="E588" t="s">
        <v>18</v>
      </c>
      <c r="F588" t="s">
        <v>38</v>
      </c>
      <c r="G588" s="2">
        <v>43881</v>
      </c>
      <c r="H588" t="s">
        <v>14</v>
      </c>
      <c r="I588" t="s">
        <v>53</v>
      </c>
      <c r="J588" t="s">
        <v>25</v>
      </c>
      <c r="M588" t="str">
        <f t="shared" si="82"/>
        <v>Jack</v>
      </c>
      <c r="N588" t="s">
        <v>15</v>
      </c>
      <c r="O588">
        <f t="shared" si="83"/>
        <v>35</v>
      </c>
      <c r="P588">
        <v>55000</v>
      </c>
      <c r="Q588">
        <f t="shared" si="84"/>
        <v>55000</v>
      </c>
      <c r="R588" t="str">
        <f t="shared" si="85"/>
        <v>Other</v>
      </c>
      <c r="S588" t="str">
        <f t="shared" si="86"/>
        <v>Finance</v>
      </c>
      <c r="T588" t="str">
        <f t="shared" si="87"/>
        <v>Analyst</v>
      </c>
      <c r="U588" s="2">
        <v>43881</v>
      </c>
      <c r="V588" t="s">
        <v>14</v>
      </c>
      <c r="W588" t="s">
        <v>53</v>
      </c>
      <c r="X588" t="str">
        <f t="shared" si="88"/>
        <v>name@company/org</v>
      </c>
      <c r="Y588" t="str">
        <f t="shared" si="89"/>
        <v>name@company.org</v>
      </c>
      <c r="Z588" t="str">
        <f t="shared" si="81"/>
        <v>098-765-4321</v>
      </c>
    </row>
    <row r="589" spans="1:26" x14ac:dyDescent="0.25">
      <c r="A589" t="s">
        <v>26</v>
      </c>
      <c r="B589" t="s">
        <v>15</v>
      </c>
      <c r="C589">
        <v>50000</v>
      </c>
      <c r="D589" t="s">
        <v>32</v>
      </c>
      <c r="E589" t="s">
        <v>18</v>
      </c>
      <c r="F589" t="s">
        <v>35</v>
      </c>
      <c r="G589" s="2">
        <v>43800</v>
      </c>
      <c r="H589" t="s">
        <v>14</v>
      </c>
      <c r="I589" t="s">
        <v>53</v>
      </c>
      <c r="J589" t="s">
        <v>29</v>
      </c>
      <c r="M589" t="str">
        <f t="shared" si="82"/>
        <v>Eve</v>
      </c>
      <c r="N589" t="s">
        <v>15</v>
      </c>
      <c r="O589">
        <f t="shared" si="83"/>
        <v>35</v>
      </c>
      <c r="P589">
        <v>50000</v>
      </c>
      <c r="Q589">
        <f t="shared" si="84"/>
        <v>50000</v>
      </c>
      <c r="R589" t="str">
        <f t="shared" si="85"/>
        <v>Other</v>
      </c>
      <c r="S589" t="str">
        <f t="shared" si="86"/>
        <v>Finance</v>
      </c>
      <c r="T589" t="str">
        <f t="shared" si="87"/>
        <v>Clerk</v>
      </c>
      <c r="U589" s="2">
        <v>43800</v>
      </c>
      <c r="V589" t="s">
        <v>14</v>
      </c>
      <c r="W589" t="s">
        <v>53</v>
      </c>
      <c r="X589" t="str">
        <f t="shared" si="88"/>
        <v>name@company/org</v>
      </c>
      <c r="Y589" t="str">
        <f t="shared" si="89"/>
        <v>name@company.org</v>
      </c>
      <c r="Z589" t="str">
        <f t="shared" si="81"/>
        <v>Phone not provided</v>
      </c>
    </row>
    <row r="590" spans="1:26" x14ac:dyDescent="0.25">
      <c r="A590" t="s">
        <v>40</v>
      </c>
      <c r="B590">
        <v>50</v>
      </c>
      <c r="C590">
        <v>50000</v>
      </c>
      <c r="D590" t="s">
        <v>11</v>
      </c>
      <c r="E590" t="s">
        <v>33</v>
      </c>
      <c r="F590" t="s">
        <v>13</v>
      </c>
      <c r="G590" s="2">
        <v>43845</v>
      </c>
      <c r="H590" t="s">
        <v>28</v>
      </c>
      <c r="I590" t="s">
        <v>53</v>
      </c>
      <c r="J590" t="s">
        <v>29</v>
      </c>
      <c r="M590" t="str">
        <f t="shared" si="82"/>
        <v>Frank</v>
      </c>
      <c r="N590">
        <v>50</v>
      </c>
      <c r="O590">
        <f t="shared" si="83"/>
        <v>50</v>
      </c>
      <c r="P590">
        <v>50000</v>
      </c>
      <c r="Q590">
        <f t="shared" si="84"/>
        <v>50000</v>
      </c>
      <c r="R590" t="str">
        <f t="shared" si="85"/>
        <v>Male</v>
      </c>
      <c r="S590" t="str">
        <f t="shared" si="86"/>
        <v>Marketing</v>
      </c>
      <c r="T590" t="str">
        <f t="shared" si="87"/>
        <v>Manager</v>
      </c>
      <c r="U590" s="2">
        <v>43845</v>
      </c>
      <c r="V590" t="s">
        <v>28</v>
      </c>
      <c r="W590" t="s">
        <v>53</v>
      </c>
      <c r="X590" t="str">
        <f t="shared" si="88"/>
        <v>name@company/org</v>
      </c>
      <c r="Y590" t="str">
        <f t="shared" si="89"/>
        <v>name@company.org</v>
      </c>
      <c r="Z590" t="str">
        <f t="shared" si="81"/>
        <v>Phone not provided</v>
      </c>
    </row>
    <row r="591" spans="1:26" x14ac:dyDescent="0.25">
      <c r="A591" t="s">
        <v>26</v>
      </c>
      <c r="B591">
        <v>40</v>
      </c>
      <c r="C591">
        <v>60000</v>
      </c>
      <c r="D591" t="s">
        <v>11</v>
      </c>
      <c r="E591" t="s">
        <v>18</v>
      </c>
      <c r="F591" t="s">
        <v>38</v>
      </c>
      <c r="G591" s="1">
        <v>43195</v>
      </c>
      <c r="H591" t="s">
        <v>28</v>
      </c>
      <c r="I591" t="s">
        <v>51</v>
      </c>
      <c r="J591" t="s">
        <v>21</v>
      </c>
      <c r="M591" t="str">
        <f t="shared" si="82"/>
        <v>Eve</v>
      </c>
      <c r="N591">
        <v>40</v>
      </c>
      <c r="O591">
        <f t="shared" si="83"/>
        <v>40</v>
      </c>
      <c r="P591">
        <v>60000</v>
      </c>
      <c r="Q591">
        <f t="shared" si="84"/>
        <v>60000</v>
      </c>
      <c r="R591" t="str">
        <f t="shared" si="85"/>
        <v>Male</v>
      </c>
      <c r="S591" t="str">
        <f t="shared" si="86"/>
        <v>Finance</v>
      </c>
      <c r="T591" t="str">
        <f t="shared" si="87"/>
        <v>Analyst</v>
      </c>
      <c r="U591" s="2">
        <v>43195</v>
      </c>
      <c r="V591" t="s">
        <v>28</v>
      </c>
      <c r="W591" t="s">
        <v>51</v>
      </c>
      <c r="X591" t="str">
        <f t="shared" si="88"/>
        <v>email@example/com</v>
      </c>
      <c r="Y591" t="str">
        <f t="shared" si="89"/>
        <v>email@example.com</v>
      </c>
      <c r="Z591" t="str">
        <f t="shared" si="81"/>
        <v>123-456-7890</v>
      </c>
    </row>
    <row r="592" spans="1:26" x14ac:dyDescent="0.25">
      <c r="A592" t="s">
        <v>26</v>
      </c>
      <c r="B592">
        <v>40</v>
      </c>
      <c r="C592" t="s">
        <v>30</v>
      </c>
      <c r="D592" t="s">
        <v>11</v>
      </c>
      <c r="E592" t="s">
        <v>23</v>
      </c>
      <c r="F592" t="s">
        <v>13</v>
      </c>
      <c r="G592" s="2">
        <v>43881</v>
      </c>
      <c r="H592" t="s">
        <v>28</v>
      </c>
      <c r="I592" t="s">
        <v>15</v>
      </c>
      <c r="J592" t="s">
        <v>39</v>
      </c>
      <c r="M592" t="str">
        <f t="shared" si="82"/>
        <v>Eve</v>
      </c>
      <c r="N592">
        <v>40</v>
      </c>
      <c r="O592">
        <f t="shared" si="83"/>
        <v>40</v>
      </c>
      <c r="P592" t="s">
        <v>30</v>
      </c>
      <c r="Q592">
        <f t="shared" si="84"/>
        <v>60000</v>
      </c>
      <c r="R592" t="str">
        <f t="shared" si="85"/>
        <v>Male</v>
      </c>
      <c r="S592" t="str">
        <f t="shared" si="86"/>
        <v>Sales</v>
      </c>
      <c r="T592" t="str">
        <f t="shared" si="87"/>
        <v>Manager</v>
      </c>
      <c r="U592" s="2">
        <v>43881</v>
      </c>
      <c r="V592" t="s">
        <v>28</v>
      </c>
      <c r="W592" t="s">
        <v>15</v>
      </c>
      <c r="X592" t="str">
        <f t="shared" si="88"/>
        <v>Email not provided</v>
      </c>
      <c r="Y592" t="str">
        <f t="shared" si="89"/>
        <v>Email not provided</v>
      </c>
      <c r="Z592" t="str">
        <f t="shared" si="81"/>
        <v>555-555-5555</v>
      </c>
    </row>
    <row r="593" spans="1:26" x14ac:dyDescent="0.25">
      <c r="A593" t="s">
        <v>16</v>
      </c>
      <c r="B593">
        <v>50</v>
      </c>
      <c r="C593">
        <v>65000</v>
      </c>
      <c r="D593" t="s">
        <v>11</v>
      </c>
      <c r="E593" t="s">
        <v>12</v>
      </c>
      <c r="F593" t="s">
        <v>38</v>
      </c>
      <c r="G593" s="2">
        <v>43845</v>
      </c>
      <c r="H593" t="s">
        <v>24</v>
      </c>
      <c r="I593" t="s">
        <v>52</v>
      </c>
      <c r="J593" t="s">
        <v>39</v>
      </c>
      <c r="M593" t="str">
        <f t="shared" si="82"/>
        <v>David</v>
      </c>
      <c r="N593">
        <v>50</v>
      </c>
      <c r="O593">
        <f t="shared" si="83"/>
        <v>50</v>
      </c>
      <c r="P593">
        <v>65000</v>
      </c>
      <c r="Q593">
        <f t="shared" si="84"/>
        <v>65000</v>
      </c>
      <c r="R593" t="str">
        <f t="shared" si="85"/>
        <v>Male</v>
      </c>
      <c r="S593" t="str">
        <f t="shared" si="86"/>
        <v>HR</v>
      </c>
      <c r="T593" t="str">
        <f t="shared" si="87"/>
        <v>Analyst</v>
      </c>
      <c r="U593" s="2">
        <v>43845</v>
      </c>
      <c r="V593" t="s">
        <v>24</v>
      </c>
      <c r="W593" t="s">
        <v>52</v>
      </c>
      <c r="X593" t="str">
        <f t="shared" si="88"/>
        <v>user@domain/com</v>
      </c>
      <c r="Y593" t="str">
        <f t="shared" si="89"/>
        <v>user@domain.com</v>
      </c>
      <c r="Z593" t="str">
        <f t="shared" si="81"/>
        <v>555-555-5555</v>
      </c>
    </row>
    <row r="594" spans="1:26" x14ac:dyDescent="0.25">
      <c r="A594" t="s">
        <v>34</v>
      </c>
      <c r="B594" t="s">
        <v>15</v>
      </c>
      <c r="C594">
        <v>55000</v>
      </c>
      <c r="D594" t="s">
        <v>11</v>
      </c>
      <c r="E594" t="s">
        <v>12</v>
      </c>
      <c r="F594" t="s">
        <v>37</v>
      </c>
      <c r="G594" s="2">
        <v>43549</v>
      </c>
      <c r="H594" t="s">
        <v>28</v>
      </c>
      <c r="I594" t="s">
        <v>53</v>
      </c>
      <c r="J594" t="s">
        <v>21</v>
      </c>
      <c r="M594" t="str">
        <f t="shared" si="82"/>
        <v>Charlie</v>
      </c>
      <c r="N594" t="s">
        <v>15</v>
      </c>
      <c r="O594">
        <f t="shared" si="83"/>
        <v>35</v>
      </c>
      <c r="P594">
        <v>55000</v>
      </c>
      <c r="Q594">
        <f t="shared" si="84"/>
        <v>55000</v>
      </c>
      <c r="R594" t="str">
        <f t="shared" si="85"/>
        <v>Male</v>
      </c>
      <c r="S594" t="str">
        <f t="shared" si="86"/>
        <v>HR</v>
      </c>
      <c r="T594" t="str">
        <f t="shared" si="87"/>
        <v>Assistant</v>
      </c>
      <c r="U594" s="2">
        <v>43549</v>
      </c>
      <c r="V594" t="s">
        <v>28</v>
      </c>
      <c r="W594" t="s">
        <v>53</v>
      </c>
      <c r="X594" t="str">
        <f t="shared" si="88"/>
        <v>name@company/org</v>
      </c>
      <c r="Y594" t="str">
        <f t="shared" si="89"/>
        <v>name@company.org</v>
      </c>
      <c r="Z594" t="str">
        <f t="shared" si="81"/>
        <v>123-456-7890</v>
      </c>
    </row>
    <row r="595" spans="1:26" x14ac:dyDescent="0.25">
      <c r="A595" t="s">
        <v>34</v>
      </c>
      <c r="B595" t="s">
        <v>15</v>
      </c>
      <c r="C595">
        <v>50000</v>
      </c>
      <c r="D595" t="s">
        <v>11</v>
      </c>
      <c r="E595" t="s">
        <v>12</v>
      </c>
      <c r="F595" t="s">
        <v>37</v>
      </c>
      <c r="G595" s="2">
        <v>43881</v>
      </c>
      <c r="H595" t="s">
        <v>20</v>
      </c>
      <c r="I595" t="s">
        <v>53</v>
      </c>
      <c r="J595" t="s">
        <v>29</v>
      </c>
      <c r="M595" t="str">
        <f t="shared" si="82"/>
        <v>Charlie</v>
      </c>
      <c r="N595" t="s">
        <v>15</v>
      </c>
      <c r="O595">
        <f t="shared" si="83"/>
        <v>35</v>
      </c>
      <c r="P595">
        <v>50000</v>
      </c>
      <c r="Q595">
        <f t="shared" si="84"/>
        <v>50000</v>
      </c>
      <c r="R595" t="str">
        <f t="shared" si="85"/>
        <v>Male</v>
      </c>
      <c r="S595" t="str">
        <f t="shared" si="86"/>
        <v>HR</v>
      </c>
      <c r="T595" t="str">
        <f t="shared" si="87"/>
        <v>Assistant</v>
      </c>
      <c r="U595" s="2">
        <v>43881</v>
      </c>
      <c r="V595" t="s">
        <v>20</v>
      </c>
      <c r="W595" t="s">
        <v>53</v>
      </c>
      <c r="X595" t="str">
        <f t="shared" si="88"/>
        <v>name@company/org</v>
      </c>
      <c r="Y595" t="str">
        <f t="shared" si="89"/>
        <v>name@company.org</v>
      </c>
      <c r="Z595" t="str">
        <f t="shared" si="81"/>
        <v>Phone not provided</v>
      </c>
    </row>
    <row r="596" spans="1:26" x14ac:dyDescent="0.25">
      <c r="A596" t="s">
        <v>16</v>
      </c>
      <c r="B596" t="s">
        <v>15</v>
      </c>
      <c r="C596">
        <v>55000</v>
      </c>
      <c r="D596" t="s">
        <v>32</v>
      </c>
      <c r="E596" t="s">
        <v>18</v>
      </c>
      <c r="F596" t="s">
        <v>37</v>
      </c>
      <c r="G596" s="2">
        <v>43845</v>
      </c>
      <c r="H596" t="s">
        <v>14</v>
      </c>
      <c r="I596" t="s">
        <v>51</v>
      </c>
      <c r="J596" t="s">
        <v>29</v>
      </c>
      <c r="M596" t="str">
        <f t="shared" si="82"/>
        <v>David</v>
      </c>
      <c r="N596" t="s">
        <v>15</v>
      </c>
      <c r="O596">
        <f t="shared" si="83"/>
        <v>35</v>
      </c>
      <c r="P596">
        <v>55000</v>
      </c>
      <c r="Q596">
        <f t="shared" si="84"/>
        <v>55000</v>
      </c>
      <c r="R596" t="str">
        <f t="shared" si="85"/>
        <v>Other</v>
      </c>
      <c r="S596" t="str">
        <f t="shared" si="86"/>
        <v>Finance</v>
      </c>
      <c r="T596" t="str">
        <f t="shared" si="87"/>
        <v>Assistant</v>
      </c>
      <c r="U596" s="2">
        <v>43845</v>
      </c>
      <c r="V596" t="s">
        <v>14</v>
      </c>
      <c r="W596" t="s">
        <v>51</v>
      </c>
      <c r="X596" t="str">
        <f t="shared" si="88"/>
        <v>email@example/com</v>
      </c>
      <c r="Y596" t="str">
        <f t="shared" si="89"/>
        <v>email@example.com</v>
      </c>
      <c r="Z596" t="str">
        <f t="shared" si="81"/>
        <v>Phone not provided</v>
      </c>
    </row>
    <row r="597" spans="1:26" x14ac:dyDescent="0.25">
      <c r="A597" t="s">
        <v>43</v>
      </c>
      <c r="B597">
        <v>30</v>
      </c>
      <c r="C597" t="s">
        <v>30</v>
      </c>
      <c r="D597" t="s">
        <v>32</v>
      </c>
      <c r="E597" t="s">
        <v>18</v>
      </c>
      <c r="F597" t="s">
        <v>13</v>
      </c>
      <c r="G597" s="2">
        <v>43800</v>
      </c>
      <c r="H597" t="s">
        <v>20</v>
      </c>
      <c r="I597" t="s">
        <v>52</v>
      </c>
      <c r="J597" t="s">
        <v>39</v>
      </c>
      <c r="M597" t="str">
        <f t="shared" si="82"/>
        <v>Ivy</v>
      </c>
      <c r="N597">
        <v>30</v>
      </c>
      <c r="O597">
        <f t="shared" si="83"/>
        <v>30</v>
      </c>
      <c r="P597" t="s">
        <v>30</v>
      </c>
      <c r="Q597">
        <f t="shared" si="84"/>
        <v>60000</v>
      </c>
      <c r="R597" t="str">
        <f t="shared" si="85"/>
        <v>Other</v>
      </c>
      <c r="S597" t="str">
        <f t="shared" si="86"/>
        <v>Finance</v>
      </c>
      <c r="T597" t="str">
        <f t="shared" si="87"/>
        <v>Manager</v>
      </c>
      <c r="U597" s="2">
        <v>43800</v>
      </c>
      <c r="V597" t="s">
        <v>20</v>
      </c>
      <c r="W597" t="s">
        <v>52</v>
      </c>
      <c r="X597" t="str">
        <f t="shared" si="88"/>
        <v>user@domain/com</v>
      </c>
      <c r="Y597" t="str">
        <f t="shared" si="89"/>
        <v>user@domain.com</v>
      </c>
      <c r="Z597" t="str">
        <f t="shared" si="81"/>
        <v>555-555-5555</v>
      </c>
    </row>
    <row r="598" spans="1:26" x14ac:dyDescent="0.25">
      <c r="A598" t="s">
        <v>41</v>
      </c>
      <c r="B598" t="s">
        <v>15</v>
      </c>
      <c r="C598">
        <v>65000</v>
      </c>
      <c r="D598" t="s">
        <v>17</v>
      </c>
      <c r="E598" t="s">
        <v>27</v>
      </c>
      <c r="F598" t="s">
        <v>19</v>
      </c>
      <c r="G598" s="2">
        <v>43549</v>
      </c>
      <c r="H598" t="s">
        <v>28</v>
      </c>
      <c r="I598" t="s">
        <v>15</v>
      </c>
      <c r="J598" t="s">
        <v>25</v>
      </c>
      <c r="M598" t="str">
        <f t="shared" si="82"/>
        <v>Bob</v>
      </c>
      <c r="N598" t="s">
        <v>15</v>
      </c>
      <c r="O598">
        <f t="shared" si="83"/>
        <v>35</v>
      </c>
      <c r="P598">
        <v>65000</v>
      </c>
      <c r="Q598">
        <f t="shared" si="84"/>
        <v>65000</v>
      </c>
      <c r="R598" t="str">
        <f t="shared" si="85"/>
        <v>Female</v>
      </c>
      <c r="S598" t="str">
        <f t="shared" si="86"/>
        <v>IT</v>
      </c>
      <c r="T598" t="str">
        <f t="shared" si="87"/>
        <v>Director</v>
      </c>
      <c r="U598" s="2">
        <v>43549</v>
      </c>
      <c r="V598" t="s">
        <v>28</v>
      </c>
      <c r="W598" t="s">
        <v>15</v>
      </c>
      <c r="X598" t="str">
        <f t="shared" si="88"/>
        <v>Email not provided</v>
      </c>
      <c r="Y598" t="str">
        <f t="shared" si="89"/>
        <v>Email not provided</v>
      </c>
      <c r="Z598" t="str">
        <f t="shared" si="81"/>
        <v>098-765-4321</v>
      </c>
    </row>
    <row r="599" spans="1:26" x14ac:dyDescent="0.25">
      <c r="A599" t="s">
        <v>43</v>
      </c>
      <c r="B599">
        <v>35</v>
      </c>
      <c r="C599" t="s">
        <v>30</v>
      </c>
      <c r="D599" t="s">
        <v>32</v>
      </c>
      <c r="E599" t="s">
        <v>27</v>
      </c>
      <c r="F599" t="s">
        <v>38</v>
      </c>
      <c r="G599" s="2">
        <v>43800</v>
      </c>
      <c r="H599" t="s">
        <v>24</v>
      </c>
      <c r="J599" t="s">
        <v>15</v>
      </c>
      <c r="M599" t="str">
        <f t="shared" si="82"/>
        <v>Ivy</v>
      </c>
      <c r="N599">
        <v>35</v>
      </c>
      <c r="O599">
        <f t="shared" si="83"/>
        <v>35</v>
      </c>
      <c r="P599" t="s">
        <v>30</v>
      </c>
      <c r="Q599">
        <f t="shared" si="84"/>
        <v>60000</v>
      </c>
      <c r="R599" t="str">
        <f t="shared" si="85"/>
        <v>Other</v>
      </c>
      <c r="S599" t="str">
        <f t="shared" si="86"/>
        <v>IT</v>
      </c>
      <c r="T599" t="str">
        <f t="shared" si="87"/>
        <v>Analyst</v>
      </c>
      <c r="U599" s="2">
        <v>43800</v>
      </c>
      <c r="V599" t="s">
        <v>24</v>
      </c>
      <c r="X599" t="str">
        <f t="shared" si="88"/>
        <v>Email not provided</v>
      </c>
      <c r="Y599" t="str">
        <f t="shared" si="89"/>
        <v>Email not provided</v>
      </c>
      <c r="Z599" t="str">
        <f t="shared" si="81"/>
        <v>Phone not provided</v>
      </c>
    </row>
    <row r="600" spans="1:26" x14ac:dyDescent="0.25">
      <c r="A600" t="s">
        <v>42</v>
      </c>
      <c r="B600">
        <v>25</v>
      </c>
      <c r="C600">
        <v>65000</v>
      </c>
      <c r="D600" t="s">
        <v>32</v>
      </c>
      <c r="E600" t="s">
        <v>12</v>
      </c>
      <c r="F600" t="s">
        <v>37</v>
      </c>
      <c r="G600" s="2">
        <v>43845</v>
      </c>
      <c r="H600" t="s">
        <v>24</v>
      </c>
      <c r="I600" t="s">
        <v>51</v>
      </c>
      <c r="J600" t="s">
        <v>25</v>
      </c>
      <c r="M600" t="str">
        <f t="shared" si="82"/>
        <v>Alice</v>
      </c>
      <c r="N600">
        <v>25</v>
      </c>
      <c r="O600">
        <f t="shared" si="83"/>
        <v>25</v>
      </c>
      <c r="P600">
        <v>65000</v>
      </c>
      <c r="Q600">
        <f t="shared" si="84"/>
        <v>65000</v>
      </c>
      <c r="R600" t="str">
        <f t="shared" si="85"/>
        <v>Other</v>
      </c>
      <c r="S600" t="str">
        <f t="shared" si="86"/>
        <v>HR</v>
      </c>
      <c r="T600" t="str">
        <f t="shared" si="87"/>
        <v>Assistant</v>
      </c>
      <c r="U600" s="2">
        <v>43845</v>
      </c>
      <c r="V600" t="s">
        <v>24</v>
      </c>
      <c r="W600" t="s">
        <v>51</v>
      </c>
      <c r="X600" t="str">
        <f t="shared" si="88"/>
        <v>email@example/com</v>
      </c>
      <c r="Y600" t="str">
        <f t="shared" si="89"/>
        <v>email@example.com</v>
      </c>
      <c r="Z600" t="str">
        <f t="shared" si="81"/>
        <v>098-765-4321</v>
      </c>
    </row>
    <row r="601" spans="1:26" x14ac:dyDescent="0.25">
      <c r="A601" t="s">
        <v>42</v>
      </c>
      <c r="B601" t="s">
        <v>15</v>
      </c>
      <c r="C601">
        <v>70000</v>
      </c>
      <c r="D601" t="s">
        <v>11</v>
      </c>
      <c r="E601" t="s">
        <v>23</v>
      </c>
      <c r="F601" t="s">
        <v>38</v>
      </c>
      <c r="G601" s="2">
        <v>43800</v>
      </c>
      <c r="H601" t="s">
        <v>14</v>
      </c>
      <c r="I601" t="s">
        <v>15</v>
      </c>
      <c r="J601" t="s">
        <v>29</v>
      </c>
      <c r="M601" t="str">
        <f t="shared" si="82"/>
        <v>Alice</v>
      </c>
      <c r="N601" t="s">
        <v>15</v>
      </c>
      <c r="O601">
        <f t="shared" si="83"/>
        <v>35</v>
      </c>
      <c r="P601">
        <v>70000</v>
      </c>
      <c r="Q601">
        <f t="shared" si="84"/>
        <v>70000</v>
      </c>
      <c r="R601" t="str">
        <f t="shared" si="85"/>
        <v>Male</v>
      </c>
      <c r="S601" t="str">
        <f t="shared" si="86"/>
        <v>Sales</v>
      </c>
      <c r="T601" t="str">
        <f t="shared" si="87"/>
        <v>Analyst</v>
      </c>
      <c r="U601" s="2">
        <v>43800</v>
      </c>
      <c r="V601" t="s">
        <v>14</v>
      </c>
      <c r="W601" t="s">
        <v>15</v>
      </c>
      <c r="X601" t="str">
        <f t="shared" si="88"/>
        <v>Email not provided</v>
      </c>
      <c r="Y601" t="str">
        <f t="shared" si="89"/>
        <v>Email not provided</v>
      </c>
      <c r="Z601" t="str">
        <f t="shared" si="81"/>
        <v>Phone not provided</v>
      </c>
    </row>
    <row r="602" spans="1:26" x14ac:dyDescent="0.25">
      <c r="A602" t="s">
        <v>26</v>
      </c>
      <c r="B602">
        <v>50</v>
      </c>
      <c r="C602">
        <v>65000</v>
      </c>
      <c r="D602" t="s">
        <v>11</v>
      </c>
      <c r="E602" t="s">
        <v>27</v>
      </c>
      <c r="F602" t="s">
        <v>13</v>
      </c>
      <c r="G602" s="2">
        <v>43845</v>
      </c>
      <c r="H602" t="s">
        <v>20</v>
      </c>
      <c r="J602" t="s">
        <v>25</v>
      </c>
      <c r="M602" t="str">
        <f t="shared" si="82"/>
        <v>Eve</v>
      </c>
      <c r="N602">
        <v>50</v>
      </c>
      <c r="O602">
        <f t="shared" si="83"/>
        <v>50</v>
      </c>
      <c r="P602">
        <v>65000</v>
      </c>
      <c r="Q602">
        <f t="shared" si="84"/>
        <v>65000</v>
      </c>
      <c r="R602" t="str">
        <f t="shared" si="85"/>
        <v>Male</v>
      </c>
      <c r="S602" t="str">
        <f t="shared" si="86"/>
        <v>IT</v>
      </c>
      <c r="T602" t="str">
        <f t="shared" si="87"/>
        <v>Manager</v>
      </c>
      <c r="U602" s="2">
        <v>43845</v>
      </c>
      <c r="V602" t="s">
        <v>20</v>
      </c>
      <c r="X602" t="str">
        <f t="shared" si="88"/>
        <v>Email not provided</v>
      </c>
      <c r="Y602" t="str">
        <f t="shared" si="89"/>
        <v>Email not provided</v>
      </c>
      <c r="Z602" t="str">
        <f t="shared" si="81"/>
        <v>098-765-4321</v>
      </c>
    </row>
    <row r="603" spans="1:26" x14ac:dyDescent="0.25">
      <c r="A603" t="s">
        <v>40</v>
      </c>
      <c r="B603">
        <v>25</v>
      </c>
      <c r="C603">
        <v>60000</v>
      </c>
      <c r="D603" t="s">
        <v>32</v>
      </c>
      <c r="E603" t="s">
        <v>27</v>
      </c>
      <c r="F603" t="s">
        <v>19</v>
      </c>
      <c r="G603" s="2">
        <v>43845</v>
      </c>
      <c r="H603" t="s">
        <v>36</v>
      </c>
      <c r="I603" t="s">
        <v>53</v>
      </c>
      <c r="J603" t="s">
        <v>15</v>
      </c>
      <c r="M603" t="str">
        <f t="shared" si="82"/>
        <v>Frank</v>
      </c>
      <c r="N603">
        <v>25</v>
      </c>
      <c r="O603">
        <f t="shared" si="83"/>
        <v>25</v>
      </c>
      <c r="P603">
        <v>60000</v>
      </c>
      <c r="Q603">
        <f t="shared" si="84"/>
        <v>60000</v>
      </c>
      <c r="R603" t="str">
        <f t="shared" si="85"/>
        <v>Other</v>
      </c>
      <c r="S603" t="str">
        <f t="shared" si="86"/>
        <v>IT</v>
      </c>
      <c r="T603" t="str">
        <f t="shared" si="87"/>
        <v>Director</v>
      </c>
      <c r="U603" s="2">
        <v>43845</v>
      </c>
      <c r="V603" t="s">
        <v>36</v>
      </c>
      <c r="W603" t="s">
        <v>53</v>
      </c>
      <c r="X603" t="str">
        <f t="shared" si="88"/>
        <v>name@company/org</v>
      </c>
      <c r="Y603" t="str">
        <f t="shared" si="89"/>
        <v>name@company.org</v>
      </c>
      <c r="Z603" t="str">
        <f t="shared" si="81"/>
        <v>Phone not provided</v>
      </c>
    </row>
    <row r="604" spans="1:26" x14ac:dyDescent="0.25">
      <c r="A604" t="s">
        <v>40</v>
      </c>
      <c r="B604">
        <v>30</v>
      </c>
      <c r="C604" t="s">
        <v>30</v>
      </c>
      <c r="D604" t="s">
        <v>17</v>
      </c>
      <c r="E604" t="s">
        <v>18</v>
      </c>
      <c r="F604" t="s">
        <v>13</v>
      </c>
      <c r="G604" s="2">
        <v>43800</v>
      </c>
      <c r="H604" t="s">
        <v>20</v>
      </c>
      <c r="I604" t="s">
        <v>53</v>
      </c>
      <c r="J604" t="s">
        <v>25</v>
      </c>
      <c r="M604" t="str">
        <f t="shared" si="82"/>
        <v>Frank</v>
      </c>
      <c r="N604">
        <v>30</v>
      </c>
      <c r="O604">
        <f t="shared" si="83"/>
        <v>30</v>
      </c>
      <c r="P604" t="s">
        <v>30</v>
      </c>
      <c r="Q604">
        <f t="shared" si="84"/>
        <v>60000</v>
      </c>
      <c r="R604" t="str">
        <f t="shared" si="85"/>
        <v>Female</v>
      </c>
      <c r="S604" t="str">
        <f t="shared" si="86"/>
        <v>Finance</v>
      </c>
      <c r="T604" t="str">
        <f t="shared" si="87"/>
        <v>Manager</v>
      </c>
      <c r="U604" s="2">
        <v>43800</v>
      </c>
      <c r="V604" t="s">
        <v>20</v>
      </c>
      <c r="W604" t="s">
        <v>53</v>
      </c>
      <c r="X604" t="str">
        <f t="shared" si="88"/>
        <v>name@company/org</v>
      </c>
      <c r="Y604" t="str">
        <f t="shared" si="89"/>
        <v>name@company.org</v>
      </c>
      <c r="Z604" t="str">
        <f t="shared" si="81"/>
        <v>098-765-4321</v>
      </c>
    </row>
    <row r="605" spans="1:26" x14ac:dyDescent="0.25">
      <c r="A605" t="s">
        <v>34</v>
      </c>
      <c r="B605">
        <v>50</v>
      </c>
      <c r="C605">
        <v>50000</v>
      </c>
      <c r="D605" t="s">
        <v>11</v>
      </c>
      <c r="E605" t="s">
        <v>23</v>
      </c>
      <c r="F605" t="s">
        <v>38</v>
      </c>
      <c r="G605" s="2">
        <v>43845</v>
      </c>
      <c r="H605" t="s">
        <v>28</v>
      </c>
      <c r="I605" t="s">
        <v>52</v>
      </c>
      <c r="J605" t="s">
        <v>25</v>
      </c>
      <c r="M605" t="str">
        <f t="shared" si="82"/>
        <v>Charlie</v>
      </c>
      <c r="N605">
        <v>50</v>
      </c>
      <c r="O605">
        <f t="shared" si="83"/>
        <v>50</v>
      </c>
      <c r="P605">
        <v>50000</v>
      </c>
      <c r="Q605">
        <f t="shared" si="84"/>
        <v>50000</v>
      </c>
      <c r="R605" t="str">
        <f t="shared" si="85"/>
        <v>Male</v>
      </c>
      <c r="S605" t="str">
        <f t="shared" si="86"/>
        <v>Sales</v>
      </c>
      <c r="T605" t="str">
        <f t="shared" si="87"/>
        <v>Analyst</v>
      </c>
      <c r="U605" s="2">
        <v>43845</v>
      </c>
      <c r="V605" t="s">
        <v>28</v>
      </c>
      <c r="W605" t="s">
        <v>52</v>
      </c>
      <c r="X605" t="str">
        <f t="shared" si="88"/>
        <v>user@domain/com</v>
      </c>
      <c r="Y605" t="str">
        <f t="shared" si="89"/>
        <v>user@domain.com</v>
      </c>
      <c r="Z605" t="str">
        <f t="shared" si="81"/>
        <v>098-765-4321</v>
      </c>
    </row>
    <row r="606" spans="1:26" x14ac:dyDescent="0.25">
      <c r="A606" t="s">
        <v>10</v>
      </c>
      <c r="B606">
        <v>25</v>
      </c>
      <c r="C606">
        <v>70000</v>
      </c>
      <c r="D606" t="s">
        <v>32</v>
      </c>
      <c r="E606" t="s">
        <v>12</v>
      </c>
      <c r="F606" t="s">
        <v>19</v>
      </c>
      <c r="G606" s="2">
        <v>43881</v>
      </c>
      <c r="H606" t="s">
        <v>36</v>
      </c>
      <c r="J606" t="s">
        <v>25</v>
      </c>
      <c r="M606" t="str">
        <f t="shared" si="82"/>
        <v>Grace</v>
      </c>
      <c r="N606">
        <v>25</v>
      </c>
      <c r="O606">
        <f t="shared" si="83"/>
        <v>25</v>
      </c>
      <c r="P606">
        <v>70000</v>
      </c>
      <c r="Q606">
        <f t="shared" si="84"/>
        <v>70000</v>
      </c>
      <c r="R606" t="str">
        <f t="shared" si="85"/>
        <v>Other</v>
      </c>
      <c r="S606" t="str">
        <f t="shared" si="86"/>
        <v>HR</v>
      </c>
      <c r="T606" t="str">
        <f t="shared" si="87"/>
        <v>Director</v>
      </c>
      <c r="U606" s="2">
        <v>43881</v>
      </c>
      <c r="V606" t="s">
        <v>36</v>
      </c>
      <c r="X606" t="str">
        <f t="shared" si="88"/>
        <v>Email not provided</v>
      </c>
      <c r="Y606" t="str">
        <f t="shared" si="89"/>
        <v>Email not provided</v>
      </c>
      <c r="Z606" t="str">
        <f t="shared" si="81"/>
        <v>098-765-4321</v>
      </c>
    </row>
    <row r="607" spans="1:26" x14ac:dyDescent="0.25">
      <c r="A607" t="s">
        <v>43</v>
      </c>
      <c r="B607">
        <v>50</v>
      </c>
      <c r="C607">
        <v>60000</v>
      </c>
      <c r="D607" t="s">
        <v>32</v>
      </c>
      <c r="E607" t="s">
        <v>27</v>
      </c>
      <c r="F607" t="s">
        <v>19</v>
      </c>
      <c r="G607" s="2">
        <v>43845</v>
      </c>
      <c r="H607" t="s">
        <v>24</v>
      </c>
      <c r="I607" t="s">
        <v>53</v>
      </c>
      <c r="J607" t="s">
        <v>25</v>
      </c>
      <c r="M607" t="str">
        <f t="shared" si="82"/>
        <v>Ivy</v>
      </c>
      <c r="N607">
        <v>50</v>
      </c>
      <c r="O607">
        <f t="shared" si="83"/>
        <v>50</v>
      </c>
      <c r="P607">
        <v>60000</v>
      </c>
      <c r="Q607">
        <f t="shared" si="84"/>
        <v>60000</v>
      </c>
      <c r="R607" t="str">
        <f t="shared" si="85"/>
        <v>Other</v>
      </c>
      <c r="S607" t="str">
        <f t="shared" si="86"/>
        <v>IT</v>
      </c>
      <c r="T607" t="str">
        <f t="shared" si="87"/>
        <v>Director</v>
      </c>
      <c r="U607" s="2">
        <v>43845</v>
      </c>
      <c r="V607" t="s">
        <v>24</v>
      </c>
      <c r="W607" t="s">
        <v>53</v>
      </c>
      <c r="X607" t="str">
        <f t="shared" si="88"/>
        <v>name@company/org</v>
      </c>
      <c r="Y607" t="str">
        <f t="shared" si="89"/>
        <v>name@company.org</v>
      </c>
      <c r="Z607" t="str">
        <f t="shared" si="81"/>
        <v>098-765-4321</v>
      </c>
    </row>
    <row r="608" spans="1:26" x14ac:dyDescent="0.25">
      <c r="A608" t="s">
        <v>31</v>
      </c>
      <c r="B608">
        <v>30</v>
      </c>
      <c r="C608">
        <v>55000</v>
      </c>
      <c r="D608" t="s">
        <v>17</v>
      </c>
      <c r="E608" t="s">
        <v>23</v>
      </c>
      <c r="F608" t="s">
        <v>13</v>
      </c>
      <c r="G608" s="1">
        <v>43195</v>
      </c>
      <c r="H608" t="s">
        <v>14</v>
      </c>
      <c r="I608" t="s">
        <v>53</v>
      </c>
      <c r="J608" t="s">
        <v>21</v>
      </c>
      <c r="M608" t="str">
        <f t="shared" si="82"/>
        <v>Jack</v>
      </c>
      <c r="N608">
        <v>30</v>
      </c>
      <c r="O608">
        <f t="shared" si="83"/>
        <v>30</v>
      </c>
      <c r="P608">
        <v>55000</v>
      </c>
      <c r="Q608">
        <f t="shared" si="84"/>
        <v>55000</v>
      </c>
      <c r="R608" t="str">
        <f t="shared" si="85"/>
        <v>Female</v>
      </c>
      <c r="S608" t="str">
        <f t="shared" si="86"/>
        <v>Sales</v>
      </c>
      <c r="T608" t="str">
        <f t="shared" si="87"/>
        <v>Manager</v>
      </c>
      <c r="U608" s="2">
        <v>43195</v>
      </c>
      <c r="V608" t="s">
        <v>14</v>
      </c>
      <c r="W608" t="s">
        <v>53</v>
      </c>
      <c r="X608" t="str">
        <f t="shared" si="88"/>
        <v>name@company/org</v>
      </c>
      <c r="Y608" t="str">
        <f t="shared" si="89"/>
        <v>name@company.org</v>
      </c>
      <c r="Z608" t="str">
        <f t="shared" si="81"/>
        <v>123-456-7890</v>
      </c>
    </row>
    <row r="609" spans="1:26" x14ac:dyDescent="0.25">
      <c r="A609" t="s">
        <v>22</v>
      </c>
      <c r="B609">
        <v>35</v>
      </c>
      <c r="C609" t="s">
        <v>30</v>
      </c>
      <c r="D609" t="s">
        <v>17</v>
      </c>
      <c r="E609" t="s">
        <v>23</v>
      </c>
      <c r="F609" t="s">
        <v>37</v>
      </c>
      <c r="G609" s="2">
        <v>43845</v>
      </c>
      <c r="H609" t="s">
        <v>14</v>
      </c>
      <c r="I609" t="s">
        <v>52</v>
      </c>
      <c r="J609" t="s">
        <v>29</v>
      </c>
      <c r="M609" t="str">
        <f t="shared" si="82"/>
        <v>Hannah</v>
      </c>
      <c r="N609">
        <v>35</v>
      </c>
      <c r="O609">
        <f t="shared" si="83"/>
        <v>35</v>
      </c>
      <c r="P609" t="s">
        <v>30</v>
      </c>
      <c r="Q609">
        <f t="shared" si="84"/>
        <v>60000</v>
      </c>
      <c r="R609" t="str">
        <f t="shared" si="85"/>
        <v>Female</v>
      </c>
      <c r="S609" t="str">
        <f t="shared" si="86"/>
        <v>Sales</v>
      </c>
      <c r="T609" t="str">
        <f t="shared" si="87"/>
        <v>Assistant</v>
      </c>
      <c r="U609" s="2">
        <v>43845</v>
      </c>
      <c r="V609" t="s">
        <v>14</v>
      </c>
      <c r="W609" t="s">
        <v>52</v>
      </c>
      <c r="X609" t="str">
        <f t="shared" si="88"/>
        <v>user@domain/com</v>
      </c>
      <c r="Y609" t="str">
        <f t="shared" si="89"/>
        <v>user@domain.com</v>
      </c>
      <c r="Z609" t="str">
        <f t="shared" si="81"/>
        <v>Phone not provided</v>
      </c>
    </row>
    <row r="610" spans="1:26" x14ac:dyDescent="0.25">
      <c r="A610" t="s">
        <v>40</v>
      </c>
      <c r="B610">
        <v>30</v>
      </c>
      <c r="C610">
        <v>50000</v>
      </c>
      <c r="D610" t="s">
        <v>11</v>
      </c>
      <c r="E610" t="s">
        <v>12</v>
      </c>
      <c r="F610" t="s">
        <v>38</v>
      </c>
      <c r="G610" s="1">
        <v>43195</v>
      </c>
      <c r="H610" t="s">
        <v>24</v>
      </c>
      <c r="I610" t="s">
        <v>15</v>
      </c>
      <c r="J610" t="s">
        <v>15</v>
      </c>
      <c r="M610" t="str">
        <f t="shared" si="82"/>
        <v>Frank</v>
      </c>
      <c r="N610">
        <v>30</v>
      </c>
      <c r="O610">
        <f t="shared" si="83"/>
        <v>30</v>
      </c>
      <c r="P610">
        <v>50000</v>
      </c>
      <c r="Q610">
        <f t="shared" si="84"/>
        <v>50000</v>
      </c>
      <c r="R610" t="str">
        <f t="shared" si="85"/>
        <v>Male</v>
      </c>
      <c r="S610" t="str">
        <f t="shared" si="86"/>
        <v>HR</v>
      </c>
      <c r="T610" t="str">
        <f t="shared" si="87"/>
        <v>Analyst</v>
      </c>
      <c r="U610" s="2">
        <v>43195</v>
      </c>
      <c r="V610" t="s">
        <v>24</v>
      </c>
      <c r="W610" t="s">
        <v>15</v>
      </c>
      <c r="X610" t="str">
        <f t="shared" si="88"/>
        <v>Email not provided</v>
      </c>
      <c r="Y610" t="str">
        <f t="shared" si="89"/>
        <v>Email not provided</v>
      </c>
      <c r="Z610" t="str">
        <f t="shared" si="81"/>
        <v>Phone not provided</v>
      </c>
    </row>
    <row r="611" spans="1:26" x14ac:dyDescent="0.25">
      <c r="A611" t="s">
        <v>22</v>
      </c>
      <c r="B611">
        <v>30</v>
      </c>
      <c r="C611">
        <v>65000</v>
      </c>
      <c r="D611" t="s">
        <v>17</v>
      </c>
      <c r="E611" t="s">
        <v>23</v>
      </c>
      <c r="F611" t="s">
        <v>35</v>
      </c>
      <c r="G611" s="2">
        <v>43845</v>
      </c>
      <c r="H611" t="s">
        <v>28</v>
      </c>
      <c r="I611" t="s">
        <v>53</v>
      </c>
      <c r="J611" t="s">
        <v>29</v>
      </c>
      <c r="M611" t="str">
        <f t="shared" si="82"/>
        <v>Hannah</v>
      </c>
      <c r="N611">
        <v>30</v>
      </c>
      <c r="O611">
        <f t="shared" si="83"/>
        <v>30</v>
      </c>
      <c r="P611">
        <v>65000</v>
      </c>
      <c r="Q611">
        <f t="shared" si="84"/>
        <v>65000</v>
      </c>
      <c r="R611" t="str">
        <f t="shared" si="85"/>
        <v>Female</v>
      </c>
      <c r="S611" t="str">
        <f t="shared" si="86"/>
        <v>Sales</v>
      </c>
      <c r="T611" t="str">
        <f t="shared" si="87"/>
        <v>Clerk</v>
      </c>
      <c r="U611" s="2">
        <v>43845</v>
      </c>
      <c r="V611" t="s">
        <v>28</v>
      </c>
      <c r="W611" t="s">
        <v>53</v>
      </c>
      <c r="X611" t="str">
        <f t="shared" si="88"/>
        <v>name@company/org</v>
      </c>
      <c r="Y611" t="str">
        <f t="shared" si="89"/>
        <v>name@company.org</v>
      </c>
      <c r="Z611" t="str">
        <f t="shared" si="81"/>
        <v>Phone not provided</v>
      </c>
    </row>
    <row r="612" spans="1:26" x14ac:dyDescent="0.25">
      <c r="A612" t="s">
        <v>26</v>
      </c>
      <c r="B612">
        <v>50</v>
      </c>
      <c r="C612">
        <v>50000</v>
      </c>
      <c r="D612" t="s">
        <v>32</v>
      </c>
      <c r="E612" t="s">
        <v>23</v>
      </c>
      <c r="F612" t="s">
        <v>35</v>
      </c>
      <c r="G612" s="2">
        <v>43845</v>
      </c>
      <c r="H612" t="s">
        <v>24</v>
      </c>
      <c r="I612" t="s">
        <v>51</v>
      </c>
      <c r="J612" t="s">
        <v>21</v>
      </c>
      <c r="M612" t="str">
        <f t="shared" si="82"/>
        <v>Eve</v>
      </c>
      <c r="N612">
        <v>50</v>
      </c>
      <c r="O612">
        <f t="shared" si="83"/>
        <v>50</v>
      </c>
      <c r="P612">
        <v>50000</v>
      </c>
      <c r="Q612">
        <f t="shared" si="84"/>
        <v>50000</v>
      </c>
      <c r="R612" t="str">
        <f t="shared" si="85"/>
        <v>Other</v>
      </c>
      <c r="S612" t="str">
        <f t="shared" si="86"/>
        <v>Sales</v>
      </c>
      <c r="T612" t="str">
        <f t="shared" si="87"/>
        <v>Clerk</v>
      </c>
      <c r="U612" s="2">
        <v>43845</v>
      </c>
      <c r="V612" t="s">
        <v>24</v>
      </c>
      <c r="W612" t="s">
        <v>51</v>
      </c>
      <c r="X612" t="str">
        <f t="shared" si="88"/>
        <v>email@example/com</v>
      </c>
      <c r="Y612" t="str">
        <f t="shared" si="89"/>
        <v>email@example.com</v>
      </c>
      <c r="Z612" t="str">
        <f t="shared" si="81"/>
        <v>123-456-7890</v>
      </c>
    </row>
    <row r="613" spans="1:26" x14ac:dyDescent="0.25">
      <c r="A613" t="s">
        <v>22</v>
      </c>
      <c r="B613">
        <v>40</v>
      </c>
      <c r="C613">
        <v>55000</v>
      </c>
      <c r="D613" t="s">
        <v>32</v>
      </c>
      <c r="E613" t="s">
        <v>23</v>
      </c>
      <c r="F613" t="s">
        <v>13</v>
      </c>
      <c r="G613" s="2">
        <v>43800</v>
      </c>
      <c r="H613" t="s">
        <v>28</v>
      </c>
      <c r="I613" t="s">
        <v>51</v>
      </c>
      <c r="J613" t="s">
        <v>21</v>
      </c>
      <c r="M613" t="str">
        <f t="shared" si="82"/>
        <v>Hannah</v>
      </c>
      <c r="N613">
        <v>40</v>
      </c>
      <c r="O613">
        <f t="shared" si="83"/>
        <v>40</v>
      </c>
      <c r="P613">
        <v>55000</v>
      </c>
      <c r="Q613">
        <f t="shared" si="84"/>
        <v>55000</v>
      </c>
      <c r="R613" t="str">
        <f t="shared" si="85"/>
        <v>Other</v>
      </c>
      <c r="S613" t="str">
        <f t="shared" si="86"/>
        <v>Sales</v>
      </c>
      <c r="T613" t="str">
        <f t="shared" si="87"/>
        <v>Manager</v>
      </c>
      <c r="U613" s="2">
        <v>43800</v>
      </c>
      <c r="V613" t="s">
        <v>28</v>
      </c>
      <c r="W613" t="s">
        <v>51</v>
      </c>
      <c r="X613" t="str">
        <f t="shared" si="88"/>
        <v>email@example/com</v>
      </c>
      <c r="Y613" t="str">
        <f t="shared" si="89"/>
        <v>email@example.com</v>
      </c>
      <c r="Z613" t="str">
        <f t="shared" si="81"/>
        <v>123-456-7890</v>
      </c>
    </row>
    <row r="614" spans="1:26" x14ac:dyDescent="0.25">
      <c r="A614" t="s">
        <v>31</v>
      </c>
      <c r="B614" t="s">
        <v>15</v>
      </c>
      <c r="C614">
        <v>70000</v>
      </c>
      <c r="D614" t="s">
        <v>17</v>
      </c>
      <c r="E614" t="s">
        <v>27</v>
      </c>
      <c r="F614" t="s">
        <v>38</v>
      </c>
      <c r="G614" s="2">
        <v>43881</v>
      </c>
      <c r="H614" t="s">
        <v>36</v>
      </c>
      <c r="I614" t="s">
        <v>15</v>
      </c>
      <c r="J614" t="s">
        <v>21</v>
      </c>
      <c r="M614" t="str">
        <f t="shared" si="82"/>
        <v>Jack</v>
      </c>
      <c r="N614" t="s">
        <v>15</v>
      </c>
      <c r="O614">
        <f t="shared" si="83"/>
        <v>35</v>
      </c>
      <c r="P614">
        <v>70000</v>
      </c>
      <c r="Q614">
        <f t="shared" si="84"/>
        <v>70000</v>
      </c>
      <c r="R614" t="str">
        <f t="shared" si="85"/>
        <v>Female</v>
      </c>
      <c r="S614" t="str">
        <f t="shared" si="86"/>
        <v>IT</v>
      </c>
      <c r="T614" t="str">
        <f t="shared" si="87"/>
        <v>Analyst</v>
      </c>
      <c r="U614" s="2">
        <v>43881</v>
      </c>
      <c r="V614" t="s">
        <v>36</v>
      </c>
      <c r="W614" t="s">
        <v>15</v>
      </c>
      <c r="X614" t="str">
        <f t="shared" si="88"/>
        <v>Email not provided</v>
      </c>
      <c r="Y614" t="str">
        <f t="shared" si="89"/>
        <v>Email not provided</v>
      </c>
      <c r="Z614" t="str">
        <f t="shared" si="81"/>
        <v>123-456-7890</v>
      </c>
    </row>
    <row r="615" spans="1:26" x14ac:dyDescent="0.25">
      <c r="A615" t="s">
        <v>16</v>
      </c>
      <c r="B615" t="s">
        <v>15</v>
      </c>
      <c r="C615">
        <v>70000</v>
      </c>
      <c r="D615" t="s">
        <v>17</v>
      </c>
      <c r="E615" t="s">
        <v>12</v>
      </c>
      <c r="F615" t="s">
        <v>38</v>
      </c>
      <c r="G615" s="2">
        <v>43881</v>
      </c>
      <c r="H615" t="s">
        <v>24</v>
      </c>
      <c r="J615" t="s">
        <v>21</v>
      </c>
      <c r="M615" t="str">
        <f t="shared" si="82"/>
        <v>David</v>
      </c>
      <c r="N615" t="s">
        <v>15</v>
      </c>
      <c r="O615">
        <f t="shared" si="83"/>
        <v>35</v>
      </c>
      <c r="P615">
        <v>70000</v>
      </c>
      <c r="Q615">
        <f t="shared" si="84"/>
        <v>70000</v>
      </c>
      <c r="R615" t="str">
        <f t="shared" si="85"/>
        <v>Female</v>
      </c>
      <c r="S615" t="str">
        <f t="shared" si="86"/>
        <v>HR</v>
      </c>
      <c r="T615" t="str">
        <f t="shared" si="87"/>
        <v>Analyst</v>
      </c>
      <c r="U615" s="2">
        <v>43881</v>
      </c>
      <c r="V615" t="s">
        <v>24</v>
      </c>
      <c r="X615" t="str">
        <f t="shared" si="88"/>
        <v>Email not provided</v>
      </c>
      <c r="Y615" t="str">
        <f t="shared" si="89"/>
        <v>Email not provided</v>
      </c>
      <c r="Z615" t="str">
        <f t="shared" si="81"/>
        <v>123-456-7890</v>
      </c>
    </row>
    <row r="616" spans="1:26" x14ac:dyDescent="0.25">
      <c r="A616" t="s">
        <v>31</v>
      </c>
      <c r="B616">
        <v>35</v>
      </c>
      <c r="C616" t="s">
        <v>30</v>
      </c>
      <c r="D616" t="s">
        <v>17</v>
      </c>
      <c r="E616" t="s">
        <v>23</v>
      </c>
      <c r="F616" t="s">
        <v>13</v>
      </c>
      <c r="G616" s="2">
        <v>43549</v>
      </c>
      <c r="H616" t="s">
        <v>28</v>
      </c>
      <c r="I616" t="s">
        <v>52</v>
      </c>
      <c r="J616" t="s">
        <v>25</v>
      </c>
      <c r="M616" t="str">
        <f t="shared" si="82"/>
        <v>Jack</v>
      </c>
      <c r="N616">
        <v>35</v>
      </c>
      <c r="O616">
        <f t="shared" si="83"/>
        <v>35</v>
      </c>
      <c r="P616" t="s">
        <v>30</v>
      </c>
      <c r="Q616">
        <f t="shared" si="84"/>
        <v>60000</v>
      </c>
      <c r="R616" t="str">
        <f t="shared" si="85"/>
        <v>Female</v>
      </c>
      <c r="S616" t="str">
        <f t="shared" si="86"/>
        <v>Sales</v>
      </c>
      <c r="T616" t="str">
        <f t="shared" si="87"/>
        <v>Manager</v>
      </c>
      <c r="U616" s="2">
        <v>43549</v>
      </c>
      <c r="V616" t="s">
        <v>28</v>
      </c>
      <c r="W616" t="s">
        <v>52</v>
      </c>
      <c r="X616" t="str">
        <f t="shared" si="88"/>
        <v>user@domain/com</v>
      </c>
      <c r="Y616" t="str">
        <f t="shared" si="89"/>
        <v>user@domain.com</v>
      </c>
      <c r="Z616" t="str">
        <f t="shared" si="81"/>
        <v>098-765-4321</v>
      </c>
    </row>
    <row r="617" spans="1:26" x14ac:dyDescent="0.25">
      <c r="A617" t="s">
        <v>22</v>
      </c>
      <c r="B617">
        <v>35</v>
      </c>
      <c r="C617">
        <v>70000</v>
      </c>
      <c r="D617" t="s">
        <v>17</v>
      </c>
      <c r="E617" t="s">
        <v>23</v>
      </c>
      <c r="F617" t="s">
        <v>38</v>
      </c>
      <c r="G617" s="2">
        <v>43800</v>
      </c>
      <c r="H617" t="s">
        <v>36</v>
      </c>
      <c r="I617" t="s">
        <v>51</v>
      </c>
      <c r="J617" t="s">
        <v>29</v>
      </c>
      <c r="M617" t="str">
        <f t="shared" si="82"/>
        <v>Hannah</v>
      </c>
      <c r="N617">
        <v>35</v>
      </c>
      <c r="O617">
        <f t="shared" si="83"/>
        <v>35</v>
      </c>
      <c r="P617">
        <v>70000</v>
      </c>
      <c r="Q617">
        <f t="shared" si="84"/>
        <v>70000</v>
      </c>
      <c r="R617" t="str">
        <f t="shared" si="85"/>
        <v>Female</v>
      </c>
      <c r="S617" t="str">
        <f t="shared" si="86"/>
        <v>Sales</v>
      </c>
      <c r="T617" t="str">
        <f t="shared" si="87"/>
        <v>Analyst</v>
      </c>
      <c r="U617" s="2">
        <v>43800</v>
      </c>
      <c r="V617" t="s">
        <v>36</v>
      </c>
      <c r="W617" t="s">
        <v>51</v>
      </c>
      <c r="X617" t="str">
        <f t="shared" si="88"/>
        <v>email@example/com</v>
      </c>
      <c r="Y617" t="str">
        <f t="shared" si="89"/>
        <v>email@example.com</v>
      </c>
      <c r="Z617" t="str">
        <f t="shared" si="81"/>
        <v>Phone not provided</v>
      </c>
    </row>
    <row r="618" spans="1:26" x14ac:dyDescent="0.25">
      <c r="A618" t="s">
        <v>31</v>
      </c>
      <c r="B618" t="s">
        <v>15</v>
      </c>
      <c r="C618" t="s">
        <v>30</v>
      </c>
      <c r="D618" t="s">
        <v>11</v>
      </c>
      <c r="E618" t="s">
        <v>27</v>
      </c>
      <c r="F618" t="s">
        <v>37</v>
      </c>
      <c r="G618" s="2">
        <v>43800</v>
      </c>
      <c r="H618" t="s">
        <v>24</v>
      </c>
      <c r="I618" t="s">
        <v>51</v>
      </c>
      <c r="J618" t="s">
        <v>39</v>
      </c>
      <c r="M618" t="str">
        <f t="shared" si="82"/>
        <v>Jack</v>
      </c>
      <c r="N618" t="s">
        <v>15</v>
      </c>
      <c r="O618">
        <f t="shared" si="83"/>
        <v>35</v>
      </c>
      <c r="P618" t="s">
        <v>30</v>
      </c>
      <c r="Q618">
        <f t="shared" si="84"/>
        <v>60000</v>
      </c>
      <c r="R618" t="str">
        <f t="shared" si="85"/>
        <v>Male</v>
      </c>
      <c r="S618" t="str">
        <f t="shared" si="86"/>
        <v>IT</v>
      </c>
      <c r="T618" t="str">
        <f t="shared" si="87"/>
        <v>Assistant</v>
      </c>
      <c r="U618" s="2">
        <v>43800</v>
      </c>
      <c r="V618" t="s">
        <v>24</v>
      </c>
      <c r="W618" t="s">
        <v>51</v>
      </c>
      <c r="X618" t="str">
        <f t="shared" si="88"/>
        <v>email@example/com</v>
      </c>
      <c r="Y618" t="str">
        <f t="shared" si="89"/>
        <v>email@example.com</v>
      </c>
      <c r="Z618" t="str">
        <f t="shared" si="81"/>
        <v>555-555-5555</v>
      </c>
    </row>
    <row r="619" spans="1:26" x14ac:dyDescent="0.25">
      <c r="A619" t="s">
        <v>41</v>
      </c>
      <c r="B619">
        <v>40</v>
      </c>
      <c r="C619" t="s">
        <v>30</v>
      </c>
      <c r="D619" t="s">
        <v>17</v>
      </c>
      <c r="E619" t="s">
        <v>12</v>
      </c>
      <c r="F619" t="s">
        <v>13</v>
      </c>
      <c r="G619" s="2">
        <v>43881</v>
      </c>
      <c r="H619" t="s">
        <v>14</v>
      </c>
      <c r="I619" t="s">
        <v>15</v>
      </c>
      <c r="J619" t="s">
        <v>15</v>
      </c>
      <c r="M619" t="str">
        <f t="shared" si="82"/>
        <v>Bob</v>
      </c>
      <c r="N619">
        <v>40</v>
      </c>
      <c r="O619">
        <f t="shared" si="83"/>
        <v>40</v>
      </c>
      <c r="P619" t="s">
        <v>30</v>
      </c>
      <c r="Q619">
        <f t="shared" si="84"/>
        <v>60000</v>
      </c>
      <c r="R619" t="str">
        <f t="shared" si="85"/>
        <v>Female</v>
      </c>
      <c r="S619" t="str">
        <f t="shared" si="86"/>
        <v>HR</v>
      </c>
      <c r="T619" t="str">
        <f t="shared" si="87"/>
        <v>Manager</v>
      </c>
      <c r="U619" s="2">
        <v>43881</v>
      </c>
      <c r="V619" t="s">
        <v>14</v>
      </c>
      <c r="W619" t="s">
        <v>15</v>
      </c>
      <c r="X619" t="str">
        <f t="shared" si="88"/>
        <v>Email not provided</v>
      </c>
      <c r="Y619" t="str">
        <f t="shared" si="89"/>
        <v>Email not provided</v>
      </c>
      <c r="Z619" t="str">
        <f t="shared" si="81"/>
        <v>Phone not provided</v>
      </c>
    </row>
    <row r="620" spans="1:26" x14ac:dyDescent="0.25">
      <c r="A620" t="s">
        <v>26</v>
      </c>
      <c r="B620" t="s">
        <v>15</v>
      </c>
      <c r="C620" t="s">
        <v>30</v>
      </c>
      <c r="D620" t="s">
        <v>11</v>
      </c>
      <c r="E620" t="s">
        <v>18</v>
      </c>
      <c r="F620" t="s">
        <v>37</v>
      </c>
      <c r="G620" s="2">
        <v>43800</v>
      </c>
      <c r="H620" t="s">
        <v>24</v>
      </c>
      <c r="J620" t="s">
        <v>21</v>
      </c>
      <c r="M620" t="str">
        <f t="shared" si="82"/>
        <v>Eve</v>
      </c>
      <c r="N620" t="s">
        <v>15</v>
      </c>
      <c r="O620">
        <f t="shared" si="83"/>
        <v>35</v>
      </c>
      <c r="P620" t="s">
        <v>30</v>
      </c>
      <c r="Q620">
        <f t="shared" si="84"/>
        <v>60000</v>
      </c>
      <c r="R620" t="str">
        <f t="shared" si="85"/>
        <v>Male</v>
      </c>
      <c r="S620" t="str">
        <f t="shared" si="86"/>
        <v>Finance</v>
      </c>
      <c r="T620" t="str">
        <f t="shared" si="87"/>
        <v>Assistant</v>
      </c>
      <c r="U620" s="2">
        <v>43800</v>
      </c>
      <c r="V620" t="s">
        <v>24</v>
      </c>
      <c r="X620" t="str">
        <f t="shared" si="88"/>
        <v>Email not provided</v>
      </c>
      <c r="Y620" t="str">
        <f t="shared" si="89"/>
        <v>Email not provided</v>
      </c>
      <c r="Z620" t="str">
        <f t="shared" si="81"/>
        <v>123-456-7890</v>
      </c>
    </row>
    <row r="621" spans="1:26" x14ac:dyDescent="0.25">
      <c r="A621" t="s">
        <v>43</v>
      </c>
      <c r="B621">
        <v>40</v>
      </c>
      <c r="C621">
        <v>65000</v>
      </c>
      <c r="D621" t="s">
        <v>32</v>
      </c>
      <c r="E621" t="s">
        <v>27</v>
      </c>
      <c r="F621" t="s">
        <v>38</v>
      </c>
      <c r="G621" s="2">
        <v>43881</v>
      </c>
      <c r="H621" t="s">
        <v>20</v>
      </c>
      <c r="J621" t="s">
        <v>29</v>
      </c>
      <c r="M621" t="str">
        <f t="shared" si="82"/>
        <v>Ivy</v>
      </c>
      <c r="N621">
        <v>40</v>
      </c>
      <c r="O621">
        <f t="shared" si="83"/>
        <v>40</v>
      </c>
      <c r="P621">
        <v>65000</v>
      </c>
      <c r="Q621">
        <f t="shared" si="84"/>
        <v>65000</v>
      </c>
      <c r="R621" t="str">
        <f t="shared" si="85"/>
        <v>Other</v>
      </c>
      <c r="S621" t="str">
        <f t="shared" si="86"/>
        <v>IT</v>
      </c>
      <c r="T621" t="str">
        <f t="shared" si="87"/>
        <v>Analyst</v>
      </c>
      <c r="U621" s="2">
        <v>43881</v>
      </c>
      <c r="V621" t="s">
        <v>20</v>
      </c>
      <c r="X621" t="str">
        <f t="shared" si="88"/>
        <v>Email not provided</v>
      </c>
      <c r="Y621" t="str">
        <f t="shared" si="89"/>
        <v>Email not provided</v>
      </c>
      <c r="Z621" t="str">
        <f t="shared" si="81"/>
        <v>Phone not provided</v>
      </c>
    </row>
    <row r="622" spans="1:26" x14ac:dyDescent="0.25">
      <c r="A622" t="s">
        <v>16</v>
      </c>
      <c r="B622">
        <v>35</v>
      </c>
      <c r="C622">
        <v>60000</v>
      </c>
      <c r="D622" t="s">
        <v>17</v>
      </c>
      <c r="E622" t="s">
        <v>12</v>
      </c>
      <c r="F622" t="s">
        <v>13</v>
      </c>
      <c r="G622" s="2">
        <v>43800</v>
      </c>
      <c r="H622" t="s">
        <v>24</v>
      </c>
      <c r="I622" t="s">
        <v>15</v>
      </c>
      <c r="J622" t="s">
        <v>21</v>
      </c>
      <c r="M622" t="str">
        <f t="shared" si="82"/>
        <v>David</v>
      </c>
      <c r="N622">
        <v>35</v>
      </c>
      <c r="O622">
        <f t="shared" si="83"/>
        <v>35</v>
      </c>
      <c r="P622">
        <v>60000</v>
      </c>
      <c r="Q622">
        <f t="shared" si="84"/>
        <v>60000</v>
      </c>
      <c r="R622" t="str">
        <f t="shared" si="85"/>
        <v>Female</v>
      </c>
      <c r="S622" t="str">
        <f t="shared" si="86"/>
        <v>HR</v>
      </c>
      <c r="T622" t="str">
        <f t="shared" si="87"/>
        <v>Manager</v>
      </c>
      <c r="U622" s="2">
        <v>43800</v>
      </c>
      <c r="V622" t="s">
        <v>24</v>
      </c>
      <c r="W622" t="s">
        <v>15</v>
      </c>
      <c r="X622" t="str">
        <f t="shared" si="88"/>
        <v>Email not provided</v>
      </c>
      <c r="Y622" t="str">
        <f t="shared" si="89"/>
        <v>Email not provided</v>
      </c>
      <c r="Z622" t="str">
        <f t="shared" si="81"/>
        <v>123-456-7890</v>
      </c>
    </row>
    <row r="623" spans="1:26" x14ac:dyDescent="0.25">
      <c r="A623" t="s">
        <v>40</v>
      </c>
      <c r="B623">
        <v>25</v>
      </c>
      <c r="C623" t="s">
        <v>30</v>
      </c>
      <c r="D623" t="s">
        <v>11</v>
      </c>
      <c r="E623" t="s">
        <v>23</v>
      </c>
      <c r="F623" t="s">
        <v>38</v>
      </c>
      <c r="G623" s="2">
        <v>43845</v>
      </c>
      <c r="H623" t="s">
        <v>20</v>
      </c>
      <c r="I623" t="s">
        <v>51</v>
      </c>
      <c r="J623" t="s">
        <v>21</v>
      </c>
      <c r="M623" t="str">
        <f t="shared" si="82"/>
        <v>Frank</v>
      </c>
      <c r="N623">
        <v>25</v>
      </c>
      <c r="O623">
        <f t="shared" si="83"/>
        <v>25</v>
      </c>
      <c r="P623" t="s">
        <v>30</v>
      </c>
      <c r="Q623">
        <f t="shared" si="84"/>
        <v>60000</v>
      </c>
      <c r="R623" t="str">
        <f t="shared" si="85"/>
        <v>Male</v>
      </c>
      <c r="S623" t="str">
        <f t="shared" si="86"/>
        <v>Sales</v>
      </c>
      <c r="T623" t="str">
        <f t="shared" si="87"/>
        <v>Analyst</v>
      </c>
      <c r="U623" s="2">
        <v>43845</v>
      </c>
      <c r="V623" t="s">
        <v>20</v>
      </c>
      <c r="W623" t="s">
        <v>51</v>
      </c>
      <c r="X623" t="str">
        <f t="shared" si="88"/>
        <v>email@example/com</v>
      </c>
      <c r="Y623" t="str">
        <f t="shared" si="89"/>
        <v>email@example.com</v>
      </c>
      <c r="Z623" t="str">
        <f t="shared" si="81"/>
        <v>123-456-7890</v>
      </c>
    </row>
    <row r="624" spans="1:26" x14ac:dyDescent="0.25">
      <c r="A624" t="s">
        <v>42</v>
      </c>
      <c r="B624">
        <v>50</v>
      </c>
      <c r="C624" t="s">
        <v>30</v>
      </c>
      <c r="D624" t="s">
        <v>17</v>
      </c>
      <c r="E624" t="s">
        <v>12</v>
      </c>
      <c r="F624" t="s">
        <v>13</v>
      </c>
      <c r="G624" s="2">
        <v>43881</v>
      </c>
      <c r="H624" t="s">
        <v>36</v>
      </c>
      <c r="I624" t="s">
        <v>52</v>
      </c>
      <c r="J624" t="s">
        <v>21</v>
      </c>
      <c r="M624" t="str">
        <f t="shared" si="82"/>
        <v>Alice</v>
      </c>
      <c r="N624">
        <v>50</v>
      </c>
      <c r="O624">
        <f t="shared" si="83"/>
        <v>50</v>
      </c>
      <c r="P624" t="s">
        <v>30</v>
      </c>
      <c r="Q624">
        <f t="shared" si="84"/>
        <v>60000</v>
      </c>
      <c r="R624" t="str">
        <f t="shared" si="85"/>
        <v>Female</v>
      </c>
      <c r="S624" t="str">
        <f t="shared" si="86"/>
        <v>HR</v>
      </c>
      <c r="T624" t="str">
        <f t="shared" si="87"/>
        <v>Manager</v>
      </c>
      <c r="U624" s="2">
        <v>43881</v>
      </c>
      <c r="V624" t="s">
        <v>36</v>
      </c>
      <c r="W624" t="s">
        <v>52</v>
      </c>
      <c r="X624" t="str">
        <f t="shared" si="88"/>
        <v>user@domain/com</v>
      </c>
      <c r="Y624" t="str">
        <f t="shared" si="89"/>
        <v>user@domain.com</v>
      </c>
      <c r="Z624" t="str">
        <f t="shared" si="81"/>
        <v>123-456-7890</v>
      </c>
    </row>
    <row r="625" spans="1:26" x14ac:dyDescent="0.25">
      <c r="A625" t="s">
        <v>43</v>
      </c>
      <c r="B625">
        <v>35</v>
      </c>
      <c r="C625">
        <v>60000</v>
      </c>
      <c r="D625" t="s">
        <v>32</v>
      </c>
      <c r="E625" t="s">
        <v>12</v>
      </c>
      <c r="F625" t="s">
        <v>38</v>
      </c>
      <c r="G625" s="2">
        <v>43881</v>
      </c>
      <c r="H625" t="s">
        <v>24</v>
      </c>
      <c r="I625" t="s">
        <v>51</v>
      </c>
      <c r="J625" t="s">
        <v>21</v>
      </c>
      <c r="M625" t="str">
        <f t="shared" si="82"/>
        <v>Ivy</v>
      </c>
      <c r="N625">
        <v>35</v>
      </c>
      <c r="O625">
        <f t="shared" si="83"/>
        <v>35</v>
      </c>
      <c r="P625">
        <v>60000</v>
      </c>
      <c r="Q625">
        <f t="shared" si="84"/>
        <v>60000</v>
      </c>
      <c r="R625" t="str">
        <f t="shared" si="85"/>
        <v>Other</v>
      </c>
      <c r="S625" t="str">
        <f t="shared" si="86"/>
        <v>HR</v>
      </c>
      <c r="T625" t="str">
        <f t="shared" si="87"/>
        <v>Analyst</v>
      </c>
      <c r="U625" s="2">
        <v>43881</v>
      </c>
      <c r="V625" t="s">
        <v>24</v>
      </c>
      <c r="W625" t="s">
        <v>51</v>
      </c>
      <c r="X625" t="str">
        <f t="shared" si="88"/>
        <v>email@example/com</v>
      </c>
      <c r="Y625" t="str">
        <f t="shared" si="89"/>
        <v>email@example.com</v>
      </c>
      <c r="Z625" t="str">
        <f t="shared" si="81"/>
        <v>123-456-7890</v>
      </c>
    </row>
    <row r="626" spans="1:26" x14ac:dyDescent="0.25">
      <c r="A626" t="s">
        <v>42</v>
      </c>
      <c r="B626">
        <v>35</v>
      </c>
      <c r="C626">
        <v>50000</v>
      </c>
      <c r="D626" t="s">
        <v>32</v>
      </c>
      <c r="E626" t="s">
        <v>12</v>
      </c>
      <c r="F626" t="s">
        <v>37</v>
      </c>
      <c r="G626" s="1">
        <v>43195</v>
      </c>
      <c r="H626" t="s">
        <v>36</v>
      </c>
      <c r="J626" t="s">
        <v>21</v>
      </c>
      <c r="M626" t="str">
        <f t="shared" si="82"/>
        <v>Alice</v>
      </c>
      <c r="N626">
        <v>35</v>
      </c>
      <c r="O626">
        <f t="shared" si="83"/>
        <v>35</v>
      </c>
      <c r="P626">
        <v>50000</v>
      </c>
      <c r="Q626">
        <f t="shared" si="84"/>
        <v>50000</v>
      </c>
      <c r="R626" t="str">
        <f t="shared" si="85"/>
        <v>Other</v>
      </c>
      <c r="S626" t="str">
        <f t="shared" si="86"/>
        <v>HR</v>
      </c>
      <c r="T626" t="str">
        <f t="shared" si="87"/>
        <v>Assistant</v>
      </c>
      <c r="U626" s="2">
        <v>43195</v>
      </c>
      <c r="V626" t="s">
        <v>36</v>
      </c>
      <c r="X626" t="str">
        <f t="shared" si="88"/>
        <v>Email not provided</v>
      </c>
      <c r="Y626" t="str">
        <f t="shared" si="89"/>
        <v>Email not provided</v>
      </c>
      <c r="Z626" t="str">
        <f t="shared" si="81"/>
        <v>123-456-7890</v>
      </c>
    </row>
    <row r="627" spans="1:26" x14ac:dyDescent="0.25">
      <c r="A627" t="s">
        <v>26</v>
      </c>
      <c r="B627">
        <v>30</v>
      </c>
      <c r="C627" t="s">
        <v>30</v>
      </c>
      <c r="D627" t="s">
        <v>32</v>
      </c>
      <c r="E627" t="s">
        <v>18</v>
      </c>
      <c r="F627" t="s">
        <v>37</v>
      </c>
      <c r="G627" s="2">
        <v>43800</v>
      </c>
      <c r="H627" t="s">
        <v>36</v>
      </c>
      <c r="I627" t="s">
        <v>51</v>
      </c>
      <c r="J627" t="s">
        <v>15</v>
      </c>
      <c r="M627" t="str">
        <f t="shared" si="82"/>
        <v>Eve</v>
      </c>
      <c r="N627">
        <v>30</v>
      </c>
      <c r="O627">
        <f t="shared" si="83"/>
        <v>30</v>
      </c>
      <c r="P627" t="s">
        <v>30</v>
      </c>
      <c r="Q627">
        <f t="shared" si="84"/>
        <v>60000</v>
      </c>
      <c r="R627" t="str">
        <f t="shared" si="85"/>
        <v>Other</v>
      </c>
      <c r="S627" t="str">
        <f t="shared" si="86"/>
        <v>Finance</v>
      </c>
      <c r="T627" t="str">
        <f t="shared" si="87"/>
        <v>Assistant</v>
      </c>
      <c r="U627" s="2">
        <v>43800</v>
      </c>
      <c r="V627" t="s">
        <v>36</v>
      </c>
      <c r="W627" t="s">
        <v>51</v>
      </c>
      <c r="X627" t="str">
        <f t="shared" si="88"/>
        <v>email@example/com</v>
      </c>
      <c r="Y627" t="str">
        <f t="shared" si="89"/>
        <v>email@example.com</v>
      </c>
      <c r="Z627" t="str">
        <f t="shared" si="81"/>
        <v>Phone not provided</v>
      </c>
    </row>
    <row r="628" spans="1:26" x14ac:dyDescent="0.25">
      <c r="A628" t="s">
        <v>16</v>
      </c>
      <c r="B628">
        <v>30</v>
      </c>
      <c r="C628">
        <v>65000</v>
      </c>
      <c r="D628" t="s">
        <v>17</v>
      </c>
      <c r="E628" t="s">
        <v>12</v>
      </c>
      <c r="F628" t="s">
        <v>38</v>
      </c>
      <c r="G628" s="2">
        <v>43800</v>
      </c>
      <c r="H628" t="s">
        <v>28</v>
      </c>
      <c r="I628" t="s">
        <v>52</v>
      </c>
      <c r="J628" t="s">
        <v>29</v>
      </c>
      <c r="M628" t="str">
        <f t="shared" si="82"/>
        <v>David</v>
      </c>
      <c r="N628">
        <v>30</v>
      </c>
      <c r="O628">
        <f t="shared" si="83"/>
        <v>30</v>
      </c>
      <c r="P628">
        <v>65000</v>
      </c>
      <c r="Q628">
        <f t="shared" si="84"/>
        <v>65000</v>
      </c>
      <c r="R628" t="str">
        <f t="shared" si="85"/>
        <v>Female</v>
      </c>
      <c r="S628" t="str">
        <f t="shared" si="86"/>
        <v>HR</v>
      </c>
      <c r="T628" t="str">
        <f t="shared" si="87"/>
        <v>Analyst</v>
      </c>
      <c r="U628" s="2">
        <v>43800</v>
      </c>
      <c r="V628" t="s">
        <v>28</v>
      </c>
      <c r="W628" t="s">
        <v>52</v>
      </c>
      <c r="X628" t="str">
        <f t="shared" si="88"/>
        <v>user@domain/com</v>
      </c>
      <c r="Y628" t="str">
        <f t="shared" si="89"/>
        <v>user@domain.com</v>
      </c>
      <c r="Z628" t="str">
        <f t="shared" si="81"/>
        <v>Phone not provided</v>
      </c>
    </row>
    <row r="629" spans="1:26" x14ac:dyDescent="0.25">
      <c r="A629" t="s">
        <v>34</v>
      </c>
      <c r="B629">
        <v>30</v>
      </c>
      <c r="C629">
        <v>70000</v>
      </c>
      <c r="D629" t="s">
        <v>17</v>
      </c>
      <c r="E629" t="s">
        <v>18</v>
      </c>
      <c r="F629" t="s">
        <v>13</v>
      </c>
      <c r="G629" s="2">
        <v>43881</v>
      </c>
      <c r="H629" t="s">
        <v>36</v>
      </c>
      <c r="I629" t="s">
        <v>53</v>
      </c>
      <c r="J629" t="s">
        <v>21</v>
      </c>
      <c r="M629" t="str">
        <f t="shared" si="82"/>
        <v>Charlie</v>
      </c>
      <c r="N629">
        <v>30</v>
      </c>
      <c r="O629">
        <f t="shared" si="83"/>
        <v>30</v>
      </c>
      <c r="P629">
        <v>70000</v>
      </c>
      <c r="Q629">
        <f t="shared" si="84"/>
        <v>70000</v>
      </c>
      <c r="R629" t="str">
        <f t="shared" si="85"/>
        <v>Female</v>
      </c>
      <c r="S629" t="str">
        <f t="shared" si="86"/>
        <v>Finance</v>
      </c>
      <c r="T629" t="str">
        <f t="shared" si="87"/>
        <v>Manager</v>
      </c>
      <c r="U629" s="2">
        <v>43881</v>
      </c>
      <c r="V629" t="s">
        <v>36</v>
      </c>
      <c r="W629" t="s">
        <v>53</v>
      </c>
      <c r="X629" t="str">
        <f t="shared" si="88"/>
        <v>name@company/org</v>
      </c>
      <c r="Y629" t="str">
        <f t="shared" si="89"/>
        <v>name@company.org</v>
      </c>
      <c r="Z629" t="str">
        <f t="shared" si="81"/>
        <v>123-456-7890</v>
      </c>
    </row>
    <row r="630" spans="1:26" x14ac:dyDescent="0.25">
      <c r="A630" t="s">
        <v>40</v>
      </c>
      <c r="B630">
        <v>50</v>
      </c>
      <c r="C630">
        <v>70000</v>
      </c>
      <c r="D630" t="s">
        <v>11</v>
      </c>
      <c r="E630" t="s">
        <v>23</v>
      </c>
      <c r="F630" t="s">
        <v>35</v>
      </c>
      <c r="G630" s="2">
        <v>43845</v>
      </c>
      <c r="H630" t="s">
        <v>36</v>
      </c>
      <c r="I630" t="s">
        <v>51</v>
      </c>
      <c r="J630" t="s">
        <v>21</v>
      </c>
      <c r="M630" t="str">
        <f t="shared" si="82"/>
        <v>Frank</v>
      </c>
      <c r="N630">
        <v>50</v>
      </c>
      <c r="O630">
        <f t="shared" si="83"/>
        <v>50</v>
      </c>
      <c r="P630">
        <v>70000</v>
      </c>
      <c r="Q630">
        <f t="shared" si="84"/>
        <v>70000</v>
      </c>
      <c r="R630" t="str">
        <f t="shared" si="85"/>
        <v>Male</v>
      </c>
      <c r="S630" t="str">
        <f t="shared" si="86"/>
        <v>Sales</v>
      </c>
      <c r="T630" t="str">
        <f t="shared" si="87"/>
        <v>Clerk</v>
      </c>
      <c r="U630" s="2">
        <v>43845</v>
      </c>
      <c r="V630" t="s">
        <v>36</v>
      </c>
      <c r="W630" t="s">
        <v>51</v>
      </c>
      <c r="X630" t="str">
        <f t="shared" si="88"/>
        <v>email@example/com</v>
      </c>
      <c r="Y630" t="str">
        <f t="shared" si="89"/>
        <v>email@example.com</v>
      </c>
      <c r="Z630" t="str">
        <f t="shared" si="81"/>
        <v>123-456-7890</v>
      </c>
    </row>
    <row r="631" spans="1:26" x14ac:dyDescent="0.25">
      <c r="A631" t="s">
        <v>41</v>
      </c>
      <c r="B631">
        <v>30</v>
      </c>
      <c r="C631">
        <v>55000</v>
      </c>
      <c r="D631" t="s">
        <v>32</v>
      </c>
      <c r="E631" t="s">
        <v>18</v>
      </c>
      <c r="F631" t="s">
        <v>37</v>
      </c>
      <c r="G631" s="2">
        <v>43845</v>
      </c>
      <c r="H631" t="s">
        <v>24</v>
      </c>
      <c r="I631" t="s">
        <v>15</v>
      </c>
      <c r="J631" t="s">
        <v>21</v>
      </c>
      <c r="M631" t="str">
        <f t="shared" si="82"/>
        <v>Bob</v>
      </c>
      <c r="N631">
        <v>30</v>
      </c>
      <c r="O631">
        <f t="shared" si="83"/>
        <v>30</v>
      </c>
      <c r="P631">
        <v>55000</v>
      </c>
      <c r="Q631">
        <f t="shared" si="84"/>
        <v>55000</v>
      </c>
      <c r="R631" t="str">
        <f t="shared" si="85"/>
        <v>Other</v>
      </c>
      <c r="S631" t="str">
        <f t="shared" si="86"/>
        <v>Finance</v>
      </c>
      <c r="T631" t="str">
        <f t="shared" si="87"/>
        <v>Assistant</v>
      </c>
      <c r="U631" s="2">
        <v>43845</v>
      </c>
      <c r="V631" t="s">
        <v>24</v>
      </c>
      <c r="W631" t="s">
        <v>15</v>
      </c>
      <c r="X631" t="str">
        <f t="shared" si="88"/>
        <v>Email not provided</v>
      </c>
      <c r="Y631" t="str">
        <f t="shared" si="89"/>
        <v>Email not provided</v>
      </c>
      <c r="Z631" t="str">
        <f t="shared" si="81"/>
        <v>123-456-7890</v>
      </c>
    </row>
    <row r="632" spans="1:26" x14ac:dyDescent="0.25">
      <c r="A632" t="s">
        <v>34</v>
      </c>
      <c r="B632">
        <v>40</v>
      </c>
      <c r="C632">
        <v>55000</v>
      </c>
      <c r="D632" t="s">
        <v>17</v>
      </c>
      <c r="E632" t="s">
        <v>23</v>
      </c>
      <c r="F632" t="s">
        <v>37</v>
      </c>
      <c r="G632" s="2">
        <v>43845</v>
      </c>
      <c r="H632" t="s">
        <v>24</v>
      </c>
      <c r="I632" t="s">
        <v>53</v>
      </c>
      <c r="J632" t="s">
        <v>21</v>
      </c>
      <c r="M632" t="str">
        <f t="shared" si="82"/>
        <v>Charlie</v>
      </c>
      <c r="N632">
        <v>40</v>
      </c>
      <c r="O632">
        <f t="shared" si="83"/>
        <v>40</v>
      </c>
      <c r="P632">
        <v>55000</v>
      </c>
      <c r="Q632">
        <f t="shared" si="84"/>
        <v>55000</v>
      </c>
      <c r="R632" t="str">
        <f t="shared" si="85"/>
        <v>Female</v>
      </c>
      <c r="S632" t="str">
        <f t="shared" si="86"/>
        <v>Sales</v>
      </c>
      <c r="T632" t="str">
        <f t="shared" si="87"/>
        <v>Assistant</v>
      </c>
      <c r="U632" s="2">
        <v>43845</v>
      </c>
      <c r="V632" t="s">
        <v>24</v>
      </c>
      <c r="W632" t="s">
        <v>53</v>
      </c>
      <c r="X632" t="str">
        <f t="shared" si="88"/>
        <v>name@company/org</v>
      </c>
      <c r="Y632" t="str">
        <f t="shared" si="89"/>
        <v>name@company.org</v>
      </c>
      <c r="Z632" t="str">
        <f t="shared" si="81"/>
        <v>123-456-7890</v>
      </c>
    </row>
    <row r="633" spans="1:26" x14ac:dyDescent="0.25">
      <c r="A633" t="s">
        <v>26</v>
      </c>
      <c r="B633" t="s">
        <v>15</v>
      </c>
      <c r="C633">
        <v>70000</v>
      </c>
      <c r="D633" t="s">
        <v>32</v>
      </c>
      <c r="E633" t="s">
        <v>23</v>
      </c>
      <c r="F633" t="s">
        <v>35</v>
      </c>
      <c r="G633" s="2">
        <v>43800</v>
      </c>
      <c r="H633" t="s">
        <v>14</v>
      </c>
      <c r="I633" t="s">
        <v>15</v>
      </c>
      <c r="J633" t="s">
        <v>25</v>
      </c>
      <c r="M633" t="str">
        <f t="shared" si="82"/>
        <v>Eve</v>
      </c>
      <c r="N633" t="s">
        <v>15</v>
      </c>
      <c r="O633">
        <f t="shared" si="83"/>
        <v>35</v>
      </c>
      <c r="P633">
        <v>70000</v>
      </c>
      <c r="Q633">
        <f t="shared" si="84"/>
        <v>70000</v>
      </c>
      <c r="R633" t="str">
        <f t="shared" si="85"/>
        <v>Other</v>
      </c>
      <c r="S633" t="str">
        <f t="shared" si="86"/>
        <v>Sales</v>
      </c>
      <c r="T633" t="str">
        <f t="shared" si="87"/>
        <v>Clerk</v>
      </c>
      <c r="U633" s="2">
        <v>43800</v>
      </c>
      <c r="V633" t="s">
        <v>14</v>
      </c>
      <c r="W633" t="s">
        <v>15</v>
      </c>
      <c r="X633" t="str">
        <f t="shared" si="88"/>
        <v>Email not provided</v>
      </c>
      <c r="Y633" t="str">
        <f t="shared" si="89"/>
        <v>Email not provided</v>
      </c>
      <c r="Z633" t="str">
        <f t="shared" si="81"/>
        <v>098-765-4321</v>
      </c>
    </row>
    <row r="634" spans="1:26" x14ac:dyDescent="0.25">
      <c r="A634" t="s">
        <v>43</v>
      </c>
      <c r="B634">
        <v>25</v>
      </c>
      <c r="C634">
        <v>70000</v>
      </c>
      <c r="D634" t="s">
        <v>32</v>
      </c>
      <c r="E634" t="s">
        <v>18</v>
      </c>
      <c r="F634" t="s">
        <v>38</v>
      </c>
      <c r="G634" s="1">
        <v>43195</v>
      </c>
      <c r="H634" t="s">
        <v>28</v>
      </c>
      <c r="I634" t="s">
        <v>15</v>
      </c>
      <c r="J634" t="s">
        <v>25</v>
      </c>
      <c r="M634" t="str">
        <f t="shared" si="82"/>
        <v>Ivy</v>
      </c>
      <c r="N634">
        <v>25</v>
      </c>
      <c r="O634">
        <f t="shared" si="83"/>
        <v>25</v>
      </c>
      <c r="P634">
        <v>70000</v>
      </c>
      <c r="Q634">
        <f t="shared" si="84"/>
        <v>70000</v>
      </c>
      <c r="R634" t="str">
        <f t="shared" si="85"/>
        <v>Other</v>
      </c>
      <c r="S634" t="str">
        <f t="shared" si="86"/>
        <v>Finance</v>
      </c>
      <c r="T634" t="str">
        <f t="shared" si="87"/>
        <v>Analyst</v>
      </c>
      <c r="U634" s="2">
        <v>43195</v>
      </c>
      <c r="V634" t="s">
        <v>28</v>
      </c>
      <c r="W634" t="s">
        <v>15</v>
      </c>
      <c r="X634" t="str">
        <f t="shared" si="88"/>
        <v>Email not provided</v>
      </c>
      <c r="Y634" t="str">
        <f t="shared" si="89"/>
        <v>Email not provided</v>
      </c>
      <c r="Z634" t="str">
        <f t="shared" si="81"/>
        <v>098-765-4321</v>
      </c>
    </row>
    <row r="635" spans="1:26" x14ac:dyDescent="0.25">
      <c r="A635" t="s">
        <v>41</v>
      </c>
      <c r="B635">
        <v>35</v>
      </c>
      <c r="C635">
        <v>65000</v>
      </c>
      <c r="D635" t="s">
        <v>11</v>
      </c>
      <c r="E635" t="s">
        <v>27</v>
      </c>
      <c r="F635" t="s">
        <v>13</v>
      </c>
      <c r="G635" s="2">
        <v>43881</v>
      </c>
      <c r="H635" t="s">
        <v>36</v>
      </c>
      <c r="I635" t="s">
        <v>15</v>
      </c>
      <c r="J635" t="s">
        <v>39</v>
      </c>
      <c r="M635" t="str">
        <f t="shared" si="82"/>
        <v>Bob</v>
      </c>
      <c r="N635">
        <v>35</v>
      </c>
      <c r="O635">
        <f t="shared" si="83"/>
        <v>35</v>
      </c>
      <c r="P635">
        <v>65000</v>
      </c>
      <c r="Q635">
        <f t="shared" si="84"/>
        <v>65000</v>
      </c>
      <c r="R635" t="str">
        <f t="shared" si="85"/>
        <v>Male</v>
      </c>
      <c r="S635" t="str">
        <f t="shared" si="86"/>
        <v>IT</v>
      </c>
      <c r="T635" t="str">
        <f t="shared" si="87"/>
        <v>Manager</v>
      </c>
      <c r="U635" s="2">
        <v>43881</v>
      </c>
      <c r="V635" t="s">
        <v>36</v>
      </c>
      <c r="W635" t="s">
        <v>15</v>
      </c>
      <c r="X635" t="str">
        <f t="shared" si="88"/>
        <v>Email not provided</v>
      </c>
      <c r="Y635" t="str">
        <f t="shared" si="89"/>
        <v>Email not provided</v>
      </c>
      <c r="Z635" t="str">
        <f t="shared" si="81"/>
        <v>555-555-5555</v>
      </c>
    </row>
    <row r="636" spans="1:26" x14ac:dyDescent="0.25">
      <c r="A636" t="s">
        <v>31</v>
      </c>
      <c r="B636">
        <v>40</v>
      </c>
      <c r="C636">
        <v>60000</v>
      </c>
      <c r="D636" t="s">
        <v>11</v>
      </c>
      <c r="E636" t="s">
        <v>33</v>
      </c>
      <c r="F636" t="s">
        <v>38</v>
      </c>
      <c r="G636" s="2">
        <v>43549</v>
      </c>
      <c r="H636" t="s">
        <v>28</v>
      </c>
      <c r="I636" t="s">
        <v>51</v>
      </c>
      <c r="J636" t="s">
        <v>21</v>
      </c>
      <c r="M636" t="str">
        <f t="shared" si="82"/>
        <v>Jack</v>
      </c>
      <c r="N636">
        <v>40</v>
      </c>
      <c r="O636">
        <f t="shared" si="83"/>
        <v>40</v>
      </c>
      <c r="P636">
        <v>60000</v>
      </c>
      <c r="Q636">
        <f t="shared" si="84"/>
        <v>60000</v>
      </c>
      <c r="R636" t="str">
        <f t="shared" si="85"/>
        <v>Male</v>
      </c>
      <c r="S636" t="str">
        <f t="shared" si="86"/>
        <v>Marketing</v>
      </c>
      <c r="T636" t="str">
        <f t="shared" si="87"/>
        <v>Analyst</v>
      </c>
      <c r="U636" s="2">
        <v>43549</v>
      </c>
      <c r="V636" t="s">
        <v>28</v>
      </c>
      <c r="W636" t="s">
        <v>51</v>
      </c>
      <c r="X636" t="str">
        <f t="shared" si="88"/>
        <v>email@example/com</v>
      </c>
      <c r="Y636" t="str">
        <f t="shared" si="89"/>
        <v>email@example.com</v>
      </c>
      <c r="Z636" t="str">
        <f t="shared" si="81"/>
        <v>123-456-7890</v>
      </c>
    </row>
    <row r="637" spans="1:26" x14ac:dyDescent="0.25">
      <c r="A637" t="s">
        <v>22</v>
      </c>
      <c r="B637">
        <v>25</v>
      </c>
      <c r="C637">
        <v>55000</v>
      </c>
      <c r="D637" t="s">
        <v>11</v>
      </c>
      <c r="E637" t="s">
        <v>12</v>
      </c>
      <c r="F637" t="s">
        <v>19</v>
      </c>
      <c r="G637" s="1">
        <v>43195</v>
      </c>
      <c r="H637" t="s">
        <v>20</v>
      </c>
      <c r="J637" t="s">
        <v>39</v>
      </c>
      <c r="M637" t="str">
        <f t="shared" si="82"/>
        <v>Hannah</v>
      </c>
      <c r="N637">
        <v>25</v>
      </c>
      <c r="O637">
        <f t="shared" si="83"/>
        <v>25</v>
      </c>
      <c r="P637">
        <v>55000</v>
      </c>
      <c r="Q637">
        <f t="shared" si="84"/>
        <v>55000</v>
      </c>
      <c r="R637" t="str">
        <f t="shared" si="85"/>
        <v>Male</v>
      </c>
      <c r="S637" t="str">
        <f t="shared" si="86"/>
        <v>HR</v>
      </c>
      <c r="T637" t="str">
        <f t="shared" si="87"/>
        <v>Director</v>
      </c>
      <c r="U637" s="2">
        <v>43195</v>
      </c>
      <c r="V637" t="s">
        <v>20</v>
      </c>
      <c r="X637" t="str">
        <f t="shared" si="88"/>
        <v>Email not provided</v>
      </c>
      <c r="Y637" t="str">
        <f t="shared" si="89"/>
        <v>Email not provided</v>
      </c>
      <c r="Z637" t="str">
        <f t="shared" si="81"/>
        <v>555-555-5555</v>
      </c>
    </row>
    <row r="638" spans="1:26" x14ac:dyDescent="0.25">
      <c r="A638" t="s">
        <v>41</v>
      </c>
      <c r="B638">
        <v>40</v>
      </c>
      <c r="C638">
        <v>60000</v>
      </c>
      <c r="D638" t="s">
        <v>11</v>
      </c>
      <c r="E638" t="s">
        <v>33</v>
      </c>
      <c r="F638" t="s">
        <v>37</v>
      </c>
      <c r="G638" s="2">
        <v>43549</v>
      </c>
      <c r="H638" t="s">
        <v>36</v>
      </c>
      <c r="I638" t="s">
        <v>53</v>
      </c>
      <c r="J638" t="s">
        <v>15</v>
      </c>
      <c r="M638" t="str">
        <f t="shared" si="82"/>
        <v>Bob</v>
      </c>
      <c r="N638">
        <v>40</v>
      </c>
      <c r="O638">
        <f t="shared" si="83"/>
        <v>40</v>
      </c>
      <c r="P638">
        <v>60000</v>
      </c>
      <c r="Q638">
        <f t="shared" si="84"/>
        <v>60000</v>
      </c>
      <c r="R638" t="str">
        <f t="shared" si="85"/>
        <v>Male</v>
      </c>
      <c r="S638" t="str">
        <f t="shared" si="86"/>
        <v>Marketing</v>
      </c>
      <c r="T638" t="str">
        <f t="shared" si="87"/>
        <v>Assistant</v>
      </c>
      <c r="U638" s="2">
        <v>43549</v>
      </c>
      <c r="V638" t="s">
        <v>36</v>
      </c>
      <c r="W638" t="s">
        <v>53</v>
      </c>
      <c r="X638" t="str">
        <f t="shared" si="88"/>
        <v>name@company/org</v>
      </c>
      <c r="Y638" t="str">
        <f t="shared" si="89"/>
        <v>name@company.org</v>
      </c>
      <c r="Z638" t="str">
        <f t="shared" si="81"/>
        <v>Phone not provided</v>
      </c>
    </row>
    <row r="639" spans="1:26" x14ac:dyDescent="0.25">
      <c r="A639" t="s">
        <v>26</v>
      </c>
      <c r="B639">
        <v>40</v>
      </c>
      <c r="C639">
        <v>65000</v>
      </c>
      <c r="D639" t="s">
        <v>32</v>
      </c>
      <c r="E639" t="s">
        <v>12</v>
      </c>
      <c r="F639" t="s">
        <v>19</v>
      </c>
      <c r="G639" s="1">
        <v>43195</v>
      </c>
      <c r="H639" t="s">
        <v>28</v>
      </c>
      <c r="I639" t="s">
        <v>52</v>
      </c>
      <c r="J639" t="s">
        <v>39</v>
      </c>
      <c r="M639" t="str">
        <f t="shared" si="82"/>
        <v>Eve</v>
      </c>
      <c r="N639">
        <v>40</v>
      </c>
      <c r="O639">
        <f t="shared" si="83"/>
        <v>40</v>
      </c>
      <c r="P639">
        <v>65000</v>
      </c>
      <c r="Q639">
        <f t="shared" si="84"/>
        <v>65000</v>
      </c>
      <c r="R639" t="str">
        <f t="shared" si="85"/>
        <v>Other</v>
      </c>
      <c r="S639" t="str">
        <f t="shared" si="86"/>
        <v>HR</v>
      </c>
      <c r="T639" t="str">
        <f t="shared" si="87"/>
        <v>Director</v>
      </c>
      <c r="U639" s="2">
        <v>43195</v>
      </c>
      <c r="V639" t="s">
        <v>28</v>
      </c>
      <c r="W639" t="s">
        <v>52</v>
      </c>
      <c r="X639" t="str">
        <f t="shared" si="88"/>
        <v>user@domain/com</v>
      </c>
      <c r="Y639" t="str">
        <f t="shared" si="89"/>
        <v>user@domain.com</v>
      </c>
      <c r="Z639" t="str">
        <f t="shared" si="81"/>
        <v>555-555-5555</v>
      </c>
    </row>
    <row r="640" spans="1:26" x14ac:dyDescent="0.25">
      <c r="A640" t="s">
        <v>10</v>
      </c>
      <c r="B640">
        <v>35</v>
      </c>
      <c r="C640">
        <v>70000</v>
      </c>
      <c r="D640" t="s">
        <v>11</v>
      </c>
      <c r="E640" t="s">
        <v>12</v>
      </c>
      <c r="F640" t="s">
        <v>37</v>
      </c>
      <c r="G640" s="2">
        <v>43845</v>
      </c>
      <c r="H640" t="s">
        <v>14</v>
      </c>
      <c r="J640" t="s">
        <v>29</v>
      </c>
      <c r="M640" t="str">
        <f t="shared" si="82"/>
        <v>Grace</v>
      </c>
      <c r="N640">
        <v>35</v>
      </c>
      <c r="O640">
        <f t="shared" si="83"/>
        <v>35</v>
      </c>
      <c r="P640">
        <v>70000</v>
      </c>
      <c r="Q640">
        <f t="shared" si="84"/>
        <v>70000</v>
      </c>
      <c r="R640" t="str">
        <f t="shared" si="85"/>
        <v>Male</v>
      </c>
      <c r="S640" t="str">
        <f t="shared" si="86"/>
        <v>HR</v>
      </c>
      <c r="T640" t="str">
        <f t="shared" si="87"/>
        <v>Assistant</v>
      </c>
      <c r="U640" s="2">
        <v>43845</v>
      </c>
      <c r="V640" t="s">
        <v>14</v>
      </c>
      <c r="X640" t="str">
        <f t="shared" si="88"/>
        <v>Email not provided</v>
      </c>
      <c r="Y640" t="str">
        <f t="shared" si="89"/>
        <v>Email not provided</v>
      </c>
      <c r="Z640" t="str">
        <f t="shared" si="81"/>
        <v>Phone not provided</v>
      </c>
    </row>
    <row r="641" spans="1:26" x14ac:dyDescent="0.25">
      <c r="A641" t="s">
        <v>22</v>
      </c>
      <c r="B641" t="s">
        <v>15</v>
      </c>
      <c r="C641" t="s">
        <v>30</v>
      </c>
      <c r="D641" t="s">
        <v>11</v>
      </c>
      <c r="E641" t="s">
        <v>23</v>
      </c>
      <c r="F641" t="s">
        <v>37</v>
      </c>
      <c r="G641" s="2">
        <v>43800</v>
      </c>
      <c r="H641" t="s">
        <v>14</v>
      </c>
      <c r="I641" t="s">
        <v>51</v>
      </c>
      <c r="J641" t="s">
        <v>25</v>
      </c>
      <c r="M641" t="str">
        <f t="shared" si="82"/>
        <v>Hannah</v>
      </c>
      <c r="N641" t="s">
        <v>15</v>
      </c>
      <c r="O641">
        <f t="shared" si="83"/>
        <v>35</v>
      </c>
      <c r="P641" t="s">
        <v>30</v>
      </c>
      <c r="Q641">
        <f t="shared" si="84"/>
        <v>60000</v>
      </c>
      <c r="R641" t="str">
        <f t="shared" si="85"/>
        <v>Male</v>
      </c>
      <c r="S641" t="str">
        <f t="shared" si="86"/>
        <v>Sales</v>
      </c>
      <c r="T641" t="str">
        <f t="shared" si="87"/>
        <v>Assistant</v>
      </c>
      <c r="U641" s="2">
        <v>43800</v>
      </c>
      <c r="V641" t="s">
        <v>14</v>
      </c>
      <c r="W641" t="s">
        <v>51</v>
      </c>
      <c r="X641" t="str">
        <f t="shared" si="88"/>
        <v>email@example/com</v>
      </c>
      <c r="Y641" t="str">
        <f t="shared" si="89"/>
        <v>email@example.com</v>
      </c>
      <c r="Z641" t="str">
        <f t="shared" si="81"/>
        <v>098-765-4321</v>
      </c>
    </row>
    <row r="642" spans="1:26" x14ac:dyDescent="0.25">
      <c r="A642" t="s">
        <v>42</v>
      </c>
      <c r="B642">
        <v>30</v>
      </c>
      <c r="C642">
        <v>60000</v>
      </c>
      <c r="D642" t="s">
        <v>11</v>
      </c>
      <c r="E642" t="s">
        <v>12</v>
      </c>
      <c r="F642" t="s">
        <v>19</v>
      </c>
      <c r="G642" s="2">
        <v>43549</v>
      </c>
      <c r="H642" t="s">
        <v>36</v>
      </c>
      <c r="I642" t="s">
        <v>15</v>
      </c>
      <c r="J642" t="s">
        <v>25</v>
      </c>
      <c r="M642" t="str">
        <f t="shared" si="82"/>
        <v>Alice</v>
      </c>
      <c r="N642">
        <v>30</v>
      </c>
      <c r="O642">
        <f t="shared" si="83"/>
        <v>30</v>
      </c>
      <c r="P642">
        <v>60000</v>
      </c>
      <c r="Q642">
        <f t="shared" si="84"/>
        <v>60000</v>
      </c>
      <c r="R642" t="str">
        <f t="shared" si="85"/>
        <v>Male</v>
      </c>
      <c r="S642" t="str">
        <f t="shared" si="86"/>
        <v>HR</v>
      </c>
      <c r="T642" t="str">
        <f t="shared" si="87"/>
        <v>Director</v>
      </c>
      <c r="U642" s="2">
        <v>43549</v>
      </c>
      <c r="V642" t="s">
        <v>36</v>
      </c>
      <c r="W642" t="s">
        <v>15</v>
      </c>
      <c r="X642" t="str">
        <f t="shared" si="88"/>
        <v>Email not provided</v>
      </c>
      <c r="Y642" t="str">
        <f t="shared" si="89"/>
        <v>Email not provided</v>
      </c>
      <c r="Z642" t="str">
        <f t="shared" ref="Z642:Z705" si="90">IF(OR(TRIM(J642)="", LOWER(J642)="nan"), "Phone not provided", TRIM(J642))</f>
        <v>098-765-4321</v>
      </c>
    </row>
    <row r="643" spans="1:26" x14ac:dyDescent="0.25">
      <c r="A643" t="s">
        <v>40</v>
      </c>
      <c r="B643">
        <v>50</v>
      </c>
      <c r="C643">
        <v>70000</v>
      </c>
      <c r="D643" t="s">
        <v>11</v>
      </c>
      <c r="E643" t="s">
        <v>12</v>
      </c>
      <c r="F643" t="s">
        <v>19</v>
      </c>
      <c r="G643" s="1">
        <v>43195</v>
      </c>
      <c r="H643" t="s">
        <v>20</v>
      </c>
      <c r="I643" t="s">
        <v>52</v>
      </c>
      <c r="J643" t="s">
        <v>21</v>
      </c>
      <c r="M643" t="str">
        <f t="shared" ref="M643:M706" si="91">PROPER(TRIM(CLEAN(A643:A1642)))</f>
        <v>Frank</v>
      </c>
      <c r="N643">
        <v>50</v>
      </c>
      <c r="O643">
        <f t="shared" ref="O643:O706" si="92">IF(ISNUMBER(N643),N643,MEDIAN($N$2:$N$1001))</f>
        <v>50</v>
      </c>
      <c r="P643">
        <v>70000</v>
      </c>
      <c r="Q643">
        <f t="shared" ref="Q643:Q706" si="93">IF(ISNUMBER(P643),P643,MEDIAN(P643:P1642))</f>
        <v>70000</v>
      </c>
      <c r="R643" t="str">
        <f t="shared" ref="R643:R706" si="94">PROPER(TRIM(CLEAN(D643:D1642)))</f>
        <v>Male</v>
      </c>
      <c r="S643" t="str">
        <f t="shared" ref="S643:S706" si="95">TRIM(CLEAN(E643:E1642))</f>
        <v>HR</v>
      </c>
      <c r="T643" t="str">
        <f t="shared" ref="T643:T706" si="96">TRIM(CLEAN(F643:F1642))</f>
        <v>Director</v>
      </c>
      <c r="U643" s="2">
        <v>43195</v>
      </c>
      <c r="V643" t="s">
        <v>20</v>
      </c>
      <c r="W643" t="s">
        <v>52</v>
      </c>
      <c r="X643" t="str">
        <f t="shared" ref="X643:X706" si="97">IF(
   OR(TRIM(W643)="",LOWER(W643)="nan"),
   "Email not provided",
   W643
)</f>
        <v>user@domain/com</v>
      </c>
      <c r="Y643" t="str">
        <f t="shared" ref="Y643:Y706" si="98">SUBSTITUTE(X643,"/",".")</f>
        <v>user@domain.com</v>
      </c>
      <c r="Z643" t="str">
        <f t="shared" si="90"/>
        <v>123-456-7890</v>
      </c>
    </row>
    <row r="644" spans="1:26" x14ac:dyDescent="0.25">
      <c r="A644" t="s">
        <v>42</v>
      </c>
      <c r="B644" t="s">
        <v>15</v>
      </c>
      <c r="C644">
        <v>70000</v>
      </c>
      <c r="D644" t="s">
        <v>32</v>
      </c>
      <c r="E644" t="s">
        <v>18</v>
      </c>
      <c r="F644" t="s">
        <v>38</v>
      </c>
      <c r="G644" s="2">
        <v>43800</v>
      </c>
      <c r="H644" t="s">
        <v>14</v>
      </c>
      <c r="I644" t="s">
        <v>53</v>
      </c>
      <c r="J644" t="s">
        <v>21</v>
      </c>
      <c r="M644" t="str">
        <f t="shared" si="91"/>
        <v>Alice</v>
      </c>
      <c r="N644" t="s">
        <v>15</v>
      </c>
      <c r="O644">
        <f t="shared" si="92"/>
        <v>35</v>
      </c>
      <c r="P644">
        <v>70000</v>
      </c>
      <c r="Q644">
        <f t="shared" si="93"/>
        <v>70000</v>
      </c>
      <c r="R644" t="str">
        <f t="shared" si="94"/>
        <v>Other</v>
      </c>
      <c r="S644" t="str">
        <f t="shared" si="95"/>
        <v>Finance</v>
      </c>
      <c r="T644" t="str">
        <f t="shared" si="96"/>
        <v>Analyst</v>
      </c>
      <c r="U644" s="2">
        <v>43800</v>
      </c>
      <c r="V644" t="s">
        <v>14</v>
      </c>
      <c r="W644" t="s">
        <v>53</v>
      </c>
      <c r="X644" t="str">
        <f t="shared" si="97"/>
        <v>name@company/org</v>
      </c>
      <c r="Y644" t="str">
        <f t="shared" si="98"/>
        <v>name@company.org</v>
      </c>
      <c r="Z644" t="str">
        <f t="shared" si="90"/>
        <v>123-456-7890</v>
      </c>
    </row>
    <row r="645" spans="1:26" x14ac:dyDescent="0.25">
      <c r="A645" t="s">
        <v>41</v>
      </c>
      <c r="B645">
        <v>50</v>
      </c>
      <c r="C645">
        <v>50000</v>
      </c>
      <c r="D645" t="s">
        <v>11</v>
      </c>
      <c r="E645" t="s">
        <v>33</v>
      </c>
      <c r="F645" t="s">
        <v>19</v>
      </c>
      <c r="G645" s="2">
        <v>43549</v>
      </c>
      <c r="H645" t="s">
        <v>14</v>
      </c>
      <c r="J645" t="s">
        <v>15</v>
      </c>
      <c r="M645" t="str">
        <f t="shared" si="91"/>
        <v>Bob</v>
      </c>
      <c r="N645">
        <v>50</v>
      </c>
      <c r="O645">
        <f t="shared" si="92"/>
        <v>50</v>
      </c>
      <c r="P645">
        <v>50000</v>
      </c>
      <c r="Q645">
        <f t="shared" si="93"/>
        <v>50000</v>
      </c>
      <c r="R645" t="str">
        <f t="shared" si="94"/>
        <v>Male</v>
      </c>
      <c r="S645" t="str">
        <f t="shared" si="95"/>
        <v>Marketing</v>
      </c>
      <c r="T645" t="str">
        <f t="shared" si="96"/>
        <v>Director</v>
      </c>
      <c r="U645" s="2">
        <v>43549</v>
      </c>
      <c r="V645" t="s">
        <v>14</v>
      </c>
      <c r="X645" t="str">
        <f t="shared" si="97"/>
        <v>Email not provided</v>
      </c>
      <c r="Y645" t="str">
        <f t="shared" si="98"/>
        <v>Email not provided</v>
      </c>
      <c r="Z645" t="str">
        <f t="shared" si="90"/>
        <v>Phone not provided</v>
      </c>
    </row>
    <row r="646" spans="1:26" x14ac:dyDescent="0.25">
      <c r="A646" t="s">
        <v>42</v>
      </c>
      <c r="B646">
        <v>35</v>
      </c>
      <c r="C646">
        <v>60000</v>
      </c>
      <c r="D646" t="s">
        <v>32</v>
      </c>
      <c r="E646" t="s">
        <v>18</v>
      </c>
      <c r="F646" t="s">
        <v>38</v>
      </c>
      <c r="G646" s="2">
        <v>43881</v>
      </c>
      <c r="H646" t="s">
        <v>20</v>
      </c>
      <c r="J646" t="s">
        <v>15</v>
      </c>
      <c r="M646" t="str">
        <f t="shared" si="91"/>
        <v>Alice</v>
      </c>
      <c r="N646">
        <v>35</v>
      </c>
      <c r="O646">
        <f t="shared" si="92"/>
        <v>35</v>
      </c>
      <c r="P646">
        <v>60000</v>
      </c>
      <c r="Q646">
        <f t="shared" si="93"/>
        <v>60000</v>
      </c>
      <c r="R646" t="str">
        <f t="shared" si="94"/>
        <v>Other</v>
      </c>
      <c r="S646" t="str">
        <f t="shared" si="95"/>
        <v>Finance</v>
      </c>
      <c r="T646" t="str">
        <f t="shared" si="96"/>
        <v>Analyst</v>
      </c>
      <c r="U646" s="2">
        <v>43881</v>
      </c>
      <c r="V646" t="s">
        <v>20</v>
      </c>
      <c r="X646" t="str">
        <f t="shared" si="97"/>
        <v>Email not provided</v>
      </c>
      <c r="Y646" t="str">
        <f t="shared" si="98"/>
        <v>Email not provided</v>
      </c>
      <c r="Z646" t="str">
        <f t="shared" si="90"/>
        <v>Phone not provided</v>
      </c>
    </row>
    <row r="647" spans="1:26" x14ac:dyDescent="0.25">
      <c r="A647" t="s">
        <v>26</v>
      </c>
      <c r="B647">
        <v>35</v>
      </c>
      <c r="C647" t="s">
        <v>30</v>
      </c>
      <c r="D647" t="s">
        <v>17</v>
      </c>
      <c r="E647" t="s">
        <v>12</v>
      </c>
      <c r="F647" t="s">
        <v>38</v>
      </c>
      <c r="G647" s="1">
        <v>43195</v>
      </c>
      <c r="H647" t="s">
        <v>28</v>
      </c>
      <c r="I647" t="s">
        <v>52</v>
      </c>
      <c r="J647" t="s">
        <v>29</v>
      </c>
      <c r="M647" t="str">
        <f t="shared" si="91"/>
        <v>Eve</v>
      </c>
      <c r="N647">
        <v>35</v>
      </c>
      <c r="O647">
        <f t="shared" si="92"/>
        <v>35</v>
      </c>
      <c r="P647" t="s">
        <v>30</v>
      </c>
      <c r="Q647">
        <f t="shared" si="93"/>
        <v>60000</v>
      </c>
      <c r="R647" t="str">
        <f t="shared" si="94"/>
        <v>Female</v>
      </c>
      <c r="S647" t="str">
        <f t="shared" si="95"/>
        <v>HR</v>
      </c>
      <c r="T647" t="str">
        <f t="shared" si="96"/>
        <v>Analyst</v>
      </c>
      <c r="U647" s="2">
        <v>43195</v>
      </c>
      <c r="V647" t="s">
        <v>28</v>
      </c>
      <c r="W647" t="s">
        <v>52</v>
      </c>
      <c r="X647" t="str">
        <f t="shared" si="97"/>
        <v>user@domain/com</v>
      </c>
      <c r="Y647" t="str">
        <f t="shared" si="98"/>
        <v>user@domain.com</v>
      </c>
      <c r="Z647" t="str">
        <f t="shared" si="90"/>
        <v>Phone not provided</v>
      </c>
    </row>
    <row r="648" spans="1:26" x14ac:dyDescent="0.25">
      <c r="A648" t="s">
        <v>31</v>
      </c>
      <c r="B648">
        <v>35</v>
      </c>
      <c r="C648">
        <v>60000</v>
      </c>
      <c r="D648" t="s">
        <v>32</v>
      </c>
      <c r="E648" t="s">
        <v>23</v>
      </c>
      <c r="F648" t="s">
        <v>38</v>
      </c>
      <c r="G648" s="2">
        <v>43881</v>
      </c>
      <c r="H648" t="s">
        <v>14</v>
      </c>
      <c r="I648" t="s">
        <v>51</v>
      </c>
      <c r="J648" t="s">
        <v>21</v>
      </c>
      <c r="M648" t="str">
        <f t="shared" si="91"/>
        <v>Jack</v>
      </c>
      <c r="N648">
        <v>35</v>
      </c>
      <c r="O648">
        <f t="shared" si="92"/>
        <v>35</v>
      </c>
      <c r="P648">
        <v>60000</v>
      </c>
      <c r="Q648">
        <f t="shared" si="93"/>
        <v>60000</v>
      </c>
      <c r="R648" t="str">
        <f t="shared" si="94"/>
        <v>Other</v>
      </c>
      <c r="S648" t="str">
        <f t="shared" si="95"/>
        <v>Sales</v>
      </c>
      <c r="T648" t="str">
        <f t="shared" si="96"/>
        <v>Analyst</v>
      </c>
      <c r="U648" s="2">
        <v>43881</v>
      </c>
      <c r="V648" t="s">
        <v>14</v>
      </c>
      <c r="W648" t="s">
        <v>51</v>
      </c>
      <c r="X648" t="str">
        <f t="shared" si="97"/>
        <v>email@example/com</v>
      </c>
      <c r="Y648" t="str">
        <f t="shared" si="98"/>
        <v>email@example.com</v>
      </c>
      <c r="Z648" t="str">
        <f t="shared" si="90"/>
        <v>123-456-7890</v>
      </c>
    </row>
    <row r="649" spans="1:26" x14ac:dyDescent="0.25">
      <c r="A649" t="s">
        <v>43</v>
      </c>
      <c r="B649">
        <v>25</v>
      </c>
      <c r="C649">
        <v>70000</v>
      </c>
      <c r="D649" t="s">
        <v>32</v>
      </c>
      <c r="E649" t="s">
        <v>18</v>
      </c>
      <c r="F649" t="s">
        <v>37</v>
      </c>
      <c r="G649" s="2">
        <v>43845</v>
      </c>
      <c r="H649" t="s">
        <v>24</v>
      </c>
      <c r="I649" t="s">
        <v>53</v>
      </c>
      <c r="J649" t="s">
        <v>21</v>
      </c>
      <c r="M649" t="str">
        <f t="shared" si="91"/>
        <v>Ivy</v>
      </c>
      <c r="N649">
        <v>25</v>
      </c>
      <c r="O649">
        <f t="shared" si="92"/>
        <v>25</v>
      </c>
      <c r="P649">
        <v>70000</v>
      </c>
      <c r="Q649">
        <f t="shared" si="93"/>
        <v>70000</v>
      </c>
      <c r="R649" t="str">
        <f t="shared" si="94"/>
        <v>Other</v>
      </c>
      <c r="S649" t="str">
        <f t="shared" si="95"/>
        <v>Finance</v>
      </c>
      <c r="T649" t="str">
        <f t="shared" si="96"/>
        <v>Assistant</v>
      </c>
      <c r="U649" s="2">
        <v>43845</v>
      </c>
      <c r="V649" t="s">
        <v>24</v>
      </c>
      <c r="W649" t="s">
        <v>53</v>
      </c>
      <c r="X649" t="str">
        <f t="shared" si="97"/>
        <v>name@company/org</v>
      </c>
      <c r="Y649" t="str">
        <f t="shared" si="98"/>
        <v>name@company.org</v>
      </c>
      <c r="Z649" t="str">
        <f t="shared" si="90"/>
        <v>123-456-7890</v>
      </c>
    </row>
    <row r="650" spans="1:26" x14ac:dyDescent="0.25">
      <c r="A650" t="s">
        <v>40</v>
      </c>
      <c r="B650">
        <v>50</v>
      </c>
      <c r="C650" t="s">
        <v>30</v>
      </c>
      <c r="D650" t="s">
        <v>11</v>
      </c>
      <c r="E650" t="s">
        <v>18</v>
      </c>
      <c r="F650" t="s">
        <v>37</v>
      </c>
      <c r="G650" s="2">
        <v>43881</v>
      </c>
      <c r="H650" t="s">
        <v>14</v>
      </c>
      <c r="I650" t="s">
        <v>52</v>
      </c>
      <c r="J650" t="s">
        <v>15</v>
      </c>
      <c r="M650" t="str">
        <f t="shared" si="91"/>
        <v>Frank</v>
      </c>
      <c r="N650">
        <v>50</v>
      </c>
      <c r="O650">
        <f t="shared" si="92"/>
        <v>50</v>
      </c>
      <c r="P650" t="s">
        <v>30</v>
      </c>
      <c r="Q650">
        <f t="shared" si="93"/>
        <v>60000</v>
      </c>
      <c r="R650" t="str">
        <f t="shared" si="94"/>
        <v>Male</v>
      </c>
      <c r="S650" t="str">
        <f t="shared" si="95"/>
        <v>Finance</v>
      </c>
      <c r="T650" t="str">
        <f t="shared" si="96"/>
        <v>Assistant</v>
      </c>
      <c r="U650" s="2">
        <v>43881</v>
      </c>
      <c r="V650" t="s">
        <v>14</v>
      </c>
      <c r="W650" t="s">
        <v>52</v>
      </c>
      <c r="X650" t="str">
        <f t="shared" si="97"/>
        <v>user@domain/com</v>
      </c>
      <c r="Y650" t="str">
        <f t="shared" si="98"/>
        <v>user@domain.com</v>
      </c>
      <c r="Z650" t="str">
        <f t="shared" si="90"/>
        <v>Phone not provided</v>
      </c>
    </row>
    <row r="651" spans="1:26" x14ac:dyDescent="0.25">
      <c r="A651" t="s">
        <v>42</v>
      </c>
      <c r="B651" t="s">
        <v>15</v>
      </c>
      <c r="C651">
        <v>65000</v>
      </c>
      <c r="D651" t="s">
        <v>17</v>
      </c>
      <c r="E651" t="s">
        <v>27</v>
      </c>
      <c r="F651" t="s">
        <v>19</v>
      </c>
      <c r="G651" s="2">
        <v>43881</v>
      </c>
      <c r="H651" t="s">
        <v>28</v>
      </c>
      <c r="I651" t="s">
        <v>15</v>
      </c>
      <c r="J651" t="s">
        <v>15</v>
      </c>
      <c r="M651" t="str">
        <f t="shared" si="91"/>
        <v>Alice</v>
      </c>
      <c r="N651" t="s">
        <v>15</v>
      </c>
      <c r="O651">
        <f t="shared" si="92"/>
        <v>35</v>
      </c>
      <c r="P651">
        <v>65000</v>
      </c>
      <c r="Q651">
        <f t="shared" si="93"/>
        <v>65000</v>
      </c>
      <c r="R651" t="str">
        <f t="shared" si="94"/>
        <v>Female</v>
      </c>
      <c r="S651" t="str">
        <f t="shared" si="95"/>
        <v>IT</v>
      </c>
      <c r="T651" t="str">
        <f t="shared" si="96"/>
        <v>Director</v>
      </c>
      <c r="U651" s="2">
        <v>43881</v>
      </c>
      <c r="V651" t="s">
        <v>28</v>
      </c>
      <c r="W651" t="s">
        <v>15</v>
      </c>
      <c r="X651" t="str">
        <f t="shared" si="97"/>
        <v>Email not provided</v>
      </c>
      <c r="Y651" t="str">
        <f t="shared" si="98"/>
        <v>Email not provided</v>
      </c>
      <c r="Z651" t="str">
        <f t="shared" si="90"/>
        <v>Phone not provided</v>
      </c>
    </row>
    <row r="652" spans="1:26" x14ac:dyDescent="0.25">
      <c r="A652" t="s">
        <v>42</v>
      </c>
      <c r="B652" t="s">
        <v>15</v>
      </c>
      <c r="C652">
        <v>50000</v>
      </c>
      <c r="D652" t="s">
        <v>17</v>
      </c>
      <c r="E652" t="s">
        <v>12</v>
      </c>
      <c r="F652" t="s">
        <v>37</v>
      </c>
      <c r="G652" s="1">
        <v>43195</v>
      </c>
      <c r="H652" t="s">
        <v>28</v>
      </c>
      <c r="I652" t="s">
        <v>53</v>
      </c>
      <c r="J652" t="s">
        <v>15</v>
      </c>
      <c r="M652" t="str">
        <f t="shared" si="91"/>
        <v>Alice</v>
      </c>
      <c r="N652" t="s">
        <v>15</v>
      </c>
      <c r="O652">
        <f t="shared" si="92"/>
        <v>35</v>
      </c>
      <c r="P652">
        <v>50000</v>
      </c>
      <c r="Q652">
        <f t="shared" si="93"/>
        <v>50000</v>
      </c>
      <c r="R652" t="str">
        <f t="shared" si="94"/>
        <v>Female</v>
      </c>
      <c r="S652" t="str">
        <f t="shared" si="95"/>
        <v>HR</v>
      </c>
      <c r="T652" t="str">
        <f t="shared" si="96"/>
        <v>Assistant</v>
      </c>
      <c r="U652" s="2">
        <v>43195</v>
      </c>
      <c r="V652" t="s">
        <v>28</v>
      </c>
      <c r="W652" t="s">
        <v>53</v>
      </c>
      <c r="X652" t="str">
        <f t="shared" si="97"/>
        <v>name@company/org</v>
      </c>
      <c r="Y652" t="str">
        <f t="shared" si="98"/>
        <v>name@company.org</v>
      </c>
      <c r="Z652" t="str">
        <f t="shared" si="90"/>
        <v>Phone not provided</v>
      </c>
    </row>
    <row r="653" spans="1:26" x14ac:dyDescent="0.25">
      <c r="A653" t="s">
        <v>41</v>
      </c>
      <c r="B653">
        <v>40</v>
      </c>
      <c r="C653">
        <v>70000</v>
      </c>
      <c r="D653" t="s">
        <v>17</v>
      </c>
      <c r="E653" t="s">
        <v>23</v>
      </c>
      <c r="F653" t="s">
        <v>19</v>
      </c>
      <c r="G653" s="2">
        <v>43845</v>
      </c>
      <c r="H653" t="s">
        <v>36</v>
      </c>
      <c r="J653" t="s">
        <v>25</v>
      </c>
      <c r="M653" t="str">
        <f t="shared" si="91"/>
        <v>Bob</v>
      </c>
      <c r="N653">
        <v>40</v>
      </c>
      <c r="O653">
        <f t="shared" si="92"/>
        <v>40</v>
      </c>
      <c r="P653">
        <v>70000</v>
      </c>
      <c r="Q653">
        <f t="shared" si="93"/>
        <v>70000</v>
      </c>
      <c r="R653" t="str">
        <f t="shared" si="94"/>
        <v>Female</v>
      </c>
      <c r="S653" t="str">
        <f t="shared" si="95"/>
        <v>Sales</v>
      </c>
      <c r="T653" t="str">
        <f t="shared" si="96"/>
        <v>Director</v>
      </c>
      <c r="U653" s="2">
        <v>43845</v>
      </c>
      <c r="V653" t="s">
        <v>36</v>
      </c>
      <c r="X653" t="str">
        <f t="shared" si="97"/>
        <v>Email not provided</v>
      </c>
      <c r="Y653" t="str">
        <f t="shared" si="98"/>
        <v>Email not provided</v>
      </c>
      <c r="Z653" t="str">
        <f t="shared" si="90"/>
        <v>098-765-4321</v>
      </c>
    </row>
    <row r="654" spans="1:26" x14ac:dyDescent="0.25">
      <c r="A654" t="s">
        <v>43</v>
      </c>
      <c r="B654">
        <v>40</v>
      </c>
      <c r="C654">
        <v>55000</v>
      </c>
      <c r="D654" t="s">
        <v>17</v>
      </c>
      <c r="E654" t="s">
        <v>18</v>
      </c>
      <c r="F654" t="s">
        <v>37</v>
      </c>
      <c r="G654" s="2">
        <v>43881</v>
      </c>
      <c r="H654" t="s">
        <v>24</v>
      </c>
      <c r="I654" t="s">
        <v>52</v>
      </c>
      <c r="J654" t="s">
        <v>39</v>
      </c>
      <c r="M654" t="str">
        <f t="shared" si="91"/>
        <v>Ivy</v>
      </c>
      <c r="N654">
        <v>40</v>
      </c>
      <c r="O654">
        <f t="shared" si="92"/>
        <v>40</v>
      </c>
      <c r="P654">
        <v>55000</v>
      </c>
      <c r="Q654">
        <f t="shared" si="93"/>
        <v>55000</v>
      </c>
      <c r="R654" t="str">
        <f t="shared" si="94"/>
        <v>Female</v>
      </c>
      <c r="S654" t="str">
        <f t="shared" si="95"/>
        <v>Finance</v>
      </c>
      <c r="T654" t="str">
        <f t="shared" si="96"/>
        <v>Assistant</v>
      </c>
      <c r="U654" s="2">
        <v>43881</v>
      </c>
      <c r="V654" t="s">
        <v>24</v>
      </c>
      <c r="W654" t="s">
        <v>52</v>
      </c>
      <c r="X654" t="str">
        <f t="shared" si="97"/>
        <v>user@domain/com</v>
      </c>
      <c r="Y654" t="str">
        <f t="shared" si="98"/>
        <v>user@domain.com</v>
      </c>
      <c r="Z654" t="str">
        <f t="shared" si="90"/>
        <v>555-555-5555</v>
      </c>
    </row>
    <row r="655" spans="1:26" x14ac:dyDescent="0.25">
      <c r="A655" t="s">
        <v>34</v>
      </c>
      <c r="B655">
        <v>40</v>
      </c>
      <c r="C655">
        <v>55000</v>
      </c>
      <c r="D655" t="s">
        <v>32</v>
      </c>
      <c r="E655" t="s">
        <v>18</v>
      </c>
      <c r="F655" t="s">
        <v>13</v>
      </c>
      <c r="G655" s="2">
        <v>43800</v>
      </c>
      <c r="H655" t="s">
        <v>28</v>
      </c>
      <c r="J655" t="s">
        <v>39</v>
      </c>
      <c r="M655" t="str">
        <f t="shared" si="91"/>
        <v>Charlie</v>
      </c>
      <c r="N655">
        <v>40</v>
      </c>
      <c r="O655">
        <f t="shared" si="92"/>
        <v>40</v>
      </c>
      <c r="P655">
        <v>55000</v>
      </c>
      <c r="Q655">
        <f t="shared" si="93"/>
        <v>55000</v>
      </c>
      <c r="R655" t="str">
        <f t="shared" si="94"/>
        <v>Other</v>
      </c>
      <c r="S655" t="str">
        <f t="shared" si="95"/>
        <v>Finance</v>
      </c>
      <c r="T655" t="str">
        <f t="shared" si="96"/>
        <v>Manager</v>
      </c>
      <c r="U655" s="2">
        <v>43800</v>
      </c>
      <c r="V655" t="s">
        <v>28</v>
      </c>
      <c r="X655" t="str">
        <f t="shared" si="97"/>
        <v>Email not provided</v>
      </c>
      <c r="Y655" t="str">
        <f t="shared" si="98"/>
        <v>Email not provided</v>
      </c>
      <c r="Z655" t="str">
        <f t="shared" si="90"/>
        <v>555-555-5555</v>
      </c>
    </row>
    <row r="656" spans="1:26" x14ac:dyDescent="0.25">
      <c r="A656" t="s">
        <v>42</v>
      </c>
      <c r="B656">
        <v>35</v>
      </c>
      <c r="C656">
        <v>50000</v>
      </c>
      <c r="D656" t="s">
        <v>17</v>
      </c>
      <c r="E656" t="s">
        <v>23</v>
      </c>
      <c r="F656" t="s">
        <v>13</v>
      </c>
      <c r="G656" s="2">
        <v>43549</v>
      </c>
      <c r="H656" t="s">
        <v>20</v>
      </c>
      <c r="J656" t="s">
        <v>21</v>
      </c>
      <c r="M656" t="str">
        <f t="shared" si="91"/>
        <v>Alice</v>
      </c>
      <c r="N656">
        <v>35</v>
      </c>
      <c r="O656">
        <f t="shared" si="92"/>
        <v>35</v>
      </c>
      <c r="P656">
        <v>50000</v>
      </c>
      <c r="Q656">
        <f t="shared" si="93"/>
        <v>50000</v>
      </c>
      <c r="R656" t="str">
        <f t="shared" si="94"/>
        <v>Female</v>
      </c>
      <c r="S656" t="str">
        <f t="shared" si="95"/>
        <v>Sales</v>
      </c>
      <c r="T656" t="str">
        <f t="shared" si="96"/>
        <v>Manager</v>
      </c>
      <c r="U656" s="2">
        <v>43549</v>
      </c>
      <c r="V656" t="s">
        <v>20</v>
      </c>
      <c r="X656" t="str">
        <f t="shared" si="97"/>
        <v>Email not provided</v>
      </c>
      <c r="Y656" t="str">
        <f t="shared" si="98"/>
        <v>Email not provided</v>
      </c>
      <c r="Z656" t="str">
        <f t="shared" si="90"/>
        <v>123-456-7890</v>
      </c>
    </row>
    <row r="657" spans="1:26" x14ac:dyDescent="0.25">
      <c r="A657" t="s">
        <v>26</v>
      </c>
      <c r="B657" t="s">
        <v>15</v>
      </c>
      <c r="C657">
        <v>65000</v>
      </c>
      <c r="D657" t="s">
        <v>32</v>
      </c>
      <c r="E657" t="s">
        <v>12</v>
      </c>
      <c r="F657" t="s">
        <v>19</v>
      </c>
      <c r="G657" s="2">
        <v>43881</v>
      </c>
      <c r="H657" t="s">
        <v>24</v>
      </c>
      <c r="J657" t="s">
        <v>25</v>
      </c>
      <c r="M657" t="str">
        <f t="shared" si="91"/>
        <v>Eve</v>
      </c>
      <c r="N657" t="s">
        <v>15</v>
      </c>
      <c r="O657">
        <f t="shared" si="92"/>
        <v>35</v>
      </c>
      <c r="P657">
        <v>65000</v>
      </c>
      <c r="Q657">
        <f t="shared" si="93"/>
        <v>65000</v>
      </c>
      <c r="R657" t="str">
        <f t="shared" si="94"/>
        <v>Other</v>
      </c>
      <c r="S657" t="str">
        <f t="shared" si="95"/>
        <v>HR</v>
      </c>
      <c r="T657" t="str">
        <f t="shared" si="96"/>
        <v>Director</v>
      </c>
      <c r="U657" s="2">
        <v>43881</v>
      </c>
      <c r="V657" t="s">
        <v>24</v>
      </c>
      <c r="X657" t="str">
        <f t="shared" si="97"/>
        <v>Email not provided</v>
      </c>
      <c r="Y657" t="str">
        <f t="shared" si="98"/>
        <v>Email not provided</v>
      </c>
      <c r="Z657" t="str">
        <f t="shared" si="90"/>
        <v>098-765-4321</v>
      </c>
    </row>
    <row r="658" spans="1:26" x14ac:dyDescent="0.25">
      <c r="A658" t="s">
        <v>10</v>
      </c>
      <c r="B658">
        <v>50</v>
      </c>
      <c r="C658">
        <v>70000</v>
      </c>
      <c r="D658" t="s">
        <v>32</v>
      </c>
      <c r="E658" t="s">
        <v>27</v>
      </c>
      <c r="F658" t="s">
        <v>37</v>
      </c>
      <c r="G658" s="2">
        <v>43845</v>
      </c>
      <c r="H658" t="s">
        <v>24</v>
      </c>
      <c r="I658" t="s">
        <v>51</v>
      </c>
      <c r="J658" t="s">
        <v>15</v>
      </c>
      <c r="M658" t="str">
        <f t="shared" si="91"/>
        <v>Grace</v>
      </c>
      <c r="N658">
        <v>50</v>
      </c>
      <c r="O658">
        <f t="shared" si="92"/>
        <v>50</v>
      </c>
      <c r="P658">
        <v>70000</v>
      </c>
      <c r="Q658">
        <f t="shared" si="93"/>
        <v>70000</v>
      </c>
      <c r="R658" t="str">
        <f t="shared" si="94"/>
        <v>Other</v>
      </c>
      <c r="S658" t="str">
        <f t="shared" si="95"/>
        <v>IT</v>
      </c>
      <c r="T658" t="str">
        <f t="shared" si="96"/>
        <v>Assistant</v>
      </c>
      <c r="U658" s="2">
        <v>43845</v>
      </c>
      <c r="V658" t="s">
        <v>24</v>
      </c>
      <c r="W658" t="s">
        <v>51</v>
      </c>
      <c r="X658" t="str">
        <f t="shared" si="97"/>
        <v>email@example/com</v>
      </c>
      <c r="Y658" t="str">
        <f t="shared" si="98"/>
        <v>email@example.com</v>
      </c>
      <c r="Z658" t="str">
        <f t="shared" si="90"/>
        <v>Phone not provided</v>
      </c>
    </row>
    <row r="659" spans="1:26" x14ac:dyDescent="0.25">
      <c r="A659" t="s">
        <v>40</v>
      </c>
      <c r="B659">
        <v>35</v>
      </c>
      <c r="C659">
        <v>60000</v>
      </c>
      <c r="D659" t="s">
        <v>32</v>
      </c>
      <c r="E659" t="s">
        <v>18</v>
      </c>
      <c r="F659" t="s">
        <v>37</v>
      </c>
      <c r="G659" s="2">
        <v>43881</v>
      </c>
      <c r="H659" t="s">
        <v>20</v>
      </c>
      <c r="J659" t="s">
        <v>21</v>
      </c>
      <c r="M659" t="str">
        <f t="shared" si="91"/>
        <v>Frank</v>
      </c>
      <c r="N659">
        <v>35</v>
      </c>
      <c r="O659">
        <f t="shared" si="92"/>
        <v>35</v>
      </c>
      <c r="P659">
        <v>60000</v>
      </c>
      <c r="Q659">
        <f t="shared" si="93"/>
        <v>60000</v>
      </c>
      <c r="R659" t="str">
        <f t="shared" si="94"/>
        <v>Other</v>
      </c>
      <c r="S659" t="str">
        <f t="shared" si="95"/>
        <v>Finance</v>
      </c>
      <c r="T659" t="str">
        <f t="shared" si="96"/>
        <v>Assistant</v>
      </c>
      <c r="U659" s="2">
        <v>43881</v>
      </c>
      <c r="V659" t="s">
        <v>20</v>
      </c>
      <c r="X659" t="str">
        <f t="shared" si="97"/>
        <v>Email not provided</v>
      </c>
      <c r="Y659" t="str">
        <f t="shared" si="98"/>
        <v>Email not provided</v>
      </c>
      <c r="Z659" t="str">
        <f t="shared" si="90"/>
        <v>123-456-7890</v>
      </c>
    </row>
    <row r="660" spans="1:26" x14ac:dyDescent="0.25">
      <c r="A660" t="s">
        <v>42</v>
      </c>
      <c r="B660">
        <v>25</v>
      </c>
      <c r="C660">
        <v>50000</v>
      </c>
      <c r="D660" t="s">
        <v>17</v>
      </c>
      <c r="E660" t="s">
        <v>27</v>
      </c>
      <c r="F660" t="s">
        <v>38</v>
      </c>
      <c r="G660" s="2">
        <v>43549</v>
      </c>
      <c r="H660" t="s">
        <v>14</v>
      </c>
      <c r="I660" t="s">
        <v>15</v>
      </c>
      <c r="J660" t="s">
        <v>25</v>
      </c>
      <c r="M660" t="str">
        <f t="shared" si="91"/>
        <v>Alice</v>
      </c>
      <c r="N660">
        <v>25</v>
      </c>
      <c r="O660">
        <f t="shared" si="92"/>
        <v>25</v>
      </c>
      <c r="P660">
        <v>50000</v>
      </c>
      <c r="Q660">
        <f t="shared" si="93"/>
        <v>50000</v>
      </c>
      <c r="R660" t="str">
        <f t="shared" si="94"/>
        <v>Female</v>
      </c>
      <c r="S660" t="str">
        <f t="shared" si="95"/>
        <v>IT</v>
      </c>
      <c r="T660" t="str">
        <f t="shared" si="96"/>
        <v>Analyst</v>
      </c>
      <c r="U660" s="2">
        <v>43549</v>
      </c>
      <c r="V660" t="s">
        <v>14</v>
      </c>
      <c r="W660" t="s">
        <v>15</v>
      </c>
      <c r="X660" t="str">
        <f t="shared" si="97"/>
        <v>Email not provided</v>
      </c>
      <c r="Y660" t="str">
        <f t="shared" si="98"/>
        <v>Email not provided</v>
      </c>
      <c r="Z660" t="str">
        <f t="shared" si="90"/>
        <v>098-765-4321</v>
      </c>
    </row>
    <row r="661" spans="1:26" x14ac:dyDescent="0.25">
      <c r="A661" t="s">
        <v>26</v>
      </c>
      <c r="B661">
        <v>40</v>
      </c>
      <c r="C661">
        <v>65000</v>
      </c>
      <c r="D661" t="s">
        <v>11</v>
      </c>
      <c r="E661" t="s">
        <v>33</v>
      </c>
      <c r="F661" t="s">
        <v>35</v>
      </c>
      <c r="G661" s="2">
        <v>43845</v>
      </c>
      <c r="H661" t="s">
        <v>20</v>
      </c>
      <c r="I661" t="s">
        <v>15</v>
      </c>
      <c r="J661" t="s">
        <v>29</v>
      </c>
      <c r="M661" t="str">
        <f t="shared" si="91"/>
        <v>Eve</v>
      </c>
      <c r="N661">
        <v>40</v>
      </c>
      <c r="O661">
        <f t="shared" si="92"/>
        <v>40</v>
      </c>
      <c r="P661">
        <v>65000</v>
      </c>
      <c r="Q661">
        <f t="shared" si="93"/>
        <v>65000</v>
      </c>
      <c r="R661" t="str">
        <f t="shared" si="94"/>
        <v>Male</v>
      </c>
      <c r="S661" t="str">
        <f t="shared" si="95"/>
        <v>Marketing</v>
      </c>
      <c r="T661" t="str">
        <f t="shared" si="96"/>
        <v>Clerk</v>
      </c>
      <c r="U661" s="2">
        <v>43845</v>
      </c>
      <c r="V661" t="s">
        <v>20</v>
      </c>
      <c r="W661" t="s">
        <v>15</v>
      </c>
      <c r="X661" t="str">
        <f t="shared" si="97"/>
        <v>Email not provided</v>
      </c>
      <c r="Y661" t="str">
        <f t="shared" si="98"/>
        <v>Email not provided</v>
      </c>
      <c r="Z661" t="str">
        <f t="shared" si="90"/>
        <v>Phone not provided</v>
      </c>
    </row>
    <row r="662" spans="1:26" x14ac:dyDescent="0.25">
      <c r="A662" t="s">
        <v>26</v>
      </c>
      <c r="B662">
        <v>35</v>
      </c>
      <c r="C662">
        <v>60000</v>
      </c>
      <c r="D662" t="s">
        <v>11</v>
      </c>
      <c r="E662" t="s">
        <v>12</v>
      </c>
      <c r="F662" t="s">
        <v>19</v>
      </c>
      <c r="G662" s="1">
        <v>43195</v>
      </c>
      <c r="H662" t="s">
        <v>20</v>
      </c>
      <c r="I662" t="s">
        <v>53</v>
      </c>
      <c r="J662" t="s">
        <v>25</v>
      </c>
      <c r="M662" t="str">
        <f t="shared" si="91"/>
        <v>Eve</v>
      </c>
      <c r="N662">
        <v>35</v>
      </c>
      <c r="O662">
        <f t="shared" si="92"/>
        <v>35</v>
      </c>
      <c r="P662">
        <v>60000</v>
      </c>
      <c r="Q662">
        <f t="shared" si="93"/>
        <v>60000</v>
      </c>
      <c r="R662" t="str">
        <f t="shared" si="94"/>
        <v>Male</v>
      </c>
      <c r="S662" t="str">
        <f t="shared" si="95"/>
        <v>HR</v>
      </c>
      <c r="T662" t="str">
        <f t="shared" si="96"/>
        <v>Director</v>
      </c>
      <c r="U662" s="2">
        <v>43195</v>
      </c>
      <c r="V662" t="s">
        <v>20</v>
      </c>
      <c r="W662" t="s">
        <v>53</v>
      </c>
      <c r="X662" t="str">
        <f t="shared" si="97"/>
        <v>name@company/org</v>
      </c>
      <c r="Y662" t="str">
        <f t="shared" si="98"/>
        <v>name@company.org</v>
      </c>
      <c r="Z662" t="str">
        <f t="shared" si="90"/>
        <v>098-765-4321</v>
      </c>
    </row>
    <row r="663" spans="1:26" x14ac:dyDescent="0.25">
      <c r="A663" t="s">
        <v>40</v>
      </c>
      <c r="B663">
        <v>35</v>
      </c>
      <c r="C663">
        <v>55000</v>
      </c>
      <c r="D663" t="s">
        <v>17</v>
      </c>
      <c r="E663" t="s">
        <v>33</v>
      </c>
      <c r="F663" t="s">
        <v>35</v>
      </c>
      <c r="G663" s="2">
        <v>43845</v>
      </c>
      <c r="H663" t="s">
        <v>14</v>
      </c>
      <c r="J663" t="s">
        <v>21</v>
      </c>
      <c r="M663" t="str">
        <f t="shared" si="91"/>
        <v>Frank</v>
      </c>
      <c r="N663">
        <v>35</v>
      </c>
      <c r="O663">
        <f t="shared" si="92"/>
        <v>35</v>
      </c>
      <c r="P663">
        <v>55000</v>
      </c>
      <c r="Q663">
        <f t="shared" si="93"/>
        <v>55000</v>
      </c>
      <c r="R663" t="str">
        <f t="shared" si="94"/>
        <v>Female</v>
      </c>
      <c r="S663" t="str">
        <f t="shared" si="95"/>
        <v>Marketing</v>
      </c>
      <c r="T663" t="str">
        <f t="shared" si="96"/>
        <v>Clerk</v>
      </c>
      <c r="U663" s="2">
        <v>43845</v>
      </c>
      <c r="V663" t="s">
        <v>14</v>
      </c>
      <c r="X663" t="str">
        <f t="shared" si="97"/>
        <v>Email not provided</v>
      </c>
      <c r="Y663" t="str">
        <f t="shared" si="98"/>
        <v>Email not provided</v>
      </c>
      <c r="Z663" t="str">
        <f t="shared" si="90"/>
        <v>123-456-7890</v>
      </c>
    </row>
    <row r="664" spans="1:26" x14ac:dyDescent="0.25">
      <c r="A664" t="s">
        <v>34</v>
      </c>
      <c r="B664">
        <v>25</v>
      </c>
      <c r="C664">
        <v>55000</v>
      </c>
      <c r="D664" t="s">
        <v>11</v>
      </c>
      <c r="E664" t="s">
        <v>33</v>
      </c>
      <c r="F664" t="s">
        <v>35</v>
      </c>
      <c r="G664" s="1">
        <v>43195</v>
      </c>
      <c r="H664" t="s">
        <v>14</v>
      </c>
      <c r="J664" t="s">
        <v>39</v>
      </c>
      <c r="M664" t="str">
        <f t="shared" si="91"/>
        <v>Charlie</v>
      </c>
      <c r="N664">
        <v>25</v>
      </c>
      <c r="O664">
        <f t="shared" si="92"/>
        <v>25</v>
      </c>
      <c r="P664">
        <v>55000</v>
      </c>
      <c r="Q664">
        <f t="shared" si="93"/>
        <v>55000</v>
      </c>
      <c r="R664" t="str">
        <f t="shared" si="94"/>
        <v>Male</v>
      </c>
      <c r="S664" t="str">
        <f t="shared" si="95"/>
        <v>Marketing</v>
      </c>
      <c r="T664" t="str">
        <f t="shared" si="96"/>
        <v>Clerk</v>
      </c>
      <c r="U664" s="2">
        <v>43195</v>
      </c>
      <c r="V664" t="s">
        <v>14</v>
      </c>
      <c r="X664" t="str">
        <f t="shared" si="97"/>
        <v>Email not provided</v>
      </c>
      <c r="Y664" t="str">
        <f t="shared" si="98"/>
        <v>Email not provided</v>
      </c>
      <c r="Z664" t="str">
        <f t="shared" si="90"/>
        <v>555-555-5555</v>
      </c>
    </row>
    <row r="665" spans="1:26" x14ac:dyDescent="0.25">
      <c r="A665" t="s">
        <v>26</v>
      </c>
      <c r="B665">
        <v>30</v>
      </c>
      <c r="C665">
        <v>60000</v>
      </c>
      <c r="D665" t="s">
        <v>11</v>
      </c>
      <c r="E665" t="s">
        <v>33</v>
      </c>
      <c r="F665" t="s">
        <v>19</v>
      </c>
      <c r="G665" s="2">
        <v>43845</v>
      </c>
      <c r="H665" t="s">
        <v>14</v>
      </c>
      <c r="I665" t="s">
        <v>52</v>
      </c>
      <c r="J665" t="s">
        <v>15</v>
      </c>
      <c r="M665" t="str">
        <f t="shared" si="91"/>
        <v>Eve</v>
      </c>
      <c r="N665">
        <v>30</v>
      </c>
      <c r="O665">
        <f t="shared" si="92"/>
        <v>30</v>
      </c>
      <c r="P665">
        <v>60000</v>
      </c>
      <c r="Q665">
        <f t="shared" si="93"/>
        <v>60000</v>
      </c>
      <c r="R665" t="str">
        <f t="shared" si="94"/>
        <v>Male</v>
      </c>
      <c r="S665" t="str">
        <f t="shared" si="95"/>
        <v>Marketing</v>
      </c>
      <c r="T665" t="str">
        <f t="shared" si="96"/>
        <v>Director</v>
      </c>
      <c r="U665" s="2">
        <v>43845</v>
      </c>
      <c r="V665" t="s">
        <v>14</v>
      </c>
      <c r="W665" t="s">
        <v>52</v>
      </c>
      <c r="X665" t="str">
        <f t="shared" si="97"/>
        <v>user@domain/com</v>
      </c>
      <c r="Y665" t="str">
        <f t="shared" si="98"/>
        <v>user@domain.com</v>
      </c>
      <c r="Z665" t="str">
        <f t="shared" si="90"/>
        <v>Phone not provided</v>
      </c>
    </row>
    <row r="666" spans="1:26" x14ac:dyDescent="0.25">
      <c r="A666" t="s">
        <v>10</v>
      </c>
      <c r="B666" t="s">
        <v>15</v>
      </c>
      <c r="C666">
        <v>50000</v>
      </c>
      <c r="D666" t="s">
        <v>32</v>
      </c>
      <c r="E666" t="s">
        <v>12</v>
      </c>
      <c r="F666" t="s">
        <v>37</v>
      </c>
      <c r="G666" s="2">
        <v>43549</v>
      </c>
      <c r="H666" t="s">
        <v>14</v>
      </c>
      <c r="I666" t="s">
        <v>51</v>
      </c>
      <c r="J666" t="s">
        <v>29</v>
      </c>
      <c r="M666" t="str">
        <f t="shared" si="91"/>
        <v>Grace</v>
      </c>
      <c r="N666" t="s">
        <v>15</v>
      </c>
      <c r="O666">
        <f t="shared" si="92"/>
        <v>35</v>
      </c>
      <c r="P666">
        <v>50000</v>
      </c>
      <c r="Q666">
        <f t="shared" si="93"/>
        <v>50000</v>
      </c>
      <c r="R666" t="str">
        <f t="shared" si="94"/>
        <v>Other</v>
      </c>
      <c r="S666" t="str">
        <f t="shared" si="95"/>
        <v>HR</v>
      </c>
      <c r="T666" t="str">
        <f t="shared" si="96"/>
        <v>Assistant</v>
      </c>
      <c r="U666" s="2">
        <v>43549</v>
      </c>
      <c r="V666" t="s">
        <v>14</v>
      </c>
      <c r="W666" t="s">
        <v>51</v>
      </c>
      <c r="X666" t="str">
        <f t="shared" si="97"/>
        <v>email@example/com</v>
      </c>
      <c r="Y666" t="str">
        <f t="shared" si="98"/>
        <v>email@example.com</v>
      </c>
      <c r="Z666" t="str">
        <f t="shared" si="90"/>
        <v>Phone not provided</v>
      </c>
    </row>
    <row r="667" spans="1:26" x14ac:dyDescent="0.25">
      <c r="A667" t="s">
        <v>26</v>
      </c>
      <c r="B667">
        <v>50</v>
      </c>
      <c r="C667">
        <v>55000</v>
      </c>
      <c r="D667" t="s">
        <v>32</v>
      </c>
      <c r="E667" t="s">
        <v>12</v>
      </c>
      <c r="F667" t="s">
        <v>19</v>
      </c>
      <c r="G667" s="2">
        <v>43549</v>
      </c>
      <c r="H667" t="s">
        <v>14</v>
      </c>
      <c r="I667" t="s">
        <v>53</v>
      </c>
      <c r="J667" t="s">
        <v>25</v>
      </c>
      <c r="M667" t="str">
        <f t="shared" si="91"/>
        <v>Eve</v>
      </c>
      <c r="N667">
        <v>50</v>
      </c>
      <c r="O667">
        <f t="shared" si="92"/>
        <v>50</v>
      </c>
      <c r="P667">
        <v>55000</v>
      </c>
      <c r="Q667">
        <f t="shared" si="93"/>
        <v>55000</v>
      </c>
      <c r="R667" t="str">
        <f t="shared" si="94"/>
        <v>Other</v>
      </c>
      <c r="S667" t="str">
        <f t="shared" si="95"/>
        <v>HR</v>
      </c>
      <c r="T667" t="str">
        <f t="shared" si="96"/>
        <v>Director</v>
      </c>
      <c r="U667" s="2">
        <v>43549</v>
      </c>
      <c r="V667" t="s">
        <v>14</v>
      </c>
      <c r="W667" t="s">
        <v>53</v>
      </c>
      <c r="X667" t="str">
        <f t="shared" si="97"/>
        <v>name@company/org</v>
      </c>
      <c r="Y667" t="str">
        <f t="shared" si="98"/>
        <v>name@company.org</v>
      </c>
      <c r="Z667" t="str">
        <f t="shared" si="90"/>
        <v>098-765-4321</v>
      </c>
    </row>
    <row r="668" spans="1:26" x14ac:dyDescent="0.25">
      <c r="A668" t="s">
        <v>26</v>
      </c>
      <c r="B668">
        <v>30</v>
      </c>
      <c r="C668">
        <v>70000</v>
      </c>
      <c r="D668" t="s">
        <v>17</v>
      </c>
      <c r="E668" t="s">
        <v>23</v>
      </c>
      <c r="F668" t="s">
        <v>35</v>
      </c>
      <c r="G668" s="2">
        <v>43845</v>
      </c>
      <c r="H668" t="s">
        <v>20</v>
      </c>
      <c r="J668" t="s">
        <v>21</v>
      </c>
      <c r="M668" t="str">
        <f t="shared" si="91"/>
        <v>Eve</v>
      </c>
      <c r="N668">
        <v>30</v>
      </c>
      <c r="O668">
        <f t="shared" si="92"/>
        <v>30</v>
      </c>
      <c r="P668">
        <v>70000</v>
      </c>
      <c r="Q668">
        <f t="shared" si="93"/>
        <v>70000</v>
      </c>
      <c r="R668" t="str">
        <f t="shared" si="94"/>
        <v>Female</v>
      </c>
      <c r="S668" t="str">
        <f t="shared" si="95"/>
        <v>Sales</v>
      </c>
      <c r="T668" t="str">
        <f t="shared" si="96"/>
        <v>Clerk</v>
      </c>
      <c r="U668" s="2">
        <v>43845</v>
      </c>
      <c r="V668" t="s">
        <v>20</v>
      </c>
      <c r="X668" t="str">
        <f t="shared" si="97"/>
        <v>Email not provided</v>
      </c>
      <c r="Y668" t="str">
        <f t="shared" si="98"/>
        <v>Email not provided</v>
      </c>
      <c r="Z668" t="str">
        <f t="shared" si="90"/>
        <v>123-456-7890</v>
      </c>
    </row>
    <row r="669" spans="1:26" x14ac:dyDescent="0.25">
      <c r="A669" t="s">
        <v>26</v>
      </c>
      <c r="B669">
        <v>40</v>
      </c>
      <c r="C669" t="s">
        <v>30</v>
      </c>
      <c r="D669" t="s">
        <v>17</v>
      </c>
      <c r="E669" t="s">
        <v>27</v>
      </c>
      <c r="F669" t="s">
        <v>37</v>
      </c>
      <c r="G669" s="2">
        <v>43881</v>
      </c>
      <c r="H669" t="s">
        <v>36</v>
      </c>
      <c r="I669" t="s">
        <v>52</v>
      </c>
      <c r="J669" t="s">
        <v>21</v>
      </c>
      <c r="M669" t="str">
        <f t="shared" si="91"/>
        <v>Eve</v>
      </c>
      <c r="N669">
        <v>40</v>
      </c>
      <c r="O669">
        <f t="shared" si="92"/>
        <v>40</v>
      </c>
      <c r="P669" t="s">
        <v>30</v>
      </c>
      <c r="Q669">
        <f t="shared" si="93"/>
        <v>60000</v>
      </c>
      <c r="R669" t="str">
        <f t="shared" si="94"/>
        <v>Female</v>
      </c>
      <c r="S669" t="str">
        <f t="shared" si="95"/>
        <v>IT</v>
      </c>
      <c r="T669" t="str">
        <f t="shared" si="96"/>
        <v>Assistant</v>
      </c>
      <c r="U669" s="2">
        <v>43881</v>
      </c>
      <c r="V669" t="s">
        <v>36</v>
      </c>
      <c r="W669" t="s">
        <v>52</v>
      </c>
      <c r="X669" t="str">
        <f t="shared" si="97"/>
        <v>user@domain/com</v>
      </c>
      <c r="Y669" t="str">
        <f t="shared" si="98"/>
        <v>user@domain.com</v>
      </c>
      <c r="Z669" t="str">
        <f t="shared" si="90"/>
        <v>123-456-7890</v>
      </c>
    </row>
    <row r="670" spans="1:26" x14ac:dyDescent="0.25">
      <c r="A670" t="s">
        <v>31</v>
      </c>
      <c r="B670">
        <v>35</v>
      </c>
      <c r="C670">
        <v>60000</v>
      </c>
      <c r="D670" t="s">
        <v>11</v>
      </c>
      <c r="E670" t="s">
        <v>27</v>
      </c>
      <c r="F670" t="s">
        <v>13</v>
      </c>
      <c r="G670" s="2">
        <v>43549</v>
      </c>
      <c r="H670" t="s">
        <v>36</v>
      </c>
      <c r="I670" t="s">
        <v>51</v>
      </c>
      <c r="J670" t="s">
        <v>15</v>
      </c>
      <c r="M670" t="str">
        <f t="shared" si="91"/>
        <v>Jack</v>
      </c>
      <c r="N670">
        <v>35</v>
      </c>
      <c r="O670">
        <f t="shared" si="92"/>
        <v>35</v>
      </c>
      <c r="P670">
        <v>60000</v>
      </c>
      <c r="Q670">
        <f t="shared" si="93"/>
        <v>60000</v>
      </c>
      <c r="R670" t="str">
        <f t="shared" si="94"/>
        <v>Male</v>
      </c>
      <c r="S670" t="str">
        <f t="shared" si="95"/>
        <v>IT</v>
      </c>
      <c r="T670" t="str">
        <f t="shared" si="96"/>
        <v>Manager</v>
      </c>
      <c r="U670" s="2">
        <v>43549</v>
      </c>
      <c r="V670" t="s">
        <v>36</v>
      </c>
      <c r="W670" t="s">
        <v>51</v>
      </c>
      <c r="X670" t="str">
        <f t="shared" si="97"/>
        <v>email@example/com</v>
      </c>
      <c r="Y670" t="str">
        <f t="shared" si="98"/>
        <v>email@example.com</v>
      </c>
      <c r="Z670" t="str">
        <f t="shared" si="90"/>
        <v>Phone not provided</v>
      </c>
    </row>
    <row r="671" spans="1:26" x14ac:dyDescent="0.25">
      <c r="A671" t="s">
        <v>31</v>
      </c>
      <c r="B671">
        <v>25</v>
      </c>
      <c r="C671">
        <v>60000</v>
      </c>
      <c r="D671" t="s">
        <v>32</v>
      </c>
      <c r="E671" t="s">
        <v>23</v>
      </c>
      <c r="F671" t="s">
        <v>19</v>
      </c>
      <c r="G671" s="1">
        <v>43195</v>
      </c>
      <c r="H671" t="s">
        <v>28</v>
      </c>
      <c r="I671" t="s">
        <v>53</v>
      </c>
      <c r="J671" t="s">
        <v>21</v>
      </c>
      <c r="M671" t="str">
        <f t="shared" si="91"/>
        <v>Jack</v>
      </c>
      <c r="N671">
        <v>25</v>
      </c>
      <c r="O671">
        <f t="shared" si="92"/>
        <v>25</v>
      </c>
      <c r="P671">
        <v>60000</v>
      </c>
      <c r="Q671">
        <f t="shared" si="93"/>
        <v>60000</v>
      </c>
      <c r="R671" t="str">
        <f t="shared" si="94"/>
        <v>Other</v>
      </c>
      <c r="S671" t="str">
        <f t="shared" si="95"/>
        <v>Sales</v>
      </c>
      <c r="T671" t="str">
        <f t="shared" si="96"/>
        <v>Director</v>
      </c>
      <c r="U671" s="2">
        <v>43195</v>
      </c>
      <c r="V671" t="s">
        <v>28</v>
      </c>
      <c r="W671" t="s">
        <v>53</v>
      </c>
      <c r="X671" t="str">
        <f t="shared" si="97"/>
        <v>name@company/org</v>
      </c>
      <c r="Y671" t="str">
        <f t="shared" si="98"/>
        <v>name@company.org</v>
      </c>
      <c r="Z671" t="str">
        <f t="shared" si="90"/>
        <v>123-456-7890</v>
      </c>
    </row>
    <row r="672" spans="1:26" x14ac:dyDescent="0.25">
      <c r="A672" t="s">
        <v>34</v>
      </c>
      <c r="B672">
        <v>25</v>
      </c>
      <c r="C672">
        <v>55000</v>
      </c>
      <c r="D672" t="s">
        <v>17</v>
      </c>
      <c r="E672" t="s">
        <v>23</v>
      </c>
      <c r="F672" t="s">
        <v>19</v>
      </c>
      <c r="G672" s="1">
        <v>43195</v>
      </c>
      <c r="H672" t="s">
        <v>36</v>
      </c>
      <c r="I672" t="s">
        <v>53</v>
      </c>
      <c r="J672" t="s">
        <v>21</v>
      </c>
      <c r="M672" t="str">
        <f t="shared" si="91"/>
        <v>Charlie</v>
      </c>
      <c r="N672">
        <v>25</v>
      </c>
      <c r="O672">
        <f t="shared" si="92"/>
        <v>25</v>
      </c>
      <c r="P672">
        <v>55000</v>
      </c>
      <c r="Q672">
        <f t="shared" si="93"/>
        <v>55000</v>
      </c>
      <c r="R672" t="str">
        <f t="shared" si="94"/>
        <v>Female</v>
      </c>
      <c r="S672" t="str">
        <f t="shared" si="95"/>
        <v>Sales</v>
      </c>
      <c r="T672" t="str">
        <f t="shared" si="96"/>
        <v>Director</v>
      </c>
      <c r="U672" s="2">
        <v>43195</v>
      </c>
      <c r="V672" t="s">
        <v>36</v>
      </c>
      <c r="W672" t="s">
        <v>53</v>
      </c>
      <c r="X672" t="str">
        <f t="shared" si="97"/>
        <v>name@company/org</v>
      </c>
      <c r="Y672" t="str">
        <f t="shared" si="98"/>
        <v>name@company.org</v>
      </c>
      <c r="Z672" t="str">
        <f t="shared" si="90"/>
        <v>123-456-7890</v>
      </c>
    </row>
    <row r="673" spans="1:26" x14ac:dyDescent="0.25">
      <c r="A673" t="s">
        <v>42</v>
      </c>
      <c r="B673" t="s">
        <v>15</v>
      </c>
      <c r="C673">
        <v>50000</v>
      </c>
      <c r="D673" t="s">
        <v>17</v>
      </c>
      <c r="E673" t="s">
        <v>33</v>
      </c>
      <c r="F673" t="s">
        <v>37</v>
      </c>
      <c r="G673" s="2">
        <v>43800</v>
      </c>
      <c r="H673" t="s">
        <v>36</v>
      </c>
      <c r="J673" t="s">
        <v>15</v>
      </c>
      <c r="M673" t="str">
        <f t="shared" si="91"/>
        <v>Alice</v>
      </c>
      <c r="N673" t="s">
        <v>15</v>
      </c>
      <c r="O673">
        <f t="shared" si="92"/>
        <v>35</v>
      </c>
      <c r="P673">
        <v>50000</v>
      </c>
      <c r="Q673">
        <f t="shared" si="93"/>
        <v>50000</v>
      </c>
      <c r="R673" t="str">
        <f t="shared" si="94"/>
        <v>Female</v>
      </c>
      <c r="S673" t="str">
        <f t="shared" si="95"/>
        <v>Marketing</v>
      </c>
      <c r="T673" t="str">
        <f t="shared" si="96"/>
        <v>Assistant</v>
      </c>
      <c r="U673" s="2">
        <v>43800</v>
      </c>
      <c r="V673" t="s">
        <v>36</v>
      </c>
      <c r="X673" t="str">
        <f t="shared" si="97"/>
        <v>Email not provided</v>
      </c>
      <c r="Y673" t="str">
        <f t="shared" si="98"/>
        <v>Email not provided</v>
      </c>
      <c r="Z673" t="str">
        <f t="shared" si="90"/>
        <v>Phone not provided</v>
      </c>
    </row>
    <row r="674" spans="1:26" x14ac:dyDescent="0.25">
      <c r="A674" t="s">
        <v>26</v>
      </c>
      <c r="B674">
        <v>30</v>
      </c>
      <c r="C674">
        <v>70000</v>
      </c>
      <c r="D674" t="s">
        <v>17</v>
      </c>
      <c r="E674" t="s">
        <v>23</v>
      </c>
      <c r="F674" t="s">
        <v>13</v>
      </c>
      <c r="G674" s="1">
        <v>43195</v>
      </c>
      <c r="H674" t="s">
        <v>20</v>
      </c>
      <c r="I674" t="s">
        <v>53</v>
      </c>
      <c r="J674" t="s">
        <v>29</v>
      </c>
      <c r="M674" t="str">
        <f t="shared" si="91"/>
        <v>Eve</v>
      </c>
      <c r="N674">
        <v>30</v>
      </c>
      <c r="O674">
        <f t="shared" si="92"/>
        <v>30</v>
      </c>
      <c r="P674">
        <v>70000</v>
      </c>
      <c r="Q674">
        <f t="shared" si="93"/>
        <v>70000</v>
      </c>
      <c r="R674" t="str">
        <f t="shared" si="94"/>
        <v>Female</v>
      </c>
      <c r="S674" t="str">
        <f t="shared" si="95"/>
        <v>Sales</v>
      </c>
      <c r="T674" t="str">
        <f t="shared" si="96"/>
        <v>Manager</v>
      </c>
      <c r="U674" s="2">
        <v>43195</v>
      </c>
      <c r="V674" t="s">
        <v>20</v>
      </c>
      <c r="W674" t="s">
        <v>53</v>
      </c>
      <c r="X674" t="str">
        <f t="shared" si="97"/>
        <v>name@company/org</v>
      </c>
      <c r="Y674" t="str">
        <f t="shared" si="98"/>
        <v>name@company.org</v>
      </c>
      <c r="Z674" t="str">
        <f t="shared" si="90"/>
        <v>Phone not provided</v>
      </c>
    </row>
    <row r="675" spans="1:26" x14ac:dyDescent="0.25">
      <c r="A675" t="s">
        <v>43</v>
      </c>
      <c r="B675" t="s">
        <v>15</v>
      </c>
      <c r="C675">
        <v>50000</v>
      </c>
      <c r="D675" t="s">
        <v>17</v>
      </c>
      <c r="E675" t="s">
        <v>18</v>
      </c>
      <c r="F675" t="s">
        <v>13</v>
      </c>
      <c r="G675" s="2">
        <v>43800</v>
      </c>
      <c r="H675" t="s">
        <v>14</v>
      </c>
      <c r="I675" t="s">
        <v>52</v>
      </c>
      <c r="J675" t="s">
        <v>39</v>
      </c>
      <c r="M675" t="str">
        <f t="shared" si="91"/>
        <v>Ivy</v>
      </c>
      <c r="N675" t="s">
        <v>15</v>
      </c>
      <c r="O675">
        <f t="shared" si="92"/>
        <v>35</v>
      </c>
      <c r="P675">
        <v>50000</v>
      </c>
      <c r="Q675">
        <f t="shared" si="93"/>
        <v>50000</v>
      </c>
      <c r="R675" t="str">
        <f t="shared" si="94"/>
        <v>Female</v>
      </c>
      <c r="S675" t="str">
        <f t="shared" si="95"/>
        <v>Finance</v>
      </c>
      <c r="T675" t="str">
        <f t="shared" si="96"/>
        <v>Manager</v>
      </c>
      <c r="U675" s="2">
        <v>43800</v>
      </c>
      <c r="V675" t="s">
        <v>14</v>
      </c>
      <c r="W675" t="s">
        <v>52</v>
      </c>
      <c r="X675" t="str">
        <f t="shared" si="97"/>
        <v>user@domain/com</v>
      </c>
      <c r="Y675" t="str">
        <f t="shared" si="98"/>
        <v>user@domain.com</v>
      </c>
      <c r="Z675" t="str">
        <f t="shared" si="90"/>
        <v>555-555-5555</v>
      </c>
    </row>
    <row r="676" spans="1:26" x14ac:dyDescent="0.25">
      <c r="A676" t="s">
        <v>42</v>
      </c>
      <c r="B676">
        <v>35</v>
      </c>
      <c r="C676">
        <v>65000</v>
      </c>
      <c r="D676" t="s">
        <v>17</v>
      </c>
      <c r="E676" t="s">
        <v>27</v>
      </c>
      <c r="F676" t="s">
        <v>37</v>
      </c>
      <c r="G676" s="2">
        <v>43845</v>
      </c>
      <c r="H676" t="s">
        <v>14</v>
      </c>
      <c r="I676" t="s">
        <v>53</v>
      </c>
      <c r="J676" t="s">
        <v>39</v>
      </c>
      <c r="M676" t="str">
        <f t="shared" si="91"/>
        <v>Alice</v>
      </c>
      <c r="N676">
        <v>35</v>
      </c>
      <c r="O676">
        <f t="shared" si="92"/>
        <v>35</v>
      </c>
      <c r="P676">
        <v>65000</v>
      </c>
      <c r="Q676">
        <f t="shared" si="93"/>
        <v>65000</v>
      </c>
      <c r="R676" t="str">
        <f t="shared" si="94"/>
        <v>Female</v>
      </c>
      <c r="S676" t="str">
        <f t="shared" si="95"/>
        <v>IT</v>
      </c>
      <c r="T676" t="str">
        <f t="shared" si="96"/>
        <v>Assistant</v>
      </c>
      <c r="U676" s="2">
        <v>43845</v>
      </c>
      <c r="V676" t="s">
        <v>14</v>
      </c>
      <c r="W676" t="s">
        <v>53</v>
      </c>
      <c r="X676" t="str">
        <f t="shared" si="97"/>
        <v>name@company/org</v>
      </c>
      <c r="Y676" t="str">
        <f t="shared" si="98"/>
        <v>name@company.org</v>
      </c>
      <c r="Z676" t="str">
        <f t="shared" si="90"/>
        <v>555-555-5555</v>
      </c>
    </row>
    <row r="677" spans="1:26" x14ac:dyDescent="0.25">
      <c r="A677" t="s">
        <v>34</v>
      </c>
      <c r="B677" t="s">
        <v>15</v>
      </c>
      <c r="C677">
        <v>65000</v>
      </c>
      <c r="D677" t="s">
        <v>17</v>
      </c>
      <c r="E677" t="s">
        <v>23</v>
      </c>
      <c r="F677" t="s">
        <v>38</v>
      </c>
      <c r="G677" s="2">
        <v>43845</v>
      </c>
      <c r="H677" t="s">
        <v>20</v>
      </c>
      <c r="I677" t="s">
        <v>15</v>
      </c>
      <c r="J677" t="s">
        <v>25</v>
      </c>
      <c r="M677" t="str">
        <f t="shared" si="91"/>
        <v>Charlie</v>
      </c>
      <c r="N677" t="s">
        <v>15</v>
      </c>
      <c r="O677">
        <f t="shared" si="92"/>
        <v>35</v>
      </c>
      <c r="P677">
        <v>65000</v>
      </c>
      <c r="Q677">
        <f t="shared" si="93"/>
        <v>65000</v>
      </c>
      <c r="R677" t="str">
        <f t="shared" si="94"/>
        <v>Female</v>
      </c>
      <c r="S677" t="str">
        <f t="shared" si="95"/>
        <v>Sales</v>
      </c>
      <c r="T677" t="str">
        <f t="shared" si="96"/>
        <v>Analyst</v>
      </c>
      <c r="U677" s="2">
        <v>43845</v>
      </c>
      <c r="V677" t="s">
        <v>20</v>
      </c>
      <c r="W677" t="s">
        <v>15</v>
      </c>
      <c r="X677" t="str">
        <f t="shared" si="97"/>
        <v>Email not provided</v>
      </c>
      <c r="Y677" t="str">
        <f t="shared" si="98"/>
        <v>Email not provided</v>
      </c>
      <c r="Z677" t="str">
        <f t="shared" si="90"/>
        <v>098-765-4321</v>
      </c>
    </row>
    <row r="678" spans="1:26" x14ac:dyDescent="0.25">
      <c r="A678" t="s">
        <v>16</v>
      </c>
      <c r="B678">
        <v>50</v>
      </c>
      <c r="C678" t="s">
        <v>30</v>
      </c>
      <c r="D678" t="s">
        <v>11</v>
      </c>
      <c r="E678" t="s">
        <v>18</v>
      </c>
      <c r="F678" t="s">
        <v>19</v>
      </c>
      <c r="G678" s="2">
        <v>43845</v>
      </c>
      <c r="H678" t="s">
        <v>36</v>
      </c>
      <c r="I678" t="s">
        <v>52</v>
      </c>
      <c r="J678" t="s">
        <v>29</v>
      </c>
      <c r="M678" t="str">
        <f t="shared" si="91"/>
        <v>David</v>
      </c>
      <c r="N678">
        <v>50</v>
      </c>
      <c r="O678">
        <f t="shared" si="92"/>
        <v>50</v>
      </c>
      <c r="P678" t="s">
        <v>30</v>
      </c>
      <c r="Q678">
        <f t="shared" si="93"/>
        <v>60000</v>
      </c>
      <c r="R678" t="str">
        <f t="shared" si="94"/>
        <v>Male</v>
      </c>
      <c r="S678" t="str">
        <f t="shared" si="95"/>
        <v>Finance</v>
      </c>
      <c r="T678" t="str">
        <f t="shared" si="96"/>
        <v>Director</v>
      </c>
      <c r="U678" s="2">
        <v>43845</v>
      </c>
      <c r="V678" t="s">
        <v>36</v>
      </c>
      <c r="W678" t="s">
        <v>52</v>
      </c>
      <c r="X678" t="str">
        <f t="shared" si="97"/>
        <v>user@domain/com</v>
      </c>
      <c r="Y678" t="str">
        <f t="shared" si="98"/>
        <v>user@domain.com</v>
      </c>
      <c r="Z678" t="str">
        <f t="shared" si="90"/>
        <v>Phone not provided</v>
      </c>
    </row>
    <row r="679" spans="1:26" x14ac:dyDescent="0.25">
      <c r="A679" t="s">
        <v>42</v>
      </c>
      <c r="B679">
        <v>25</v>
      </c>
      <c r="C679">
        <v>55000</v>
      </c>
      <c r="D679" t="s">
        <v>32</v>
      </c>
      <c r="E679" t="s">
        <v>18</v>
      </c>
      <c r="F679" t="s">
        <v>19</v>
      </c>
      <c r="G679" s="2">
        <v>43881</v>
      </c>
      <c r="H679" t="s">
        <v>20</v>
      </c>
      <c r="I679" t="s">
        <v>51</v>
      </c>
      <c r="J679" t="s">
        <v>25</v>
      </c>
      <c r="M679" t="str">
        <f t="shared" si="91"/>
        <v>Alice</v>
      </c>
      <c r="N679">
        <v>25</v>
      </c>
      <c r="O679">
        <f t="shared" si="92"/>
        <v>25</v>
      </c>
      <c r="P679">
        <v>55000</v>
      </c>
      <c r="Q679">
        <f t="shared" si="93"/>
        <v>55000</v>
      </c>
      <c r="R679" t="str">
        <f t="shared" si="94"/>
        <v>Other</v>
      </c>
      <c r="S679" t="str">
        <f t="shared" si="95"/>
        <v>Finance</v>
      </c>
      <c r="T679" t="str">
        <f t="shared" si="96"/>
        <v>Director</v>
      </c>
      <c r="U679" s="2">
        <v>43881</v>
      </c>
      <c r="V679" t="s">
        <v>20</v>
      </c>
      <c r="W679" t="s">
        <v>51</v>
      </c>
      <c r="X679" t="str">
        <f t="shared" si="97"/>
        <v>email@example/com</v>
      </c>
      <c r="Y679" t="str">
        <f t="shared" si="98"/>
        <v>email@example.com</v>
      </c>
      <c r="Z679" t="str">
        <f t="shared" si="90"/>
        <v>098-765-4321</v>
      </c>
    </row>
    <row r="680" spans="1:26" x14ac:dyDescent="0.25">
      <c r="A680" t="s">
        <v>42</v>
      </c>
      <c r="B680">
        <v>25</v>
      </c>
      <c r="C680">
        <v>55000</v>
      </c>
      <c r="D680" t="s">
        <v>32</v>
      </c>
      <c r="E680" t="s">
        <v>18</v>
      </c>
      <c r="F680" t="s">
        <v>35</v>
      </c>
      <c r="G680" s="2">
        <v>43881</v>
      </c>
      <c r="H680" t="s">
        <v>28</v>
      </c>
      <c r="I680" t="s">
        <v>51</v>
      </c>
      <c r="J680" t="s">
        <v>39</v>
      </c>
      <c r="M680" t="str">
        <f t="shared" si="91"/>
        <v>Alice</v>
      </c>
      <c r="N680">
        <v>25</v>
      </c>
      <c r="O680">
        <f t="shared" si="92"/>
        <v>25</v>
      </c>
      <c r="P680">
        <v>55000</v>
      </c>
      <c r="Q680">
        <f t="shared" si="93"/>
        <v>55000</v>
      </c>
      <c r="R680" t="str">
        <f t="shared" si="94"/>
        <v>Other</v>
      </c>
      <c r="S680" t="str">
        <f t="shared" si="95"/>
        <v>Finance</v>
      </c>
      <c r="T680" t="str">
        <f t="shared" si="96"/>
        <v>Clerk</v>
      </c>
      <c r="U680" s="2">
        <v>43881</v>
      </c>
      <c r="V680" t="s">
        <v>28</v>
      </c>
      <c r="W680" t="s">
        <v>51</v>
      </c>
      <c r="X680" t="str">
        <f t="shared" si="97"/>
        <v>email@example/com</v>
      </c>
      <c r="Y680" t="str">
        <f t="shared" si="98"/>
        <v>email@example.com</v>
      </c>
      <c r="Z680" t="str">
        <f t="shared" si="90"/>
        <v>555-555-5555</v>
      </c>
    </row>
    <row r="681" spans="1:26" x14ac:dyDescent="0.25">
      <c r="A681" t="s">
        <v>22</v>
      </c>
      <c r="B681">
        <v>40</v>
      </c>
      <c r="C681">
        <v>55000</v>
      </c>
      <c r="D681" t="s">
        <v>17</v>
      </c>
      <c r="E681" t="s">
        <v>18</v>
      </c>
      <c r="F681" t="s">
        <v>37</v>
      </c>
      <c r="G681" s="2">
        <v>43800</v>
      </c>
      <c r="H681" t="s">
        <v>14</v>
      </c>
      <c r="J681" t="s">
        <v>15</v>
      </c>
      <c r="M681" t="str">
        <f t="shared" si="91"/>
        <v>Hannah</v>
      </c>
      <c r="N681">
        <v>40</v>
      </c>
      <c r="O681">
        <f t="shared" si="92"/>
        <v>40</v>
      </c>
      <c r="P681">
        <v>55000</v>
      </c>
      <c r="Q681">
        <f t="shared" si="93"/>
        <v>55000</v>
      </c>
      <c r="R681" t="str">
        <f t="shared" si="94"/>
        <v>Female</v>
      </c>
      <c r="S681" t="str">
        <f t="shared" si="95"/>
        <v>Finance</v>
      </c>
      <c r="T681" t="str">
        <f t="shared" si="96"/>
        <v>Assistant</v>
      </c>
      <c r="U681" s="2">
        <v>43800</v>
      </c>
      <c r="V681" t="s">
        <v>14</v>
      </c>
      <c r="X681" t="str">
        <f t="shared" si="97"/>
        <v>Email not provided</v>
      </c>
      <c r="Y681" t="str">
        <f t="shared" si="98"/>
        <v>Email not provided</v>
      </c>
      <c r="Z681" t="str">
        <f t="shared" si="90"/>
        <v>Phone not provided</v>
      </c>
    </row>
    <row r="682" spans="1:26" x14ac:dyDescent="0.25">
      <c r="A682" t="s">
        <v>41</v>
      </c>
      <c r="B682">
        <v>40</v>
      </c>
      <c r="C682" t="s">
        <v>30</v>
      </c>
      <c r="D682" t="s">
        <v>32</v>
      </c>
      <c r="E682" t="s">
        <v>33</v>
      </c>
      <c r="F682" t="s">
        <v>35</v>
      </c>
      <c r="G682" s="1">
        <v>43195</v>
      </c>
      <c r="H682" t="s">
        <v>24</v>
      </c>
      <c r="J682" t="s">
        <v>21</v>
      </c>
      <c r="M682" t="str">
        <f t="shared" si="91"/>
        <v>Bob</v>
      </c>
      <c r="N682">
        <v>40</v>
      </c>
      <c r="O682">
        <f t="shared" si="92"/>
        <v>40</v>
      </c>
      <c r="P682" t="s">
        <v>30</v>
      </c>
      <c r="Q682">
        <f t="shared" si="93"/>
        <v>60000</v>
      </c>
      <c r="R682" t="str">
        <f t="shared" si="94"/>
        <v>Other</v>
      </c>
      <c r="S682" t="str">
        <f t="shared" si="95"/>
        <v>Marketing</v>
      </c>
      <c r="T682" t="str">
        <f t="shared" si="96"/>
        <v>Clerk</v>
      </c>
      <c r="U682" s="2">
        <v>43195</v>
      </c>
      <c r="V682" t="s">
        <v>24</v>
      </c>
      <c r="X682" t="str">
        <f t="shared" si="97"/>
        <v>Email not provided</v>
      </c>
      <c r="Y682" t="str">
        <f t="shared" si="98"/>
        <v>Email not provided</v>
      </c>
      <c r="Z682" t="str">
        <f t="shared" si="90"/>
        <v>123-456-7890</v>
      </c>
    </row>
    <row r="683" spans="1:26" x14ac:dyDescent="0.25">
      <c r="A683" t="s">
        <v>22</v>
      </c>
      <c r="B683">
        <v>35</v>
      </c>
      <c r="C683">
        <v>65000</v>
      </c>
      <c r="D683" t="s">
        <v>32</v>
      </c>
      <c r="E683" t="s">
        <v>18</v>
      </c>
      <c r="F683" t="s">
        <v>35</v>
      </c>
      <c r="G683" s="1">
        <v>43195</v>
      </c>
      <c r="H683" t="s">
        <v>28</v>
      </c>
      <c r="I683" t="s">
        <v>15</v>
      </c>
      <c r="J683" t="s">
        <v>39</v>
      </c>
      <c r="M683" t="str">
        <f t="shared" si="91"/>
        <v>Hannah</v>
      </c>
      <c r="N683">
        <v>35</v>
      </c>
      <c r="O683">
        <f t="shared" si="92"/>
        <v>35</v>
      </c>
      <c r="P683">
        <v>65000</v>
      </c>
      <c r="Q683">
        <f t="shared" si="93"/>
        <v>65000</v>
      </c>
      <c r="R683" t="str">
        <f t="shared" si="94"/>
        <v>Other</v>
      </c>
      <c r="S683" t="str">
        <f t="shared" si="95"/>
        <v>Finance</v>
      </c>
      <c r="T683" t="str">
        <f t="shared" si="96"/>
        <v>Clerk</v>
      </c>
      <c r="U683" s="2">
        <v>43195</v>
      </c>
      <c r="V683" t="s">
        <v>28</v>
      </c>
      <c r="W683" t="s">
        <v>15</v>
      </c>
      <c r="X683" t="str">
        <f t="shared" si="97"/>
        <v>Email not provided</v>
      </c>
      <c r="Y683" t="str">
        <f t="shared" si="98"/>
        <v>Email not provided</v>
      </c>
      <c r="Z683" t="str">
        <f t="shared" si="90"/>
        <v>555-555-5555</v>
      </c>
    </row>
    <row r="684" spans="1:26" x14ac:dyDescent="0.25">
      <c r="A684" t="s">
        <v>10</v>
      </c>
      <c r="B684">
        <v>50</v>
      </c>
      <c r="C684">
        <v>50000</v>
      </c>
      <c r="D684" t="s">
        <v>32</v>
      </c>
      <c r="E684" t="s">
        <v>33</v>
      </c>
      <c r="F684" t="s">
        <v>13</v>
      </c>
      <c r="G684" s="2">
        <v>43845</v>
      </c>
      <c r="H684" t="s">
        <v>28</v>
      </c>
      <c r="I684" t="s">
        <v>51</v>
      </c>
      <c r="J684" t="s">
        <v>29</v>
      </c>
      <c r="M684" t="str">
        <f t="shared" si="91"/>
        <v>Grace</v>
      </c>
      <c r="N684">
        <v>50</v>
      </c>
      <c r="O684">
        <f t="shared" si="92"/>
        <v>50</v>
      </c>
      <c r="P684">
        <v>50000</v>
      </c>
      <c r="Q684">
        <f t="shared" si="93"/>
        <v>50000</v>
      </c>
      <c r="R684" t="str">
        <f t="shared" si="94"/>
        <v>Other</v>
      </c>
      <c r="S684" t="str">
        <f t="shared" si="95"/>
        <v>Marketing</v>
      </c>
      <c r="T684" t="str">
        <f t="shared" si="96"/>
        <v>Manager</v>
      </c>
      <c r="U684" s="2">
        <v>43845</v>
      </c>
      <c r="V684" t="s">
        <v>28</v>
      </c>
      <c r="W684" t="s">
        <v>51</v>
      </c>
      <c r="X684" t="str">
        <f t="shared" si="97"/>
        <v>email@example/com</v>
      </c>
      <c r="Y684" t="str">
        <f t="shared" si="98"/>
        <v>email@example.com</v>
      </c>
      <c r="Z684" t="str">
        <f t="shared" si="90"/>
        <v>Phone not provided</v>
      </c>
    </row>
    <row r="685" spans="1:26" x14ac:dyDescent="0.25">
      <c r="A685" t="s">
        <v>31</v>
      </c>
      <c r="B685">
        <v>30</v>
      </c>
      <c r="C685" t="s">
        <v>30</v>
      </c>
      <c r="D685" t="s">
        <v>17</v>
      </c>
      <c r="E685" t="s">
        <v>33</v>
      </c>
      <c r="F685" t="s">
        <v>19</v>
      </c>
      <c r="G685" s="2">
        <v>43549</v>
      </c>
      <c r="H685" t="s">
        <v>20</v>
      </c>
      <c r="I685" t="s">
        <v>51</v>
      </c>
      <c r="J685" t="s">
        <v>39</v>
      </c>
      <c r="M685" t="str">
        <f t="shared" si="91"/>
        <v>Jack</v>
      </c>
      <c r="N685">
        <v>30</v>
      </c>
      <c r="O685">
        <f t="shared" si="92"/>
        <v>30</v>
      </c>
      <c r="P685" t="s">
        <v>30</v>
      </c>
      <c r="Q685">
        <f t="shared" si="93"/>
        <v>60000</v>
      </c>
      <c r="R685" t="str">
        <f t="shared" si="94"/>
        <v>Female</v>
      </c>
      <c r="S685" t="str">
        <f t="shared" si="95"/>
        <v>Marketing</v>
      </c>
      <c r="T685" t="str">
        <f t="shared" si="96"/>
        <v>Director</v>
      </c>
      <c r="U685" s="2">
        <v>43549</v>
      </c>
      <c r="V685" t="s">
        <v>20</v>
      </c>
      <c r="W685" t="s">
        <v>51</v>
      </c>
      <c r="X685" t="str">
        <f t="shared" si="97"/>
        <v>email@example/com</v>
      </c>
      <c r="Y685" t="str">
        <f t="shared" si="98"/>
        <v>email@example.com</v>
      </c>
      <c r="Z685" t="str">
        <f t="shared" si="90"/>
        <v>555-555-5555</v>
      </c>
    </row>
    <row r="686" spans="1:26" x14ac:dyDescent="0.25">
      <c r="A686" t="s">
        <v>31</v>
      </c>
      <c r="B686" t="s">
        <v>15</v>
      </c>
      <c r="C686" t="s">
        <v>30</v>
      </c>
      <c r="D686" t="s">
        <v>17</v>
      </c>
      <c r="E686" t="s">
        <v>18</v>
      </c>
      <c r="F686" t="s">
        <v>35</v>
      </c>
      <c r="G686" s="2">
        <v>43881</v>
      </c>
      <c r="H686" t="s">
        <v>36</v>
      </c>
      <c r="I686" t="s">
        <v>51</v>
      </c>
      <c r="J686" t="s">
        <v>29</v>
      </c>
      <c r="M686" t="str">
        <f t="shared" si="91"/>
        <v>Jack</v>
      </c>
      <c r="N686" t="s">
        <v>15</v>
      </c>
      <c r="O686">
        <f t="shared" si="92"/>
        <v>35</v>
      </c>
      <c r="P686" t="s">
        <v>30</v>
      </c>
      <c r="Q686">
        <f t="shared" si="93"/>
        <v>60000</v>
      </c>
      <c r="R686" t="str">
        <f t="shared" si="94"/>
        <v>Female</v>
      </c>
      <c r="S686" t="str">
        <f t="shared" si="95"/>
        <v>Finance</v>
      </c>
      <c r="T686" t="str">
        <f t="shared" si="96"/>
        <v>Clerk</v>
      </c>
      <c r="U686" s="2">
        <v>43881</v>
      </c>
      <c r="V686" t="s">
        <v>36</v>
      </c>
      <c r="W686" t="s">
        <v>51</v>
      </c>
      <c r="X686" t="str">
        <f t="shared" si="97"/>
        <v>email@example/com</v>
      </c>
      <c r="Y686" t="str">
        <f t="shared" si="98"/>
        <v>email@example.com</v>
      </c>
      <c r="Z686" t="str">
        <f t="shared" si="90"/>
        <v>Phone not provided</v>
      </c>
    </row>
    <row r="687" spans="1:26" x14ac:dyDescent="0.25">
      <c r="A687" t="s">
        <v>41</v>
      </c>
      <c r="B687">
        <v>35</v>
      </c>
      <c r="C687">
        <v>50000</v>
      </c>
      <c r="D687" t="s">
        <v>32</v>
      </c>
      <c r="E687" t="s">
        <v>27</v>
      </c>
      <c r="F687" t="s">
        <v>13</v>
      </c>
      <c r="G687" s="2">
        <v>43881</v>
      </c>
      <c r="H687" t="s">
        <v>14</v>
      </c>
      <c r="I687" t="s">
        <v>51</v>
      </c>
      <c r="J687" t="s">
        <v>29</v>
      </c>
      <c r="M687" t="str">
        <f t="shared" si="91"/>
        <v>Bob</v>
      </c>
      <c r="N687">
        <v>35</v>
      </c>
      <c r="O687">
        <f t="shared" si="92"/>
        <v>35</v>
      </c>
      <c r="P687">
        <v>50000</v>
      </c>
      <c r="Q687">
        <f t="shared" si="93"/>
        <v>50000</v>
      </c>
      <c r="R687" t="str">
        <f t="shared" si="94"/>
        <v>Other</v>
      </c>
      <c r="S687" t="str">
        <f t="shared" si="95"/>
        <v>IT</v>
      </c>
      <c r="T687" t="str">
        <f t="shared" si="96"/>
        <v>Manager</v>
      </c>
      <c r="U687" s="2">
        <v>43881</v>
      </c>
      <c r="V687" t="s">
        <v>14</v>
      </c>
      <c r="W687" t="s">
        <v>51</v>
      </c>
      <c r="X687" t="str">
        <f t="shared" si="97"/>
        <v>email@example/com</v>
      </c>
      <c r="Y687" t="str">
        <f t="shared" si="98"/>
        <v>email@example.com</v>
      </c>
      <c r="Z687" t="str">
        <f t="shared" si="90"/>
        <v>Phone not provided</v>
      </c>
    </row>
    <row r="688" spans="1:26" x14ac:dyDescent="0.25">
      <c r="A688" t="s">
        <v>40</v>
      </c>
      <c r="B688">
        <v>40</v>
      </c>
      <c r="C688">
        <v>55000</v>
      </c>
      <c r="D688" t="s">
        <v>32</v>
      </c>
      <c r="E688" t="s">
        <v>18</v>
      </c>
      <c r="F688" t="s">
        <v>37</v>
      </c>
      <c r="G688" s="2">
        <v>43845</v>
      </c>
      <c r="H688" t="s">
        <v>24</v>
      </c>
      <c r="I688" t="s">
        <v>53</v>
      </c>
      <c r="J688" t="s">
        <v>29</v>
      </c>
      <c r="M688" t="str">
        <f t="shared" si="91"/>
        <v>Frank</v>
      </c>
      <c r="N688">
        <v>40</v>
      </c>
      <c r="O688">
        <f t="shared" si="92"/>
        <v>40</v>
      </c>
      <c r="P688">
        <v>55000</v>
      </c>
      <c r="Q688">
        <f t="shared" si="93"/>
        <v>55000</v>
      </c>
      <c r="R688" t="str">
        <f t="shared" si="94"/>
        <v>Other</v>
      </c>
      <c r="S688" t="str">
        <f t="shared" si="95"/>
        <v>Finance</v>
      </c>
      <c r="T688" t="str">
        <f t="shared" si="96"/>
        <v>Assistant</v>
      </c>
      <c r="U688" s="2">
        <v>43845</v>
      </c>
      <c r="V688" t="s">
        <v>24</v>
      </c>
      <c r="W688" t="s">
        <v>53</v>
      </c>
      <c r="X688" t="str">
        <f t="shared" si="97"/>
        <v>name@company/org</v>
      </c>
      <c r="Y688" t="str">
        <f t="shared" si="98"/>
        <v>name@company.org</v>
      </c>
      <c r="Z688" t="str">
        <f t="shared" si="90"/>
        <v>Phone not provided</v>
      </c>
    </row>
    <row r="689" spans="1:26" x14ac:dyDescent="0.25">
      <c r="A689" t="s">
        <v>40</v>
      </c>
      <c r="B689" t="s">
        <v>15</v>
      </c>
      <c r="C689">
        <v>70000</v>
      </c>
      <c r="D689" t="s">
        <v>17</v>
      </c>
      <c r="E689" t="s">
        <v>18</v>
      </c>
      <c r="F689" t="s">
        <v>35</v>
      </c>
      <c r="G689" s="2">
        <v>43881</v>
      </c>
      <c r="H689" t="s">
        <v>28</v>
      </c>
      <c r="I689" t="s">
        <v>52</v>
      </c>
      <c r="J689" t="s">
        <v>25</v>
      </c>
      <c r="M689" t="str">
        <f t="shared" si="91"/>
        <v>Frank</v>
      </c>
      <c r="N689" t="s">
        <v>15</v>
      </c>
      <c r="O689">
        <f t="shared" si="92"/>
        <v>35</v>
      </c>
      <c r="P689">
        <v>70000</v>
      </c>
      <c r="Q689">
        <f t="shared" si="93"/>
        <v>70000</v>
      </c>
      <c r="R689" t="str">
        <f t="shared" si="94"/>
        <v>Female</v>
      </c>
      <c r="S689" t="str">
        <f t="shared" si="95"/>
        <v>Finance</v>
      </c>
      <c r="T689" t="str">
        <f t="shared" si="96"/>
        <v>Clerk</v>
      </c>
      <c r="U689" s="2">
        <v>43881</v>
      </c>
      <c r="V689" t="s">
        <v>28</v>
      </c>
      <c r="W689" t="s">
        <v>52</v>
      </c>
      <c r="X689" t="str">
        <f t="shared" si="97"/>
        <v>user@domain/com</v>
      </c>
      <c r="Y689" t="str">
        <f t="shared" si="98"/>
        <v>user@domain.com</v>
      </c>
      <c r="Z689" t="str">
        <f t="shared" si="90"/>
        <v>098-765-4321</v>
      </c>
    </row>
    <row r="690" spans="1:26" x14ac:dyDescent="0.25">
      <c r="A690" t="s">
        <v>34</v>
      </c>
      <c r="B690">
        <v>40</v>
      </c>
      <c r="C690">
        <v>50000</v>
      </c>
      <c r="D690" t="s">
        <v>11</v>
      </c>
      <c r="E690" t="s">
        <v>18</v>
      </c>
      <c r="F690" t="s">
        <v>19</v>
      </c>
      <c r="G690" s="2">
        <v>43845</v>
      </c>
      <c r="H690" t="s">
        <v>24</v>
      </c>
      <c r="I690" t="s">
        <v>52</v>
      </c>
      <c r="J690" t="s">
        <v>15</v>
      </c>
      <c r="M690" t="str">
        <f t="shared" si="91"/>
        <v>Charlie</v>
      </c>
      <c r="N690">
        <v>40</v>
      </c>
      <c r="O690">
        <f t="shared" si="92"/>
        <v>40</v>
      </c>
      <c r="P690">
        <v>50000</v>
      </c>
      <c r="Q690">
        <f t="shared" si="93"/>
        <v>50000</v>
      </c>
      <c r="R690" t="str">
        <f t="shared" si="94"/>
        <v>Male</v>
      </c>
      <c r="S690" t="str">
        <f t="shared" si="95"/>
        <v>Finance</v>
      </c>
      <c r="T690" t="str">
        <f t="shared" si="96"/>
        <v>Director</v>
      </c>
      <c r="U690" s="2">
        <v>43845</v>
      </c>
      <c r="V690" t="s">
        <v>24</v>
      </c>
      <c r="W690" t="s">
        <v>52</v>
      </c>
      <c r="X690" t="str">
        <f t="shared" si="97"/>
        <v>user@domain/com</v>
      </c>
      <c r="Y690" t="str">
        <f t="shared" si="98"/>
        <v>user@domain.com</v>
      </c>
      <c r="Z690" t="str">
        <f t="shared" si="90"/>
        <v>Phone not provided</v>
      </c>
    </row>
    <row r="691" spans="1:26" x14ac:dyDescent="0.25">
      <c r="A691" t="s">
        <v>41</v>
      </c>
      <c r="B691" t="s">
        <v>15</v>
      </c>
      <c r="C691">
        <v>65000</v>
      </c>
      <c r="D691" t="s">
        <v>32</v>
      </c>
      <c r="E691" t="s">
        <v>27</v>
      </c>
      <c r="F691" t="s">
        <v>35</v>
      </c>
      <c r="G691" s="2">
        <v>43800</v>
      </c>
      <c r="H691" t="s">
        <v>36</v>
      </c>
      <c r="I691" t="s">
        <v>15</v>
      </c>
      <c r="J691" t="s">
        <v>39</v>
      </c>
      <c r="M691" t="str">
        <f t="shared" si="91"/>
        <v>Bob</v>
      </c>
      <c r="N691" t="s">
        <v>15</v>
      </c>
      <c r="O691">
        <f t="shared" si="92"/>
        <v>35</v>
      </c>
      <c r="P691">
        <v>65000</v>
      </c>
      <c r="Q691">
        <f t="shared" si="93"/>
        <v>65000</v>
      </c>
      <c r="R691" t="str">
        <f t="shared" si="94"/>
        <v>Other</v>
      </c>
      <c r="S691" t="str">
        <f t="shared" si="95"/>
        <v>IT</v>
      </c>
      <c r="T691" t="str">
        <f t="shared" si="96"/>
        <v>Clerk</v>
      </c>
      <c r="U691" s="2">
        <v>43800</v>
      </c>
      <c r="V691" t="s">
        <v>36</v>
      </c>
      <c r="W691" t="s">
        <v>15</v>
      </c>
      <c r="X691" t="str">
        <f t="shared" si="97"/>
        <v>Email not provided</v>
      </c>
      <c r="Y691" t="str">
        <f t="shared" si="98"/>
        <v>Email not provided</v>
      </c>
      <c r="Z691" t="str">
        <f t="shared" si="90"/>
        <v>555-555-5555</v>
      </c>
    </row>
    <row r="692" spans="1:26" x14ac:dyDescent="0.25">
      <c r="A692" t="s">
        <v>42</v>
      </c>
      <c r="B692">
        <v>30</v>
      </c>
      <c r="C692">
        <v>60000</v>
      </c>
      <c r="D692" t="s">
        <v>11</v>
      </c>
      <c r="E692" t="s">
        <v>12</v>
      </c>
      <c r="F692" t="s">
        <v>37</v>
      </c>
      <c r="G692" s="1">
        <v>43195</v>
      </c>
      <c r="H692" t="s">
        <v>36</v>
      </c>
      <c r="I692" t="s">
        <v>53</v>
      </c>
      <c r="J692" t="s">
        <v>15</v>
      </c>
      <c r="M692" t="str">
        <f t="shared" si="91"/>
        <v>Alice</v>
      </c>
      <c r="N692">
        <v>30</v>
      </c>
      <c r="O692">
        <f t="shared" si="92"/>
        <v>30</v>
      </c>
      <c r="P692">
        <v>60000</v>
      </c>
      <c r="Q692">
        <f t="shared" si="93"/>
        <v>60000</v>
      </c>
      <c r="R692" t="str">
        <f t="shared" si="94"/>
        <v>Male</v>
      </c>
      <c r="S692" t="str">
        <f t="shared" si="95"/>
        <v>HR</v>
      </c>
      <c r="T692" t="str">
        <f t="shared" si="96"/>
        <v>Assistant</v>
      </c>
      <c r="U692" s="2">
        <v>43195</v>
      </c>
      <c r="V692" t="s">
        <v>36</v>
      </c>
      <c r="W692" t="s">
        <v>53</v>
      </c>
      <c r="X692" t="str">
        <f t="shared" si="97"/>
        <v>name@company/org</v>
      </c>
      <c r="Y692" t="str">
        <f t="shared" si="98"/>
        <v>name@company.org</v>
      </c>
      <c r="Z692" t="str">
        <f t="shared" si="90"/>
        <v>Phone not provided</v>
      </c>
    </row>
    <row r="693" spans="1:26" x14ac:dyDescent="0.25">
      <c r="A693" t="s">
        <v>40</v>
      </c>
      <c r="B693">
        <v>35</v>
      </c>
      <c r="C693">
        <v>60000</v>
      </c>
      <c r="D693" t="s">
        <v>32</v>
      </c>
      <c r="E693" t="s">
        <v>12</v>
      </c>
      <c r="F693" t="s">
        <v>35</v>
      </c>
      <c r="G693" s="2">
        <v>43549</v>
      </c>
      <c r="H693" t="s">
        <v>24</v>
      </c>
      <c r="I693" t="s">
        <v>51</v>
      </c>
      <c r="J693" t="s">
        <v>21</v>
      </c>
      <c r="M693" t="str">
        <f t="shared" si="91"/>
        <v>Frank</v>
      </c>
      <c r="N693">
        <v>35</v>
      </c>
      <c r="O693">
        <f t="shared" si="92"/>
        <v>35</v>
      </c>
      <c r="P693">
        <v>60000</v>
      </c>
      <c r="Q693">
        <f t="shared" si="93"/>
        <v>60000</v>
      </c>
      <c r="R693" t="str">
        <f t="shared" si="94"/>
        <v>Other</v>
      </c>
      <c r="S693" t="str">
        <f t="shared" si="95"/>
        <v>HR</v>
      </c>
      <c r="T693" t="str">
        <f t="shared" si="96"/>
        <v>Clerk</v>
      </c>
      <c r="U693" s="2">
        <v>43549</v>
      </c>
      <c r="V693" t="s">
        <v>24</v>
      </c>
      <c r="W693" t="s">
        <v>51</v>
      </c>
      <c r="X693" t="str">
        <f t="shared" si="97"/>
        <v>email@example/com</v>
      </c>
      <c r="Y693" t="str">
        <f t="shared" si="98"/>
        <v>email@example.com</v>
      </c>
      <c r="Z693" t="str">
        <f t="shared" si="90"/>
        <v>123-456-7890</v>
      </c>
    </row>
    <row r="694" spans="1:26" x14ac:dyDescent="0.25">
      <c r="A694" t="s">
        <v>26</v>
      </c>
      <c r="B694" t="s">
        <v>15</v>
      </c>
      <c r="C694" t="s">
        <v>30</v>
      </c>
      <c r="D694" t="s">
        <v>11</v>
      </c>
      <c r="E694" t="s">
        <v>33</v>
      </c>
      <c r="F694" t="s">
        <v>19</v>
      </c>
      <c r="G694" s="1">
        <v>43195</v>
      </c>
      <c r="H694" t="s">
        <v>14</v>
      </c>
      <c r="I694" t="s">
        <v>51</v>
      </c>
      <c r="J694" t="s">
        <v>39</v>
      </c>
      <c r="M694" t="str">
        <f t="shared" si="91"/>
        <v>Eve</v>
      </c>
      <c r="N694" t="s">
        <v>15</v>
      </c>
      <c r="O694">
        <f t="shared" si="92"/>
        <v>35</v>
      </c>
      <c r="P694" t="s">
        <v>30</v>
      </c>
      <c r="Q694">
        <f t="shared" si="93"/>
        <v>60000</v>
      </c>
      <c r="R694" t="str">
        <f t="shared" si="94"/>
        <v>Male</v>
      </c>
      <c r="S694" t="str">
        <f t="shared" si="95"/>
        <v>Marketing</v>
      </c>
      <c r="T694" t="str">
        <f t="shared" si="96"/>
        <v>Director</v>
      </c>
      <c r="U694" s="2">
        <v>43195</v>
      </c>
      <c r="V694" t="s">
        <v>14</v>
      </c>
      <c r="W694" t="s">
        <v>51</v>
      </c>
      <c r="X694" t="str">
        <f t="shared" si="97"/>
        <v>email@example/com</v>
      </c>
      <c r="Y694" t="str">
        <f t="shared" si="98"/>
        <v>email@example.com</v>
      </c>
      <c r="Z694" t="str">
        <f t="shared" si="90"/>
        <v>555-555-5555</v>
      </c>
    </row>
    <row r="695" spans="1:26" x14ac:dyDescent="0.25">
      <c r="A695" t="s">
        <v>43</v>
      </c>
      <c r="B695">
        <v>50</v>
      </c>
      <c r="C695">
        <v>60000</v>
      </c>
      <c r="D695" t="s">
        <v>11</v>
      </c>
      <c r="E695" t="s">
        <v>33</v>
      </c>
      <c r="F695" t="s">
        <v>13</v>
      </c>
      <c r="G695" s="1">
        <v>43195</v>
      </c>
      <c r="H695" t="s">
        <v>36</v>
      </c>
      <c r="J695" t="s">
        <v>15</v>
      </c>
      <c r="M695" t="str">
        <f t="shared" si="91"/>
        <v>Ivy</v>
      </c>
      <c r="N695">
        <v>50</v>
      </c>
      <c r="O695">
        <f t="shared" si="92"/>
        <v>50</v>
      </c>
      <c r="P695">
        <v>60000</v>
      </c>
      <c r="Q695">
        <f t="shared" si="93"/>
        <v>60000</v>
      </c>
      <c r="R695" t="str">
        <f t="shared" si="94"/>
        <v>Male</v>
      </c>
      <c r="S695" t="str">
        <f t="shared" si="95"/>
        <v>Marketing</v>
      </c>
      <c r="T695" t="str">
        <f t="shared" si="96"/>
        <v>Manager</v>
      </c>
      <c r="U695" s="2">
        <v>43195</v>
      </c>
      <c r="V695" t="s">
        <v>36</v>
      </c>
      <c r="X695" t="str">
        <f t="shared" si="97"/>
        <v>Email not provided</v>
      </c>
      <c r="Y695" t="str">
        <f t="shared" si="98"/>
        <v>Email not provided</v>
      </c>
      <c r="Z695" t="str">
        <f t="shared" si="90"/>
        <v>Phone not provided</v>
      </c>
    </row>
    <row r="696" spans="1:26" x14ac:dyDescent="0.25">
      <c r="A696" t="s">
        <v>42</v>
      </c>
      <c r="B696">
        <v>25</v>
      </c>
      <c r="C696">
        <v>70000</v>
      </c>
      <c r="D696" t="s">
        <v>11</v>
      </c>
      <c r="E696" t="s">
        <v>27</v>
      </c>
      <c r="F696" t="s">
        <v>19</v>
      </c>
      <c r="G696" s="2">
        <v>43800</v>
      </c>
      <c r="H696" t="s">
        <v>24</v>
      </c>
      <c r="J696" t="s">
        <v>15</v>
      </c>
      <c r="M696" t="str">
        <f t="shared" si="91"/>
        <v>Alice</v>
      </c>
      <c r="N696">
        <v>25</v>
      </c>
      <c r="O696">
        <f t="shared" si="92"/>
        <v>25</v>
      </c>
      <c r="P696">
        <v>70000</v>
      </c>
      <c r="Q696">
        <f t="shared" si="93"/>
        <v>70000</v>
      </c>
      <c r="R696" t="str">
        <f t="shared" si="94"/>
        <v>Male</v>
      </c>
      <c r="S696" t="str">
        <f t="shared" si="95"/>
        <v>IT</v>
      </c>
      <c r="T696" t="str">
        <f t="shared" si="96"/>
        <v>Director</v>
      </c>
      <c r="U696" s="2">
        <v>43800</v>
      </c>
      <c r="V696" t="s">
        <v>24</v>
      </c>
      <c r="X696" t="str">
        <f t="shared" si="97"/>
        <v>Email not provided</v>
      </c>
      <c r="Y696" t="str">
        <f t="shared" si="98"/>
        <v>Email not provided</v>
      </c>
      <c r="Z696" t="str">
        <f t="shared" si="90"/>
        <v>Phone not provided</v>
      </c>
    </row>
    <row r="697" spans="1:26" x14ac:dyDescent="0.25">
      <c r="A697" t="s">
        <v>10</v>
      </c>
      <c r="B697">
        <v>50</v>
      </c>
      <c r="C697">
        <v>55000</v>
      </c>
      <c r="D697" t="s">
        <v>17</v>
      </c>
      <c r="E697" t="s">
        <v>23</v>
      </c>
      <c r="F697" t="s">
        <v>13</v>
      </c>
      <c r="G697" s="2">
        <v>43881</v>
      </c>
      <c r="H697" t="s">
        <v>28</v>
      </c>
      <c r="I697" t="s">
        <v>15</v>
      </c>
      <c r="J697" t="s">
        <v>21</v>
      </c>
      <c r="M697" t="str">
        <f t="shared" si="91"/>
        <v>Grace</v>
      </c>
      <c r="N697">
        <v>50</v>
      </c>
      <c r="O697">
        <f t="shared" si="92"/>
        <v>50</v>
      </c>
      <c r="P697">
        <v>55000</v>
      </c>
      <c r="Q697">
        <f t="shared" si="93"/>
        <v>55000</v>
      </c>
      <c r="R697" t="str">
        <f t="shared" si="94"/>
        <v>Female</v>
      </c>
      <c r="S697" t="str">
        <f t="shared" si="95"/>
        <v>Sales</v>
      </c>
      <c r="T697" t="str">
        <f t="shared" si="96"/>
        <v>Manager</v>
      </c>
      <c r="U697" s="2">
        <v>43881</v>
      </c>
      <c r="V697" t="s">
        <v>28</v>
      </c>
      <c r="W697" t="s">
        <v>15</v>
      </c>
      <c r="X697" t="str">
        <f t="shared" si="97"/>
        <v>Email not provided</v>
      </c>
      <c r="Y697" t="str">
        <f t="shared" si="98"/>
        <v>Email not provided</v>
      </c>
      <c r="Z697" t="str">
        <f t="shared" si="90"/>
        <v>123-456-7890</v>
      </c>
    </row>
    <row r="698" spans="1:26" x14ac:dyDescent="0.25">
      <c r="A698" t="s">
        <v>26</v>
      </c>
      <c r="B698">
        <v>50</v>
      </c>
      <c r="C698">
        <v>65000</v>
      </c>
      <c r="D698" t="s">
        <v>11</v>
      </c>
      <c r="E698" t="s">
        <v>12</v>
      </c>
      <c r="F698" t="s">
        <v>38</v>
      </c>
      <c r="G698" s="2">
        <v>43549</v>
      </c>
      <c r="H698" t="s">
        <v>24</v>
      </c>
      <c r="I698" t="s">
        <v>51</v>
      </c>
      <c r="J698" t="s">
        <v>29</v>
      </c>
      <c r="M698" t="str">
        <f t="shared" si="91"/>
        <v>Eve</v>
      </c>
      <c r="N698">
        <v>50</v>
      </c>
      <c r="O698">
        <f t="shared" si="92"/>
        <v>50</v>
      </c>
      <c r="P698">
        <v>65000</v>
      </c>
      <c r="Q698">
        <f t="shared" si="93"/>
        <v>65000</v>
      </c>
      <c r="R698" t="str">
        <f t="shared" si="94"/>
        <v>Male</v>
      </c>
      <c r="S698" t="str">
        <f t="shared" si="95"/>
        <v>HR</v>
      </c>
      <c r="T698" t="str">
        <f t="shared" si="96"/>
        <v>Analyst</v>
      </c>
      <c r="U698" s="2">
        <v>43549</v>
      </c>
      <c r="V698" t="s">
        <v>24</v>
      </c>
      <c r="W698" t="s">
        <v>51</v>
      </c>
      <c r="X698" t="str">
        <f t="shared" si="97"/>
        <v>email@example/com</v>
      </c>
      <c r="Y698" t="str">
        <f t="shared" si="98"/>
        <v>email@example.com</v>
      </c>
      <c r="Z698" t="str">
        <f t="shared" si="90"/>
        <v>Phone not provided</v>
      </c>
    </row>
    <row r="699" spans="1:26" x14ac:dyDescent="0.25">
      <c r="A699" t="s">
        <v>26</v>
      </c>
      <c r="B699">
        <v>25</v>
      </c>
      <c r="C699">
        <v>70000</v>
      </c>
      <c r="D699" t="s">
        <v>11</v>
      </c>
      <c r="E699" t="s">
        <v>33</v>
      </c>
      <c r="F699" t="s">
        <v>19</v>
      </c>
      <c r="G699" s="2">
        <v>43881</v>
      </c>
      <c r="H699" t="s">
        <v>24</v>
      </c>
      <c r="I699" t="s">
        <v>15</v>
      </c>
      <c r="J699" t="s">
        <v>39</v>
      </c>
      <c r="M699" t="str">
        <f t="shared" si="91"/>
        <v>Eve</v>
      </c>
      <c r="N699">
        <v>25</v>
      </c>
      <c r="O699">
        <f t="shared" si="92"/>
        <v>25</v>
      </c>
      <c r="P699">
        <v>70000</v>
      </c>
      <c r="Q699">
        <f t="shared" si="93"/>
        <v>70000</v>
      </c>
      <c r="R699" t="str">
        <f t="shared" si="94"/>
        <v>Male</v>
      </c>
      <c r="S699" t="str">
        <f t="shared" si="95"/>
        <v>Marketing</v>
      </c>
      <c r="T699" t="str">
        <f t="shared" si="96"/>
        <v>Director</v>
      </c>
      <c r="U699" s="2">
        <v>43881</v>
      </c>
      <c r="V699" t="s">
        <v>24</v>
      </c>
      <c r="W699" t="s">
        <v>15</v>
      </c>
      <c r="X699" t="str">
        <f t="shared" si="97"/>
        <v>Email not provided</v>
      </c>
      <c r="Y699" t="str">
        <f t="shared" si="98"/>
        <v>Email not provided</v>
      </c>
      <c r="Z699" t="str">
        <f t="shared" si="90"/>
        <v>555-555-5555</v>
      </c>
    </row>
    <row r="700" spans="1:26" x14ac:dyDescent="0.25">
      <c r="A700" t="s">
        <v>41</v>
      </c>
      <c r="B700">
        <v>50</v>
      </c>
      <c r="C700">
        <v>65000</v>
      </c>
      <c r="D700" t="s">
        <v>11</v>
      </c>
      <c r="E700" t="s">
        <v>12</v>
      </c>
      <c r="F700" t="s">
        <v>19</v>
      </c>
      <c r="G700" s="1">
        <v>43195</v>
      </c>
      <c r="H700" t="s">
        <v>20</v>
      </c>
      <c r="I700" t="s">
        <v>53</v>
      </c>
      <c r="J700" t="s">
        <v>39</v>
      </c>
      <c r="M700" t="str">
        <f t="shared" si="91"/>
        <v>Bob</v>
      </c>
      <c r="N700">
        <v>50</v>
      </c>
      <c r="O700">
        <f t="shared" si="92"/>
        <v>50</v>
      </c>
      <c r="P700">
        <v>65000</v>
      </c>
      <c r="Q700">
        <f t="shared" si="93"/>
        <v>65000</v>
      </c>
      <c r="R700" t="str">
        <f t="shared" si="94"/>
        <v>Male</v>
      </c>
      <c r="S700" t="str">
        <f t="shared" si="95"/>
        <v>HR</v>
      </c>
      <c r="T700" t="str">
        <f t="shared" si="96"/>
        <v>Director</v>
      </c>
      <c r="U700" s="2">
        <v>43195</v>
      </c>
      <c r="V700" t="s">
        <v>20</v>
      </c>
      <c r="W700" t="s">
        <v>53</v>
      </c>
      <c r="X700" t="str">
        <f t="shared" si="97"/>
        <v>name@company/org</v>
      </c>
      <c r="Y700" t="str">
        <f t="shared" si="98"/>
        <v>name@company.org</v>
      </c>
      <c r="Z700" t="str">
        <f t="shared" si="90"/>
        <v>555-555-5555</v>
      </c>
    </row>
    <row r="701" spans="1:26" x14ac:dyDescent="0.25">
      <c r="A701" t="s">
        <v>34</v>
      </c>
      <c r="B701" t="s">
        <v>15</v>
      </c>
      <c r="C701">
        <v>65000</v>
      </c>
      <c r="D701" t="s">
        <v>32</v>
      </c>
      <c r="E701" t="s">
        <v>27</v>
      </c>
      <c r="F701" t="s">
        <v>37</v>
      </c>
      <c r="G701" s="2">
        <v>43845</v>
      </c>
      <c r="H701" t="s">
        <v>36</v>
      </c>
      <c r="I701" t="s">
        <v>52</v>
      </c>
      <c r="J701" t="s">
        <v>21</v>
      </c>
      <c r="M701" t="str">
        <f t="shared" si="91"/>
        <v>Charlie</v>
      </c>
      <c r="N701" t="s">
        <v>15</v>
      </c>
      <c r="O701">
        <f t="shared" si="92"/>
        <v>35</v>
      </c>
      <c r="P701">
        <v>65000</v>
      </c>
      <c r="Q701">
        <f t="shared" si="93"/>
        <v>65000</v>
      </c>
      <c r="R701" t="str">
        <f t="shared" si="94"/>
        <v>Other</v>
      </c>
      <c r="S701" t="str">
        <f t="shared" si="95"/>
        <v>IT</v>
      </c>
      <c r="T701" t="str">
        <f t="shared" si="96"/>
        <v>Assistant</v>
      </c>
      <c r="U701" s="2">
        <v>43845</v>
      </c>
      <c r="V701" t="s">
        <v>36</v>
      </c>
      <c r="W701" t="s">
        <v>52</v>
      </c>
      <c r="X701" t="str">
        <f t="shared" si="97"/>
        <v>user@domain/com</v>
      </c>
      <c r="Y701" t="str">
        <f t="shared" si="98"/>
        <v>user@domain.com</v>
      </c>
      <c r="Z701" t="str">
        <f t="shared" si="90"/>
        <v>123-456-7890</v>
      </c>
    </row>
    <row r="702" spans="1:26" x14ac:dyDescent="0.25">
      <c r="A702" t="s">
        <v>10</v>
      </c>
      <c r="B702" t="s">
        <v>15</v>
      </c>
      <c r="C702">
        <v>55000</v>
      </c>
      <c r="D702" t="s">
        <v>11</v>
      </c>
      <c r="E702" t="s">
        <v>27</v>
      </c>
      <c r="F702" t="s">
        <v>35</v>
      </c>
      <c r="G702" s="1">
        <v>43195</v>
      </c>
      <c r="H702" t="s">
        <v>14</v>
      </c>
      <c r="I702" t="s">
        <v>51</v>
      </c>
      <c r="J702" t="s">
        <v>29</v>
      </c>
      <c r="M702" t="str">
        <f t="shared" si="91"/>
        <v>Grace</v>
      </c>
      <c r="N702" t="s">
        <v>15</v>
      </c>
      <c r="O702">
        <f t="shared" si="92"/>
        <v>35</v>
      </c>
      <c r="P702">
        <v>55000</v>
      </c>
      <c r="Q702">
        <f t="shared" si="93"/>
        <v>55000</v>
      </c>
      <c r="R702" t="str">
        <f t="shared" si="94"/>
        <v>Male</v>
      </c>
      <c r="S702" t="str">
        <f t="shared" si="95"/>
        <v>IT</v>
      </c>
      <c r="T702" t="str">
        <f t="shared" si="96"/>
        <v>Clerk</v>
      </c>
      <c r="U702" s="2">
        <v>43195</v>
      </c>
      <c r="V702" t="s">
        <v>14</v>
      </c>
      <c r="W702" t="s">
        <v>51</v>
      </c>
      <c r="X702" t="str">
        <f t="shared" si="97"/>
        <v>email@example/com</v>
      </c>
      <c r="Y702" t="str">
        <f t="shared" si="98"/>
        <v>email@example.com</v>
      </c>
      <c r="Z702" t="str">
        <f t="shared" si="90"/>
        <v>Phone not provided</v>
      </c>
    </row>
    <row r="703" spans="1:26" x14ac:dyDescent="0.25">
      <c r="A703" t="s">
        <v>40</v>
      </c>
      <c r="B703" t="s">
        <v>15</v>
      </c>
      <c r="C703" t="s">
        <v>30</v>
      </c>
      <c r="D703" t="s">
        <v>32</v>
      </c>
      <c r="E703" t="s">
        <v>23</v>
      </c>
      <c r="F703" t="s">
        <v>13</v>
      </c>
      <c r="G703" s="2">
        <v>43881</v>
      </c>
      <c r="H703" t="s">
        <v>14</v>
      </c>
      <c r="I703" t="s">
        <v>53</v>
      </c>
      <c r="J703" t="s">
        <v>39</v>
      </c>
      <c r="M703" t="str">
        <f t="shared" si="91"/>
        <v>Frank</v>
      </c>
      <c r="N703" t="s">
        <v>15</v>
      </c>
      <c r="O703">
        <f t="shared" si="92"/>
        <v>35</v>
      </c>
      <c r="P703" t="s">
        <v>30</v>
      </c>
      <c r="Q703">
        <f t="shared" si="93"/>
        <v>60000</v>
      </c>
      <c r="R703" t="str">
        <f t="shared" si="94"/>
        <v>Other</v>
      </c>
      <c r="S703" t="str">
        <f t="shared" si="95"/>
        <v>Sales</v>
      </c>
      <c r="T703" t="str">
        <f t="shared" si="96"/>
        <v>Manager</v>
      </c>
      <c r="U703" s="2">
        <v>43881</v>
      </c>
      <c r="V703" t="s">
        <v>14</v>
      </c>
      <c r="W703" t="s">
        <v>53</v>
      </c>
      <c r="X703" t="str">
        <f t="shared" si="97"/>
        <v>name@company/org</v>
      </c>
      <c r="Y703" t="str">
        <f t="shared" si="98"/>
        <v>name@company.org</v>
      </c>
      <c r="Z703" t="str">
        <f t="shared" si="90"/>
        <v>555-555-5555</v>
      </c>
    </row>
    <row r="704" spans="1:26" x14ac:dyDescent="0.25">
      <c r="A704" t="s">
        <v>41</v>
      </c>
      <c r="B704">
        <v>25</v>
      </c>
      <c r="C704">
        <v>60000</v>
      </c>
      <c r="D704" t="s">
        <v>11</v>
      </c>
      <c r="E704" t="s">
        <v>23</v>
      </c>
      <c r="F704" t="s">
        <v>13</v>
      </c>
      <c r="G704" s="1">
        <v>43195</v>
      </c>
      <c r="H704" t="s">
        <v>20</v>
      </c>
      <c r="I704" t="s">
        <v>51</v>
      </c>
      <c r="J704" t="s">
        <v>39</v>
      </c>
      <c r="M704" t="str">
        <f t="shared" si="91"/>
        <v>Bob</v>
      </c>
      <c r="N704">
        <v>25</v>
      </c>
      <c r="O704">
        <f t="shared" si="92"/>
        <v>25</v>
      </c>
      <c r="P704">
        <v>60000</v>
      </c>
      <c r="Q704">
        <f t="shared" si="93"/>
        <v>60000</v>
      </c>
      <c r="R704" t="str">
        <f t="shared" si="94"/>
        <v>Male</v>
      </c>
      <c r="S704" t="str">
        <f t="shared" si="95"/>
        <v>Sales</v>
      </c>
      <c r="T704" t="str">
        <f t="shared" si="96"/>
        <v>Manager</v>
      </c>
      <c r="U704" s="2">
        <v>43195</v>
      </c>
      <c r="V704" t="s">
        <v>20</v>
      </c>
      <c r="W704" t="s">
        <v>51</v>
      </c>
      <c r="X704" t="str">
        <f t="shared" si="97"/>
        <v>email@example/com</v>
      </c>
      <c r="Y704" t="str">
        <f t="shared" si="98"/>
        <v>email@example.com</v>
      </c>
      <c r="Z704" t="str">
        <f t="shared" si="90"/>
        <v>555-555-5555</v>
      </c>
    </row>
    <row r="705" spans="1:26" x14ac:dyDescent="0.25">
      <c r="A705" t="s">
        <v>40</v>
      </c>
      <c r="B705">
        <v>50</v>
      </c>
      <c r="C705">
        <v>55000</v>
      </c>
      <c r="D705" t="s">
        <v>11</v>
      </c>
      <c r="E705" t="s">
        <v>27</v>
      </c>
      <c r="F705" t="s">
        <v>37</v>
      </c>
      <c r="G705" s="2">
        <v>43845</v>
      </c>
      <c r="H705" t="s">
        <v>14</v>
      </c>
      <c r="J705" t="s">
        <v>39</v>
      </c>
      <c r="M705" t="str">
        <f t="shared" si="91"/>
        <v>Frank</v>
      </c>
      <c r="N705">
        <v>50</v>
      </c>
      <c r="O705">
        <f t="shared" si="92"/>
        <v>50</v>
      </c>
      <c r="P705">
        <v>55000</v>
      </c>
      <c r="Q705">
        <f t="shared" si="93"/>
        <v>55000</v>
      </c>
      <c r="R705" t="str">
        <f t="shared" si="94"/>
        <v>Male</v>
      </c>
      <c r="S705" t="str">
        <f t="shared" si="95"/>
        <v>IT</v>
      </c>
      <c r="T705" t="str">
        <f t="shared" si="96"/>
        <v>Assistant</v>
      </c>
      <c r="U705" s="2">
        <v>43845</v>
      </c>
      <c r="V705" t="s">
        <v>14</v>
      </c>
      <c r="X705" t="str">
        <f t="shared" si="97"/>
        <v>Email not provided</v>
      </c>
      <c r="Y705" t="str">
        <f t="shared" si="98"/>
        <v>Email not provided</v>
      </c>
      <c r="Z705" t="str">
        <f t="shared" si="90"/>
        <v>555-555-5555</v>
      </c>
    </row>
    <row r="706" spans="1:26" x14ac:dyDescent="0.25">
      <c r="A706" t="s">
        <v>41</v>
      </c>
      <c r="B706">
        <v>25</v>
      </c>
      <c r="C706">
        <v>70000</v>
      </c>
      <c r="D706" t="s">
        <v>17</v>
      </c>
      <c r="E706" t="s">
        <v>33</v>
      </c>
      <c r="F706" t="s">
        <v>37</v>
      </c>
      <c r="G706" s="2">
        <v>43800</v>
      </c>
      <c r="H706" t="s">
        <v>24</v>
      </c>
      <c r="I706" t="s">
        <v>15</v>
      </c>
      <c r="J706" t="s">
        <v>29</v>
      </c>
      <c r="M706" t="str">
        <f t="shared" si="91"/>
        <v>Bob</v>
      </c>
      <c r="N706">
        <v>25</v>
      </c>
      <c r="O706">
        <f t="shared" si="92"/>
        <v>25</v>
      </c>
      <c r="P706">
        <v>70000</v>
      </c>
      <c r="Q706">
        <f t="shared" si="93"/>
        <v>70000</v>
      </c>
      <c r="R706" t="str">
        <f t="shared" si="94"/>
        <v>Female</v>
      </c>
      <c r="S706" t="str">
        <f t="shared" si="95"/>
        <v>Marketing</v>
      </c>
      <c r="T706" t="str">
        <f t="shared" si="96"/>
        <v>Assistant</v>
      </c>
      <c r="U706" s="2">
        <v>43800</v>
      </c>
      <c r="V706" t="s">
        <v>24</v>
      </c>
      <c r="W706" t="s">
        <v>15</v>
      </c>
      <c r="X706" t="str">
        <f t="shared" si="97"/>
        <v>Email not provided</v>
      </c>
      <c r="Y706" t="str">
        <f t="shared" si="98"/>
        <v>Email not provided</v>
      </c>
      <c r="Z706" t="str">
        <f t="shared" ref="Z706:Z769" si="99">IF(OR(TRIM(J706)="", LOWER(J706)="nan"), "Phone not provided", TRIM(J706))</f>
        <v>Phone not provided</v>
      </c>
    </row>
    <row r="707" spans="1:26" x14ac:dyDescent="0.25">
      <c r="A707" t="s">
        <v>41</v>
      </c>
      <c r="B707" t="s">
        <v>15</v>
      </c>
      <c r="C707" t="s">
        <v>30</v>
      </c>
      <c r="D707" t="s">
        <v>32</v>
      </c>
      <c r="E707" t="s">
        <v>12</v>
      </c>
      <c r="F707" t="s">
        <v>35</v>
      </c>
      <c r="G707" s="2">
        <v>43881</v>
      </c>
      <c r="H707" t="s">
        <v>20</v>
      </c>
      <c r="J707" t="s">
        <v>21</v>
      </c>
      <c r="M707" t="str">
        <f t="shared" ref="M707:M770" si="100">PROPER(TRIM(CLEAN(A707:A1706)))</f>
        <v>Bob</v>
      </c>
      <c r="N707" t="s">
        <v>15</v>
      </c>
      <c r="O707">
        <f t="shared" ref="O707:O770" si="101">IF(ISNUMBER(N707),N707,MEDIAN($N$2:$N$1001))</f>
        <v>35</v>
      </c>
      <c r="P707" t="s">
        <v>30</v>
      </c>
      <c r="Q707">
        <f t="shared" ref="Q707:Q770" si="102">IF(ISNUMBER(P707),P707,MEDIAN(P707:P1706))</f>
        <v>60000</v>
      </c>
      <c r="R707" t="str">
        <f t="shared" ref="R707:R770" si="103">PROPER(TRIM(CLEAN(D707:D1706)))</f>
        <v>Other</v>
      </c>
      <c r="S707" t="str">
        <f t="shared" ref="S707:S770" si="104">TRIM(CLEAN(E707:E1706))</f>
        <v>HR</v>
      </c>
      <c r="T707" t="str">
        <f t="shared" ref="T707:T770" si="105">TRIM(CLEAN(F707:F1706))</f>
        <v>Clerk</v>
      </c>
      <c r="U707" s="2">
        <v>43881</v>
      </c>
      <c r="V707" t="s">
        <v>20</v>
      </c>
      <c r="X707" t="str">
        <f t="shared" ref="X707:X770" si="106">IF(
   OR(TRIM(W707)="",LOWER(W707)="nan"),
   "Email not provided",
   W707
)</f>
        <v>Email not provided</v>
      </c>
      <c r="Y707" t="str">
        <f t="shared" ref="Y707:Y770" si="107">SUBSTITUTE(X707,"/",".")</f>
        <v>Email not provided</v>
      </c>
      <c r="Z707" t="str">
        <f t="shared" si="99"/>
        <v>123-456-7890</v>
      </c>
    </row>
    <row r="708" spans="1:26" x14ac:dyDescent="0.25">
      <c r="A708" t="s">
        <v>41</v>
      </c>
      <c r="B708">
        <v>50</v>
      </c>
      <c r="C708">
        <v>70000</v>
      </c>
      <c r="D708" t="s">
        <v>11</v>
      </c>
      <c r="E708" t="s">
        <v>18</v>
      </c>
      <c r="F708" t="s">
        <v>35</v>
      </c>
      <c r="G708" s="1">
        <v>43195</v>
      </c>
      <c r="H708" t="s">
        <v>28</v>
      </c>
      <c r="I708" t="s">
        <v>52</v>
      </c>
      <c r="J708" t="s">
        <v>39</v>
      </c>
      <c r="M708" t="str">
        <f t="shared" si="100"/>
        <v>Bob</v>
      </c>
      <c r="N708">
        <v>50</v>
      </c>
      <c r="O708">
        <f t="shared" si="101"/>
        <v>50</v>
      </c>
      <c r="P708">
        <v>70000</v>
      </c>
      <c r="Q708">
        <f t="shared" si="102"/>
        <v>70000</v>
      </c>
      <c r="R708" t="str">
        <f t="shared" si="103"/>
        <v>Male</v>
      </c>
      <c r="S708" t="str">
        <f t="shared" si="104"/>
        <v>Finance</v>
      </c>
      <c r="T708" t="str">
        <f t="shared" si="105"/>
        <v>Clerk</v>
      </c>
      <c r="U708" s="2">
        <v>43195</v>
      </c>
      <c r="V708" t="s">
        <v>28</v>
      </c>
      <c r="W708" t="s">
        <v>52</v>
      </c>
      <c r="X708" t="str">
        <f t="shared" si="106"/>
        <v>user@domain/com</v>
      </c>
      <c r="Y708" t="str">
        <f t="shared" si="107"/>
        <v>user@domain.com</v>
      </c>
      <c r="Z708" t="str">
        <f t="shared" si="99"/>
        <v>555-555-5555</v>
      </c>
    </row>
    <row r="709" spans="1:26" x14ac:dyDescent="0.25">
      <c r="A709" t="s">
        <v>34</v>
      </c>
      <c r="B709">
        <v>50</v>
      </c>
      <c r="C709" t="s">
        <v>30</v>
      </c>
      <c r="D709" t="s">
        <v>32</v>
      </c>
      <c r="E709" t="s">
        <v>23</v>
      </c>
      <c r="F709" t="s">
        <v>19</v>
      </c>
      <c r="G709" s="2">
        <v>43881</v>
      </c>
      <c r="H709" t="s">
        <v>36</v>
      </c>
      <c r="J709" t="s">
        <v>15</v>
      </c>
      <c r="M709" t="str">
        <f t="shared" si="100"/>
        <v>Charlie</v>
      </c>
      <c r="N709">
        <v>50</v>
      </c>
      <c r="O709">
        <f t="shared" si="101"/>
        <v>50</v>
      </c>
      <c r="P709" t="s">
        <v>30</v>
      </c>
      <c r="Q709">
        <f t="shared" si="102"/>
        <v>60000</v>
      </c>
      <c r="R709" t="str">
        <f t="shared" si="103"/>
        <v>Other</v>
      </c>
      <c r="S709" t="str">
        <f t="shared" si="104"/>
        <v>Sales</v>
      </c>
      <c r="T709" t="str">
        <f t="shared" si="105"/>
        <v>Director</v>
      </c>
      <c r="U709" s="2">
        <v>43881</v>
      </c>
      <c r="V709" t="s">
        <v>36</v>
      </c>
      <c r="X709" t="str">
        <f t="shared" si="106"/>
        <v>Email not provided</v>
      </c>
      <c r="Y709" t="str">
        <f t="shared" si="107"/>
        <v>Email not provided</v>
      </c>
      <c r="Z709" t="str">
        <f t="shared" si="99"/>
        <v>Phone not provided</v>
      </c>
    </row>
    <row r="710" spans="1:26" x14ac:dyDescent="0.25">
      <c r="A710" t="s">
        <v>41</v>
      </c>
      <c r="B710">
        <v>40</v>
      </c>
      <c r="C710">
        <v>70000</v>
      </c>
      <c r="D710" t="s">
        <v>32</v>
      </c>
      <c r="E710" t="s">
        <v>18</v>
      </c>
      <c r="F710" t="s">
        <v>38</v>
      </c>
      <c r="G710" s="2">
        <v>43800</v>
      </c>
      <c r="H710" t="s">
        <v>36</v>
      </c>
      <c r="I710" t="s">
        <v>51</v>
      </c>
      <c r="J710" t="s">
        <v>29</v>
      </c>
      <c r="M710" t="str">
        <f t="shared" si="100"/>
        <v>Bob</v>
      </c>
      <c r="N710">
        <v>40</v>
      </c>
      <c r="O710">
        <f t="shared" si="101"/>
        <v>40</v>
      </c>
      <c r="P710">
        <v>70000</v>
      </c>
      <c r="Q710">
        <f t="shared" si="102"/>
        <v>70000</v>
      </c>
      <c r="R710" t="str">
        <f t="shared" si="103"/>
        <v>Other</v>
      </c>
      <c r="S710" t="str">
        <f t="shared" si="104"/>
        <v>Finance</v>
      </c>
      <c r="T710" t="str">
        <f t="shared" si="105"/>
        <v>Analyst</v>
      </c>
      <c r="U710" s="2">
        <v>43800</v>
      </c>
      <c r="V710" t="s">
        <v>36</v>
      </c>
      <c r="W710" t="s">
        <v>51</v>
      </c>
      <c r="X710" t="str">
        <f t="shared" si="106"/>
        <v>email@example/com</v>
      </c>
      <c r="Y710" t="str">
        <f t="shared" si="107"/>
        <v>email@example.com</v>
      </c>
      <c r="Z710" t="str">
        <f t="shared" si="99"/>
        <v>Phone not provided</v>
      </c>
    </row>
    <row r="711" spans="1:26" x14ac:dyDescent="0.25">
      <c r="A711" t="s">
        <v>16</v>
      </c>
      <c r="B711">
        <v>40</v>
      </c>
      <c r="C711">
        <v>55000</v>
      </c>
      <c r="D711" t="s">
        <v>17</v>
      </c>
      <c r="E711" t="s">
        <v>33</v>
      </c>
      <c r="F711" t="s">
        <v>35</v>
      </c>
      <c r="G711" s="1">
        <v>43195</v>
      </c>
      <c r="H711" t="s">
        <v>36</v>
      </c>
      <c r="J711" t="s">
        <v>25</v>
      </c>
      <c r="M711" t="str">
        <f t="shared" si="100"/>
        <v>David</v>
      </c>
      <c r="N711">
        <v>40</v>
      </c>
      <c r="O711">
        <f t="shared" si="101"/>
        <v>40</v>
      </c>
      <c r="P711">
        <v>55000</v>
      </c>
      <c r="Q711">
        <f t="shared" si="102"/>
        <v>55000</v>
      </c>
      <c r="R711" t="str">
        <f t="shared" si="103"/>
        <v>Female</v>
      </c>
      <c r="S711" t="str">
        <f t="shared" si="104"/>
        <v>Marketing</v>
      </c>
      <c r="T711" t="str">
        <f t="shared" si="105"/>
        <v>Clerk</v>
      </c>
      <c r="U711" s="2">
        <v>43195</v>
      </c>
      <c r="V711" t="s">
        <v>36</v>
      </c>
      <c r="X711" t="str">
        <f t="shared" si="106"/>
        <v>Email not provided</v>
      </c>
      <c r="Y711" t="str">
        <f t="shared" si="107"/>
        <v>Email not provided</v>
      </c>
      <c r="Z711" t="str">
        <f t="shared" si="99"/>
        <v>098-765-4321</v>
      </c>
    </row>
    <row r="712" spans="1:26" x14ac:dyDescent="0.25">
      <c r="A712" t="s">
        <v>43</v>
      </c>
      <c r="B712">
        <v>30</v>
      </c>
      <c r="C712" t="s">
        <v>30</v>
      </c>
      <c r="D712" t="s">
        <v>17</v>
      </c>
      <c r="E712" t="s">
        <v>23</v>
      </c>
      <c r="F712" t="s">
        <v>37</v>
      </c>
      <c r="G712" s="1">
        <v>43195</v>
      </c>
      <c r="H712" t="s">
        <v>24</v>
      </c>
      <c r="I712" t="s">
        <v>51</v>
      </c>
      <c r="J712" t="s">
        <v>21</v>
      </c>
      <c r="M712" t="str">
        <f t="shared" si="100"/>
        <v>Ivy</v>
      </c>
      <c r="N712">
        <v>30</v>
      </c>
      <c r="O712">
        <f t="shared" si="101"/>
        <v>30</v>
      </c>
      <c r="P712" t="s">
        <v>30</v>
      </c>
      <c r="Q712">
        <f t="shared" si="102"/>
        <v>60000</v>
      </c>
      <c r="R712" t="str">
        <f t="shared" si="103"/>
        <v>Female</v>
      </c>
      <c r="S712" t="str">
        <f t="shared" si="104"/>
        <v>Sales</v>
      </c>
      <c r="T712" t="str">
        <f t="shared" si="105"/>
        <v>Assistant</v>
      </c>
      <c r="U712" s="2">
        <v>43195</v>
      </c>
      <c r="V712" t="s">
        <v>24</v>
      </c>
      <c r="W712" t="s">
        <v>51</v>
      </c>
      <c r="X712" t="str">
        <f t="shared" si="106"/>
        <v>email@example/com</v>
      </c>
      <c r="Y712" t="str">
        <f t="shared" si="107"/>
        <v>email@example.com</v>
      </c>
      <c r="Z712" t="str">
        <f t="shared" si="99"/>
        <v>123-456-7890</v>
      </c>
    </row>
    <row r="713" spans="1:26" x14ac:dyDescent="0.25">
      <c r="A713" t="s">
        <v>40</v>
      </c>
      <c r="B713">
        <v>35</v>
      </c>
      <c r="C713" t="s">
        <v>30</v>
      </c>
      <c r="D713" t="s">
        <v>17</v>
      </c>
      <c r="E713" t="s">
        <v>18</v>
      </c>
      <c r="F713" t="s">
        <v>35</v>
      </c>
      <c r="G713" s="2">
        <v>43881</v>
      </c>
      <c r="H713" t="s">
        <v>28</v>
      </c>
      <c r="I713" t="s">
        <v>52</v>
      </c>
      <c r="J713" t="s">
        <v>15</v>
      </c>
      <c r="M713" t="str">
        <f t="shared" si="100"/>
        <v>Frank</v>
      </c>
      <c r="N713">
        <v>35</v>
      </c>
      <c r="O713">
        <f t="shared" si="101"/>
        <v>35</v>
      </c>
      <c r="P713" t="s">
        <v>30</v>
      </c>
      <c r="Q713">
        <f t="shared" si="102"/>
        <v>60000</v>
      </c>
      <c r="R713" t="str">
        <f t="shared" si="103"/>
        <v>Female</v>
      </c>
      <c r="S713" t="str">
        <f t="shared" si="104"/>
        <v>Finance</v>
      </c>
      <c r="T713" t="str">
        <f t="shared" si="105"/>
        <v>Clerk</v>
      </c>
      <c r="U713" s="2">
        <v>43881</v>
      </c>
      <c r="V713" t="s">
        <v>28</v>
      </c>
      <c r="W713" t="s">
        <v>52</v>
      </c>
      <c r="X713" t="str">
        <f t="shared" si="106"/>
        <v>user@domain/com</v>
      </c>
      <c r="Y713" t="str">
        <f t="shared" si="107"/>
        <v>user@domain.com</v>
      </c>
      <c r="Z713" t="str">
        <f t="shared" si="99"/>
        <v>Phone not provided</v>
      </c>
    </row>
    <row r="714" spans="1:26" x14ac:dyDescent="0.25">
      <c r="A714" t="s">
        <v>42</v>
      </c>
      <c r="B714">
        <v>40</v>
      </c>
      <c r="C714">
        <v>65000</v>
      </c>
      <c r="D714" t="s">
        <v>17</v>
      </c>
      <c r="E714" t="s">
        <v>33</v>
      </c>
      <c r="F714" t="s">
        <v>13</v>
      </c>
      <c r="G714" s="2">
        <v>43881</v>
      </c>
      <c r="H714" t="s">
        <v>20</v>
      </c>
      <c r="J714" t="s">
        <v>39</v>
      </c>
      <c r="M714" t="str">
        <f t="shared" si="100"/>
        <v>Alice</v>
      </c>
      <c r="N714">
        <v>40</v>
      </c>
      <c r="O714">
        <f t="shared" si="101"/>
        <v>40</v>
      </c>
      <c r="P714">
        <v>65000</v>
      </c>
      <c r="Q714">
        <f t="shared" si="102"/>
        <v>65000</v>
      </c>
      <c r="R714" t="str">
        <f t="shared" si="103"/>
        <v>Female</v>
      </c>
      <c r="S714" t="str">
        <f t="shared" si="104"/>
        <v>Marketing</v>
      </c>
      <c r="T714" t="str">
        <f t="shared" si="105"/>
        <v>Manager</v>
      </c>
      <c r="U714" s="2">
        <v>43881</v>
      </c>
      <c r="V714" t="s">
        <v>20</v>
      </c>
      <c r="X714" t="str">
        <f t="shared" si="106"/>
        <v>Email not provided</v>
      </c>
      <c r="Y714" t="str">
        <f t="shared" si="107"/>
        <v>Email not provided</v>
      </c>
      <c r="Z714" t="str">
        <f t="shared" si="99"/>
        <v>555-555-5555</v>
      </c>
    </row>
    <row r="715" spans="1:26" x14ac:dyDescent="0.25">
      <c r="A715" t="s">
        <v>22</v>
      </c>
      <c r="B715">
        <v>25</v>
      </c>
      <c r="C715">
        <v>65000</v>
      </c>
      <c r="D715" t="s">
        <v>17</v>
      </c>
      <c r="E715" t="s">
        <v>12</v>
      </c>
      <c r="F715" t="s">
        <v>38</v>
      </c>
      <c r="G715" s="2">
        <v>43845</v>
      </c>
      <c r="H715" t="s">
        <v>20</v>
      </c>
      <c r="I715" t="s">
        <v>15</v>
      </c>
      <c r="J715" t="s">
        <v>25</v>
      </c>
      <c r="M715" t="str">
        <f t="shared" si="100"/>
        <v>Hannah</v>
      </c>
      <c r="N715">
        <v>25</v>
      </c>
      <c r="O715">
        <f t="shared" si="101"/>
        <v>25</v>
      </c>
      <c r="P715">
        <v>65000</v>
      </c>
      <c r="Q715">
        <f t="shared" si="102"/>
        <v>65000</v>
      </c>
      <c r="R715" t="str">
        <f t="shared" si="103"/>
        <v>Female</v>
      </c>
      <c r="S715" t="str">
        <f t="shared" si="104"/>
        <v>HR</v>
      </c>
      <c r="T715" t="str">
        <f t="shared" si="105"/>
        <v>Analyst</v>
      </c>
      <c r="U715" s="2">
        <v>43845</v>
      </c>
      <c r="V715" t="s">
        <v>20</v>
      </c>
      <c r="W715" t="s">
        <v>15</v>
      </c>
      <c r="X715" t="str">
        <f t="shared" si="106"/>
        <v>Email not provided</v>
      </c>
      <c r="Y715" t="str">
        <f t="shared" si="107"/>
        <v>Email not provided</v>
      </c>
      <c r="Z715" t="str">
        <f t="shared" si="99"/>
        <v>098-765-4321</v>
      </c>
    </row>
    <row r="716" spans="1:26" x14ac:dyDescent="0.25">
      <c r="A716" t="s">
        <v>10</v>
      </c>
      <c r="B716">
        <v>40</v>
      </c>
      <c r="C716">
        <v>50000</v>
      </c>
      <c r="D716" t="s">
        <v>17</v>
      </c>
      <c r="E716" t="s">
        <v>33</v>
      </c>
      <c r="F716" t="s">
        <v>19</v>
      </c>
      <c r="G716" s="2">
        <v>43800</v>
      </c>
      <c r="H716" t="s">
        <v>36</v>
      </c>
      <c r="I716" t="s">
        <v>15</v>
      </c>
      <c r="J716" t="s">
        <v>21</v>
      </c>
      <c r="M716" t="str">
        <f t="shared" si="100"/>
        <v>Grace</v>
      </c>
      <c r="N716">
        <v>40</v>
      </c>
      <c r="O716">
        <f t="shared" si="101"/>
        <v>40</v>
      </c>
      <c r="P716">
        <v>50000</v>
      </c>
      <c r="Q716">
        <f t="shared" si="102"/>
        <v>50000</v>
      </c>
      <c r="R716" t="str">
        <f t="shared" si="103"/>
        <v>Female</v>
      </c>
      <c r="S716" t="str">
        <f t="shared" si="104"/>
        <v>Marketing</v>
      </c>
      <c r="T716" t="str">
        <f t="shared" si="105"/>
        <v>Director</v>
      </c>
      <c r="U716" s="2">
        <v>43800</v>
      </c>
      <c r="V716" t="s">
        <v>36</v>
      </c>
      <c r="W716" t="s">
        <v>15</v>
      </c>
      <c r="X716" t="str">
        <f t="shared" si="106"/>
        <v>Email not provided</v>
      </c>
      <c r="Y716" t="str">
        <f t="shared" si="107"/>
        <v>Email not provided</v>
      </c>
      <c r="Z716" t="str">
        <f t="shared" si="99"/>
        <v>123-456-7890</v>
      </c>
    </row>
    <row r="717" spans="1:26" x14ac:dyDescent="0.25">
      <c r="A717" t="s">
        <v>31</v>
      </c>
      <c r="B717">
        <v>30</v>
      </c>
      <c r="C717">
        <v>70000</v>
      </c>
      <c r="D717" t="s">
        <v>17</v>
      </c>
      <c r="E717" t="s">
        <v>23</v>
      </c>
      <c r="F717" t="s">
        <v>13</v>
      </c>
      <c r="G717" s="2">
        <v>43845</v>
      </c>
      <c r="H717" t="s">
        <v>28</v>
      </c>
      <c r="I717" t="s">
        <v>15</v>
      </c>
      <c r="J717" t="s">
        <v>29</v>
      </c>
      <c r="M717" t="str">
        <f t="shared" si="100"/>
        <v>Jack</v>
      </c>
      <c r="N717">
        <v>30</v>
      </c>
      <c r="O717">
        <f t="shared" si="101"/>
        <v>30</v>
      </c>
      <c r="P717">
        <v>70000</v>
      </c>
      <c r="Q717">
        <f t="shared" si="102"/>
        <v>70000</v>
      </c>
      <c r="R717" t="str">
        <f t="shared" si="103"/>
        <v>Female</v>
      </c>
      <c r="S717" t="str">
        <f t="shared" si="104"/>
        <v>Sales</v>
      </c>
      <c r="T717" t="str">
        <f t="shared" si="105"/>
        <v>Manager</v>
      </c>
      <c r="U717" s="2">
        <v>43845</v>
      </c>
      <c r="V717" t="s">
        <v>28</v>
      </c>
      <c r="W717" t="s">
        <v>15</v>
      </c>
      <c r="X717" t="str">
        <f t="shared" si="106"/>
        <v>Email not provided</v>
      </c>
      <c r="Y717" t="str">
        <f t="shared" si="107"/>
        <v>Email not provided</v>
      </c>
      <c r="Z717" t="str">
        <f t="shared" si="99"/>
        <v>Phone not provided</v>
      </c>
    </row>
    <row r="718" spans="1:26" x14ac:dyDescent="0.25">
      <c r="A718" t="s">
        <v>34</v>
      </c>
      <c r="B718">
        <v>50</v>
      </c>
      <c r="C718">
        <v>65000</v>
      </c>
      <c r="D718" t="s">
        <v>17</v>
      </c>
      <c r="E718" t="s">
        <v>27</v>
      </c>
      <c r="F718" t="s">
        <v>13</v>
      </c>
      <c r="G718" s="1">
        <v>43195</v>
      </c>
      <c r="H718" t="s">
        <v>28</v>
      </c>
      <c r="J718" t="s">
        <v>25</v>
      </c>
      <c r="M718" t="str">
        <f t="shared" si="100"/>
        <v>Charlie</v>
      </c>
      <c r="N718">
        <v>50</v>
      </c>
      <c r="O718">
        <f t="shared" si="101"/>
        <v>50</v>
      </c>
      <c r="P718">
        <v>65000</v>
      </c>
      <c r="Q718">
        <f t="shared" si="102"/>
        <v>65000</v>
      </c>
      <c r="R718" t="str">
        <f t="shared" si="103"/>
        <v>Female</v>
      </c>
      <c r="S718" t="str">
        <f t="shared" si="104"/>
        <v>IT</v>
      </c>
      <c r="T718" t="str">
        <f t="shared" si="105"/>
        <v>Manager</v>
      </c>
      <c r="U718" s="2">
        <v>43195</v>
      </c>
      <c r="V718" t="s">
        <v>28</v>
      </c>
      <c r="X718" t="str">
        <f t="shared" si="106"/>
        <v>Email not provided</v>
      </c>
      <c r="Y718" t="str">
        <f t="shared" si="107"/>
        <v>Email not provided</v>
      </c>
      <c r="Z718" t="str">
        <f t="shared" si="99"/>
        <v>098-765-4321</v>
      </c>
    </row>
    <row r="719" spans="1:26" x14ac:dyDescent="0.25">
      <c r="A719" t="s">
        <v>42</v>
      </c>
      <c r="B719">
        <v>30</v>
      </c>
      <c r="C719">
        <v>50000</v>
      </c>
      <c r="D719" t="s">
        <v>11</v>
      </c>
      <c r="E719" t="s">
        <v>12</v>
      </c>
      <c r="F719" t="s">
        <v>38</v>
      </c>
      <c r="G719" s="2">
        <v>43881</v>
      </c>
      <c r="H719" t="s">
        <v>28</v>
      </c>
      <c r="J719" t="s">
        <v>25</v>
      </c>
      <c r="M719" t="str">
        <f t="shared" si="100"/>
        <v>Alice</v>
      </c>
      <c r="N719">
        <v>30</v>
      </c>
      <c r="O719">
        <f t="shared" si="101"/>
        <v>30</v>
      </c>
      <c r="P719">
        <v>50000</v>
      </c>
      <c r="Q719">
        <f t="shared" si="102"/>
        <v>50000</v>
      </c>
      <c r="R719" t="str">
        <f t="shared" si="103"/>
        <v>Male</v>
      </c>
      <c r="S719" t="str">
        <f t="shared" si="104"/>
        <v>HR</v>
      </c>
      <c r="T719" t="str">
        <f t="shared" si="105"/>
        <v>Analyst</v>
      </c>
      <c r="U719" s="2">
        <v>43881</v>
      </c>
      <c r="V719" t="s">
        <v>28</v>
      </c>
      <c r="X719" t="str">
        <f t="shared" si="106"/>
        <v>Email not provided</v>
      </c>
      <c r="Y719" t="str">
        <f t="shared" si="107"/>
        <v>Email not provided</v>
      </c>
      <c r="Z719" t="str">
        <f t="shared" si="99"/>
        <v>098-765-4321</v>
      </c>
    </row>
    <row r="720" spans="1:26" x14ac:dyDescent="0.25">
      <c r="A720" t="s">
        <v>26</v>
      </c>
      <c r="B720">
        <v>50</v>
      </c>
      <c r="C720">
        <v>65000</v>
      </c>
      <c r="D720" t="s">
        <v>32</v>
      </c>
      <c r="E720" t="s">
        <v>18</v>
      </c>
      <c r="F720" t="s">
        <v>19</v>
      </c>
      <c r="G720" s="1">
        <v>43195</v>
      </c>
      <c r="H720" t="s">
        <v>14</v>
      </c>
      <c r="J720" t="s">
        <v>15</v>
      </c>
      <c r="M720" t="str">
        <f t="shared" si="100"/>
        <v>Eve</v>
      </c>
      <c r="N720">
        <v>50</v>
      </c>
      <c r="O720">
        <f t="shared" si="101"/>
        <v>50</v>
      </c>
      <c r="P720">
        <v>65000</v>
      </c>
      <c r="Q720">
        <f t="shared" si="102"/>
        <v>65000</v>
      </c>
      <c r="R720" t="str">
        <f t="shared" si="103"/>
        <v>Other</v>
      </c>
      <c r="S720" t="str">
        <f t="shared" si="104"/>
        <v>Finance</v>
      </c>
      <c r="T720" t="str">
        <f t="shared" si="105"/>
        <v>Director</v>
      </c>
      <c r="U720" s="2">
        <v>43195</v>
      </c>
      <c r="V720" t="s">
        <v>14</v>
      </c>
      <c r="X720" t="str">
        <f t="shared" si="106"/>
        <v>Email not provided</v>
      </c>
      <c r="Y720" t="str">
        <f t="shared" si="107"/>
        <v>Email not provided</v>
      </c>
      <c r="Z720" t="str">
        <f t="shared" si="99"/>
        <v>Phone not provided</v>
      </c>
    </row>
    <row r="721" spans="1:26" x14ac:dyDescent="0.25">
      <c r="A721" t="s">
        <v>16</v>
      </c>
      <c r="B721">
        <v>50</v>
      </c>
      <c r="C721">
        <v>70000</v>
      </c>
      <c r="D721" t="s">
        <v>17</v>
      </c>
      <c r="E721" t="s">
        <v>23</v>
      </c>
      <c r="F721" t="s">
        <v>37</v>
      </c>
      <c r="G721" s="1">
        <v>43195</v>
      </c>
      <c r="H721" t="s">
        <v>14</v>
      </c>
      <c r="I721" t="s">
        <v>51</v>
      </c>
      <c r="J721" t="s">
        <v>21</v>
      </c>
      <c r="M721" t="str">
        <f t="shared" si="100"/>
        <v>David</v>
      </c>
      <c r="N721">
        <v>50</v>
      </c>
      <c r="O721">
        <f t="shared" si="101"/>
        <v>50</v>
      </c>
      <c r="P721">
        <v>70000</v>
      </c>
      <c r="Q721">
        <f t="shared" si="102"/>
        <v>70000</v>
      </c>
      <c r="R721" t="str">
        <f t="shared" si="103"/>
        <v>Female</v>
      </c>
      <c r="S721" t="str">
        <f t="shared" si="104"/>
        <v>Sales</v>
      </c>
      <c r="T721" t="str">
        <f t="shared" si="105"/>
        <v>Assistant</v>
      </c>
      <c r="U721" s="2">
        <v>43195</v>
      </c>
      <c r="V721" t="s">
        <v>14</v>
      </c>
      <c r="W721" t="s">
        <v>51</v>
      </c>
      <c r="X721" t="str">
        <f t="shared" si="106"/>
        <v>email@example/com</v>
      </c>
      <c r="Y721" t="str">
        <f t="shared" si="107"/>
        <v>email@example.com</v>
      </c>
      <c r="Z721" t="str">
        <f t="shared" si="99"/>
        <v>123-456-7890</v>
      </c>
    </row>
    <row r="722" spans="1:26" x14ac:dyDescent="0.25">
      <c r="A722" t="s">
        <v>31</v>
      </c>
      <c r="B722">
        <v>35</v>
      </c>
      <c r="C722" t="s">
        <v>30</v>
      </c>
      <c r="D722" t="s">
        <v>17</v>
      </c>
      <c r="E722" t="s">
        <v>27</v>
      </c>
      <c r="F722" t="s">
        <v>19</v>
      </c>
      <c r="G722" s="2">
        <v>43549</v>
      </c>
      <c r="H722" t="s">
        <v>36</v>
      </c>
      <c r="I722" t="s">
        <v>52</v>
      </c>
      <c r="J722" t="s">
        <v>15</v>
      </c>
      <c r="M722" t="str">
        <f t="shared" si="100"/>
        <v>Jack</v>
      </c>
      <c r="N722">
        <v>35</v>
      </c>
      <c r="O722">
        <f t="shared" si="101"/>
        <v>35</v>
      </c>
      <c r="P722" t="s">
        <v>30</v>
      </c>
      <c r="Q722">
        <f t="shared" si="102"/>
        <v>60000</v>
      </c>
      <c r="R722" t="str">
        <f t="shared" si="103"/>
        <v>Female</v>
      </c>
      <c r="S722" t="str">
        <f t="shared" si="104"/>
        <v>IT</v>
      </c>
      <c r="T722" t="str">
        <f t="shared" si="105"/>
        <v>Director</v>
      </c>
      <c r="U722" s="2">
        <v>43549</v>
      </c>
      <c r="V722" t="s">
        <v>36</v>
      </c>
      <c r="W722" t="s">
        <v>52</v>
      </c>
      <c r="X722" t="str">
        <f t="shared" si="106"/>
        <v>user@domain/com</v>
      </c>
      <c r="Y722" t="str">
        <f t="shared" si="107"/>
        <v>user@domain.com</v>
      </c>
      <c r="Z722" t="str">
        <f t="shared" si="99"/>
        <v>Phone not provided</v>
      </c>
    </row>
    <row r="723" spans="1:26" x14ac:dyDescent="0.25">
      <c r="A723" t="s">
        <v>22</v>
      </c>
      <c r="B723">
        <v>40</v>
      </c>
      <c r="C723">
        <v>60000</v>
      </c>
      <c r="D723" t="s">
        <v>32</v>
      </c>
      <c r="E723" t="s">
        <v>33</v>
      </c>
      <c r="F723" t="s">
        <v>35</v>
      </c>
      <c r="G723" s="2">
        <v>43549</v>
      </c>
      <c r="H723" t="s">
        <v>28</v>
      </c>
      <c r="I723" t="s">
        <v>15</v>
      </c>
      <c r="J723" t="s">
        <v>15</v>
      </c>
      <c r="M723" t="str">
        <f t="shared" si="100"/>
        <v>Hannah</v>
      </c>
      <c r="N723">
        <v>40</v>
      </c>
      <c r="O723">
        <f t="shared" si="101"/>
        <v>40</v>
      </c>
      <c r="P723">
        <v>60000</v>
      </c>
      <c r="Q723">
        <f t="shared" si="102"/>
        <v>60000</v>
      </c>
      <c r="R723" t="str">
        <f t="shared" si="103"/>
        <v>Other</v>
      </c>
      <c r="S723" t="str">
        <f t="shared" si="104"/>
        <v>Marketing</v>
      </c>
      <c r="T723" t="str">
        <f t="shared" si="105"/>
        <v>Clerk</v>
      </c>
      <c r="U723" s="2">
        <v>43549</v>
      </c>
      <c r="V723" t="s">
        <v>28</v>
      </c>
      <c r="W723" t="s">
        <v>15</v>
      </c>
      <c r="X723" t="str">
        <f t="shared" si="106"/>
        <v>Email not provided</v>
      </c>
      <c r="Y723" t="str">
        <f t="shared" si="107"/>
        <v>Email not provided</v>
      </c>
      <c r="Z723" t="str">
        <f t="shared" si="99"/>
        <v>Phone not provided</v>
      </c>
    </row>
    <row r="724" spans="1:26" x14ac:dyDescent="0.25">
      <c r="A724" t="s">
        <v>42</v>
      </c>
      <c r="B724">
        <v>25</v>
      </c>
      <c r="C724">
        <v>70000</v>
      </c>
      <c r="D724" t="s">
        <v>11</v>
      </c>
      <c r="E724" t="s">
        <v>27</v>
      </c>
      <c r="F724" t="s">
        <v>13</v>
      </c>
      <c r="G724" s="1">
        <v>43195</v>
      </c>
      <c r="H724" t="s">
        <v>28</v>
      </c>
      <c r="I724" t="s">
        <v>51</v>
      </c>
      <c r="J724" t="s">
        <v>39</v>
      </c>
      <c r="M724" t="str">
        <f t="shared" si="100"/>
        <v>Alice</v>
      </c>
      <c r="N724">
        <v>25</v>
      </c>
      <c r="O724">
        <f t="shared" si="101"/>
        <v>25</v>
      </c>
      <c r="P724">
        <v>70000</v>
      </c>
      <c r="Q724">
        <f t="shared" si="102"/>
        <v>70000</v>
      </c>
      <c r="R724" t="str">
        <f t="shared" si="103"/>
        <v>Male</v>
      </c>
      <c r="S724" t="str">
        <f t="shared" si="104"/>
        <v>IT</v>
      </c>
      <c r="T724" t="str">
        <f t="shared" si="105"/>
        <v>Manager</v>
      </c>
      <c r="U724" s="2">
        <v>43195</v>
      </c>
      <c r="V724" t="s">
        <v>28</v>
      </c>
      <c r="W724" t="s">
        <v>51</v>
      </c>
      <c r="X724" t="str">
        <f t="shared" si="106"/>
        <v>email@example/com</v>
      </c>
      <c r="Y724" t="str">
        <f t="shared" si="107"/>
        <v>email@example.com</v>
      </c>
      <c r="Z724" t="str">
        <f t="shared" si="99"/>
        <v>555-555-5555</v>
      </c>
    </row>
    <row r="725" spans="1:26" x14ac:dyDescent="0.25">
      <c r="A725" t="s">
        <v>31</v>
      </c>
      <c r="B725">
        <v>25</v>
      </c>
      <c r="C725">
        <v>55000</v>
      </c>
      <c r="D725" t="s">
        <v>32</v>
      </c>
      <c r="E725" t="s">
        <v>23</v>
      </c>
      <c r="F725" t="s">
        <v>35</v>
      </c>
      <c r="G725" s="2">
        <v>43881</v>
      </c>
      <c r="H725" t="s">
        <v>20</v>
      </c>
      <c r="I725" t="s">
        <v>15</v>
      </c>
      <c r="J725" t="s">
        <v>29</v>
      </c>
      <c r="M725" t="str">
        <f t="shared" si="100"/>
        <v>Jack</v>
      </c>
      <c r="N725">
        <v>25</v>
      </c>
      <c r="O725">
        <f t="shared" si="101"/>
        <v>25</v>
      </c>
      <c r="P725">
        <v>55000</v>
      </c>
      <c r="Q725">
        <f t="shared" si="102"/>
        <v>55000</v>
      </c>
      <c r="R725" t="str">
        <f t="shared" si="103"/>
        <v>Other</v>
      </c>
      <c r="S725" t="str">
        <f t="shared" si="104"/>
        <v>Sales</v>
      </c>
      <c r="T725" t="str">
        <f t="shared" si="105"/>
        <v>Clerk</v>
      </c>
      <c r="U725" s="2">
        <v>43881</v>
      </c>
      <c r="V725" t="s">
        <v>20</v>
      </c>
      <c r="W725" t="s">
        <v>15</v>
      </c>
      <c r="X725" t="str">
        <f t="shared" si="106"/>
        <v>Email not provided</v>
      </c>
      <c r="Y725" t="str">
        <f t="shared" si="107"/>
        <v>Email not provided</v>
      </c>
      <c r="Z725" t="str">
        <f t="shared" si="99"/>
        <v>Phone not provided</v>
      </c>
    </row>
    <row r="726" spans="1:26" x14ac:dyDescent="0.25">
      <c r="A726" t="s">
        <v>42</v>
      </c>
      <c r="B726" t="s">
        <v>15</v>
      </c>
      <c r="C726">
        <v>65000</v>
      </c>
      <c r="D726" t="s">
        <v>32</v>
      </c>
      <c r="E726" t="s">
        <v>23</v>
      </c>
      <c r="F726" t="s">
        <v>37</v>
      </c>
      <c r="G726" s="1">
        <v>43195</v>
      </c>
      <c r="H726" t="s">
        <v>20</v>
      </c>
      <c r="I726" t="s">
        <v>51</v>
      </c>
      <c r="J726" t="s">
        <v>25</v>
      </c>
      <c r="M726" t="str">
        <f t="shared" si="100"/>
        <v>Alice</v>
      </c>
      <c r="N726" t="s">
        <v>15</v>
      </c>
      <c r="O726">
        <f t="shared" si="101"/>
        <v>35</v>
      </c>
      <c r="P726">
        <v>65000</v>
      </c>
      <c r="Q726">
        <f t="shared" si="102"/>
        <v>65000</v>
      </c>
      <c r="R726" t="str">
        <f t="shared" si="103"/>
        <v>Other</v>
      </c>
      <c r="S726" t="str">
        <f t="shared" si="104"/>
        <v>Sales</v>
      </c>
      <c r="T726" t="str">
        <f t="shared" si="105"/>
        <v>Assistant</v>
      </c>
      <c r="U726" s="2">
        <v>43195</v>
      </c>
      <c r="V726" t="s">
        <v>20</v>
      </c>
      <c r="W726" t="s">
        <v>51</v>
      </c>
      <c r="X726" t="str">
        <f t="shared" si="106"/>
        <v>email@example/com</v>
      </c>
      <c r="Y726" t="str">
        <f t="shared" si="107"/>
        <v>email@example.com</v>
      </c>
      <c r="Z726" t="str">
        <f t="shared" si="99"/>
        <v>098-765-4321</v>
      </c>
    </row>
    <row r="727" spans="1:26" x14ac:dyDescent="0.25">
      <c r="A727" t="s">
        <v>16</v>
      </c>
      <c r="B727">
        <v>50</v>
      </c>
      <c r="C727">
        <v>65000</v>
      </c>
      <c r="D727" t="s">
        <v>17</v>
      </c>
      <c r="E727" t="s">
        <v>27</v>
      </c>
      <c r="F727" t="s">
        <v>35</v>
      </c>
      <c r="G727" s="2">
        <v>43549</v>
      </c>
      <c r="H727" t="s">
        <v>36</v>
      </c>
      <c r="J727" t="s">
        <v>21</v>
      </c>
      <c r="M727" t="str">
        <f t="shared" si="100"/>
        <v>David</v>
      </c>
      <c r="N727">
        <v>50</v>
      </c>
      <c r="O727">
        <f t="shared" si="101"/>
        <v>50</v>
      </c>
      <c r="P727">
        <v>65000</v>
      </c>
      <c r="Q727">
        <f t="shared" si="102"/>
        <v>65000</v>
      </c>
      <c r="R727" t="str">
        <f t="shared" si="103"/>
        <v>Female</v>
      </c>
      <c r="S727" t="str">
        <f t="shared" si="104"/>
        <v>IT</v>
      </c>
      <c r="T727" t="str">
        <f t="shared" si="105"/>
        <v>Clerk</v>
      </c>
      <c r="U727" s="2">
        <v>43549</v>
      </c>
      <c r="V727" t="s">
        <v>36</v>
      </c>
      <c r="X727" t="str">
        <f t="shared" si="106"/>
        <v>Email not provided</v>
      </c>
      <c r="Y727" t="str">
        <f t="shared" si="107"/>
        <v>Email not provided</v>
      </c>
      <c r="Z727" t="str">
        <f t="shared" si="99"/>
        <v>123-456-7890</v>
      </c>
    </row>
    <row r="728" spans="1:26" x14ac:dyDescent="0.25">
      <c r="A728" t="s">
        <v>22</v>
      </c>
      <c r="B728">
        <v>25</v>
      </c>
      <c r="C728" t="s">
        <v>30</v>
      </c>
      <c r="D728" t="s">
        <v>32</v>
      </c>
      <c r="E728" t="s">
        <v>33</v>
      </c>
      <c r="F728" t="s">
        <v>19</v>
      </c>
      <c r="G728" s="2">
        <v>43881</v>
      </c>
      <c r="H728" t="s">
        <v>28</v>
      </c>
      <c r="I728" t="s">
        <v>15</v>
      </c>
      <c r="J728" t="s">
        <v>29</v>
      </c>
      <c r="M728" t="str">
        <f t="shared" si="100"/>
        <v>Hannah</v>
      </c>
      <c r="N728">
        <v>25</v>
      </c>
      <c r="O728">
        <f t="shared" si="101"/>
        <v>25</v>
      </c>
      <c r="P728" t="s">
        <v>30</v>
      </c>
      <c r="Q728">
        <f t="shared" si="102"/>
        <v>60000</v>
      </c>
      <c r="R728" t="str">
        <f t="shared" si="103"/>
        <v>Other</v>
      </c>
      <c r="S728" t="str">
        <f t="shared" si="104"/>
        <v>Marketing</v>
      </c>
      <c r="T728" t="str">
        <f t="shared" si="105"/>
        <v>Director</v>
      </c>
      <c r="U728" s="2">
        <v>43881</v>
      </c>
      <c r="V728" t="s">
        <v>28</v>
      </c>
      <c r="W728" t="s">
        <v>15</v>
      </c>
      <c r="X728" t="str">
        <f t="shared" si="106"/>
        <v>Email not provided</v>
      </c>
      <c r="Y728" t="str">
        <f t="shared" si="107"/>
        <v>Email not provided</v>
      </c>
      <c r="Z728" t="str">
        <f t="shared" si="99"/>
        <v>Phone not provided</v>
      </c>
    </row>
    <row r="729" spans="1:26" x14ac:dyDescent="0.25">
      <c r="A729" t="s">
        <v>26</v>
      </c>
      <c r="B729">
        <v>35</v>
      </c>
      <c r="C729">
        <v>55000</v>
      </c>
      <c r="D729" t="s">
        <v>32</v>
      </c>
      <c r="E729" t="s">
        <v>27</v>
      </c>
      <c r="F729" t="s">
        <v>35</v>
      </c>
      <c r="G729" s="1">
        <v>43195</v>
      </c>
      <c r="H729" t="s">
        <v>36</v>
      </c>
      <c r="J729" t="s">
        <v>29</v>
      </c>
      <c r="M729" t="str">
        <f t="shared" si="100"/>
        <v>Eve</v>
      </c>
      <c r="N729">
        <v>35</v>
      </c>
      <c r="O729">
        <f t="shared" si="101"/>
        <v>35</v>
      </c>
      <c r="P729">
        <v>55000</v>
      </c>
      <c r="Q729">
        <f t="shared" si="102"/>
        <v>55000</v>
      </c>
      <c r="R729" t="str">
        <f t="shared" si="103"/>
        <v>Other</v>
      </c>
      <c r="S729" t="str">
        <f t="shared" si="104"/>
        <v>IT</v>
      </c>
      <c r="T729" t="str">
        <f t="shared" si="105"/>
        <v>Clerk</v>
      </c>
      <c r="U729" s="2">
        <v>43195</v>
      </c>
      <c r="V729" t="s">
        <v>36</v>
      </c>
      <c r="X729" t="str">
        <f t="shared" si="106"/>
        <v>Email not provided</v>
      </c>
      <c r="Y729" t="str">
        <f t="shared" si="107"/>
        <v>Email not provided</v>
      </c>
      <c r="Z729" t="str">
        <f t="shared" si="99"/>
        <v>Phone not provided</v>
      </c>
    </row>
    <row r="730" spans="1:26" x14ac:dyDescent="0.25">
      <c r="A730" t="s">
        <v>41</v>
      </c>
      <c r="B730">
        <v>50</v>
      </c>
      <c r="C730" t="s">
        <v>30</v>
      </c>
      <c r="D730" t="s">
        <v>17</v>
      </c>
      <c r="E730" t="s">
        <v>23</v>
      </c>
      <c r="F730" t="s">
        <v>37</v>
      </c>
      <c r="G730" s="2">
        <v>43800</v>
      </c>
      <c r="H730" t="s">
        <v>20</v>
      </c>
      <c r="I730" t="s">
        <v>15</v>
      </c>
      <c r="J730" t="s">
        <v>21</v>
      </c>
      <c r="M730" t="str">
        <f t="shared" si="100"/>
        <v>Bob</v>
      </c>
      <c r="N730">
        <v>50</v>
      </c>
      <c r="O730">
        <f t="shared" si="101"/>
        <v>50</v>
      </c>
      <c r="P730" t="s">
        <v>30</v>
      </c>
      <c r="Q730">
        <f t="shared" si="102"/>
        <v>60000</v>
      </c>
      <c r="R730" t="str">
        <f t="shared" si="103"/>
        <v>Female</v>
      </c>
      <c r="S730" t="str">
        <f t="shared" si="104"/>
        <v>Sales</v>
      </c>
      <c r="T730" t="str">
        <f t="shared" si="105"/>
        <v>Assistant</v>
      </c>
      <c r="U730" s="2">
        <v>43800</v>
      </c>
      <c r="V730" t="s">
        <v>20</v>
      </c>
      <c r="W730" t="s">
        <v>15</v>
      </c>
      <c r="X730" t="str">
        <f t="shared" si="106"/>
        <v>Email not provided</v>
      </c>
      <c r="Y730" t="str">
        <f t="shared" si="107"/>
        <v>Email not provided</v>
      </c>
      <c r="Z730" t="str">
        <f t="shared" si="99"/>
        <v>123-456-7890</v>
      </c>
    </row>
    <row r="731" spans="1:26" x14ac:dyDescent="0.25">
      <c r="A731" t="s">
        <v>40</v>
      </c>
      <c r="B731">
        <v>35</v>
      </c>
      <c r="C731">
        <v>55000</v>
      </c>
      <c r="D731" t="s">
        <v>17</v>
      </c>
      <c r="E731" t="s">
        <v>23</v>
      </c>
      <c r="F731" t="s">
        <v>37</v>
      </c>
      <c r="G731" s="2">
        <v>43800</v>
      </c>
      <c r="H731" t="s">
        <v>20</v>
      </c>
      <c r="I731" t="s">
        <v>53</v>
      </c>
      <c r="J731" t="s">
        <v>29</v>
      </c>
      <c r="M731" t="str">
        <f t="shared" si="100"/>
        <v>Frank</v>
      </c>
      <c r="N731">
        <v>35</v>
      </c>
      <c r="O731">
        <f t="shared" si="101"/>
        <v>35</v>
      </c>
      <c r="P731">
        <v>55000</v>
      </c>
      <c r="Q731">
        <f t="shared" si="102"/>
        <v>55000</v>
      </c>
      <c r="R731" t="str">
        <f t="shared" si="103"/>
        <v>Female</v>
      </c>
      <c r="S731" t="str">
        <f t="shared" si="104"/>
        <v>Sales</v>
      </c>
      <c r="T731" t="str">
        <f t="shared" si="105"/>
        <v>Assistant</v>
      </c>
      <c r="U731" s="2">
        <v>43800</v>
      </c>
      <c r="V731" t="s">
        <v>20</v>
      </c>
      <c r="W731" t="s">
        <v>53</v>
      </c>
      <c r="X731" t="str">
        <f t="shared" si="106"/>
        <v>name@company/org</v>
      </c>
      <c r="Y731" t="str">
        <f t="shared" si="107"/>
        <v>name@company.org</v>
      </c>
      <c r="Z731" t="str">
        <f t="shared" si="99"/>
        <v>Phone not provided</v>
      </c>
    </row>
    <row r="732" spans="1:26" x14ac:dyDescent="0.25">
      <c r="A732" t="s">
        <v>26</v>
      </c>
      <c r="B732">
        <v>25</v>
      </c>
      <c r="C732">
        <v>60000</v>
      </c>
      <c r="D732" t="s">
        <v>17</v>
      </c>
      <c r="E732" t="s">
        <v>18</v>
      </c>
      <c r="F732" t="s">
        <v>37</v>
      </c>
      <c r="G732" s="1">
        <v>43195</v>
      </c>
      <c r="H732" t="s">
        <v>14</v>
      </c>
      <c r="I732" t="s">
        <v>51</v>
      </c>
      <c r="J732" t="s">
        <v>39</v>
      </c>
      <c r="M732" t="str">
        <f t="shared" si="100"/>
        <v>Eve</v>
      </c>
      <c r="N732">
        <v>25</v>
      </c>
      <c r="O732">
        <f t="shared" si="101"/>
        <v>25</v>
      </c>
      <c r="P732">
        <v>60000</v>
      </c>
      <c r="Q732">
        <f t="shared" si="102"/>
        <v>60000</v>
      </c>
      <c r="R732" t="str">
        <f t="shared" si="103"/>
        <v>Female</v>
      </c>
      <c r="S732" t="str">
        <f t="shared" si="104"/>
        <v>Finance</v>
      </c>
      <c r="T732" t="str">
        <f t="shared" si="105"/>
        <v>Assistant</v>
      </c>
      <c r="U732" s="2">
        <v>43195</v>
      </c>
      <c r="V732" t="s">
        <v>14</v>
      </c>
      <c r="W732" t="s">
        <v>51</v>
      </c>
      <c r="X732" t="str">
        <f t="shared" si="106"/>
        <v>email@example/com</v>
      </c>
      <c r="Y732" t="str">
        <f t="shared" si="107"/>
        <v>email@example.com</v>
      </c>
      <c r="Z732" t="str">
        <f t="shared" si="99"/>
        <v>555-555-5555</v>
      </c>
    </row>
    <row r="733" spans="1:26" x14ac:dyDescent="0.25">
      <c r="A733" t="s">
        <v>41</v>
      </c>
      <c r="B733">
        <v>25</v>
      </c>
      <c r="C733">
        <v>65000</v>
      </c>
      <c r="D733" t="s">
        <v>17</v>
      </c>
      <c r="E733" t="s">
        <v>18</v>
      </c>
      <c r="F733" t="s">
        <v>19</v>
      </c>
      <c r="G733" s="2">
        <v>43881</v>
      </c>
      <c r="H733" t="s">
        <v>36</v>
      </c>
      <c r="I733" t="s">
        <v>53</v>
      </c>
      <c r="J733" t="s">
        <v>29</v>
      </c>
      <c r="M733" t="str">
        <f t="shared" si="100"/>
        <v>Bob</v>
      </c>
      <c r="N733">
        <v>25</v>
      </c>
      <c r="O733">
        <f t="shared" si="101"/>
        <v>25</v>
      </c>
      <c r="P733">
        <v>65000</v>
      </c>
      <c r="Q733">
        <f t="shared" si="102"/>
        <v>65000</v>
      </c>
      <c r="R733" t="str">
        <f t="shared" si="103"/>
        <v>Female</v>
      </c>
      <c r="S733" t="str">
        <f t="shared" si="104"/>
        <v>Finance</v>
      </c>
      <c r="T733" t="str">
        <f t="shared" si="105"/>
        <v>Director</v>
      </c>
      <c r="U733" s="2">
        <v>43881</v>
      </c>
      <c r="V733" t="s">
        <v>36</v>
      </c>
      <c r="W733" t="s">
        <v>53</v>
      </c>
      <c r="X733" t="str">
        <f t="shared" si="106"/>
        <v>name@company/org</v>
      </c>
      <c r="Y733" t="str">
        <f t="shared" si="107"/>
        <v>name@company.org</v>
      </c>
      <c r="Z733" t="str">
        <f t="shared" si="99"/>
        <v>Phone not provided</v>
      </c>
    </row>
    <row r="734" spans="1:26" x14ac:dyDescent="0.25">
      <c r="A734" t="s">
        <v>34</v>
      </c>
      <c r="B734" t="s">
        <v>15</v>
      </c>
      <c r="C734">
        <v>65000</v>
      </c>
      <c r="D734" t="s">
        <v>32</v>
      </c>
      <c r="E734" t="s">
        <v>12</v>
      </c>
      <c r="F734" t="s">
        <v>37</v>
      </c>
      <c r="G734" s="1">
        <v>43195</v>
      </c>
      <c r="H734" t="s">
        <v>36</v>
      </c>
      <c r="I734" t="s">
        <v>51</v>
      </c>
      <c r="J734" t="s">
        <v>39</v>
      </c>
      <c r="M734" t="str">
        <f t="shared" si="100"/>
        <v>Charlie</v>
      </c>
      <c r="N734" t="s">
        <v>15</v>
      </c>
      <c r="O734">
        <f t="shared" si="101"/>
        <v>35</v>
      </c>
      <c r="P734">
        <v>65000</v>
      </c>
      <c r="Q734">
        <f t="shared" si="102"/>
        <v>65000</v>
      </c>
      <c r="R734" t="str">
        <f t="shared" si="103"/>
        <v>Other</v>
      </c>
      <c r="S734" t="str">
        <f t="shared" si="104"/>
        <v>HR</v>
      </c>
      <c r="T734" t="str">
        <f t="shared" si="105"/>
        <v>Assistant</v>
      </c>
      <c r="U734" s="2">
        <v>43195</v>
      </c>
      <c r="V734" t="s">
        <v>36</v>
      </c>
      <c r="W734" t="s">
        <v>51</v>
      </c>
      <c r="X734" t="str">
        <f t="shared" si="106"/>
        <v>email@example/com</v>
      </c>
      <c r="Y734" t="str">
        <f t="shared" si="107"/>
        <v>email@example.com</v>
      </c>
      <c r="Z734" t="str">
        <f t="shared" si="99"/>
        <v>555-555-5555</v>
      </c>
    </row>
    <row r="735" spans="1:26" x14ac:dyDescent="0.25">
      <c r="A735" t="s">
        <v>43</v>
      </c>
      <c r="B735">
        <v>25</v>
      </c>
      <c r="C735">
        <v>60000</v>
      </c>
      <c r="D735" t="s">
        <v>32</v>
      </c>
      <c r="E735" t="s">
        <v>23</v>
      </c>
      <c r="F735" t="s">
        <v>13</v>
      </c>
      <c r="G735" s="1">
        <v>43195</v>
      </c>
      <c r="H735" t="s">
        <v>28</v>
      </c>
      <c r="I735" t="s">
        <v>52</v>
      </c>
      <c r="J735" t="s">
        <v>25</v>
      </c>
      <c r="M735" t="str">
        <f t="shared" si="100"/>
        <v>Ivy</v>
      </c>
      <c r="N735">
        <v>25</v>
      </c>
      <c r="O735">
        <f t="shared" si="101"/>
        <v>25</v>
      </c>
      <c r="P735">
        <v>60000</v>
      </c>
      <c r="Q735">
        <f t="shared" si="102"/>
        <v>60000</v>
      </c>
      <c r="R735" t="str">
        <f t="shared" si="103"/>
        <v>Other</v>
      </c>
      <c r="S735" t="str">
        <f t="shared" si="104"/>
        <v>Sales</v>
      </c>
      <c r="T735" t="str">
        <f t="shared" si="105"/>
        <v>Manager</v>
      </c>
      <c r="U735" s="2">
        <v>43195</v>
      </c>
      <c r="V735" t="s">
        <v>28</v>
      </c>
      <c r="W735" t="s">
        <v>52</v>
      </c>
      <c r="X735" t="str">
        <f t="shared" si="106"/>
        <v>user@domain/com</v>
      </c>
      <c r="Y735" t="str">
        <f t="shared" si="107"/>
        <v>user@domain.com</v>
      </c>
      <c r="Z735" t="str">
        <f t="shared" si="99"/>
        <v>098-765-4321</v>
      </c>
    </row>
    <row r="736" spans="1:26" x14ac:dyDescent="0.25">
      <c r="A736" t="s">
        <v>10</v>
      </c>
      <c r="B736">
        <v>50</v>
      </c>
      <c r="C736">
        <v>50000</v>
      </c>
      <c r="D736" t="s">
        <v>11</v>
      </c>
      <c r="E736" t="s">
        <v>18</v>
      </c>
      <c r="F736" t="s">
        <v>37</v>
      </c>
      <c r="G736" s="2">
        <v>43549</v>
      </c>
      <c r="H736" t="s">
        <v>28</v>
      </c>
      <c r="I736" t="s">
        <v>15</v>
      </c>
      <c r="J736" t="s">
        <v>25</v>
      </c>
      <c r="M736" t="str">
        <f t="shared" si="100"/>
        <v>Grace</v>
      </c>
      <c r="N736">
        <v>50</v>
      </c>
      <c r="O736">
        <f t="shared" si="101"/>
        <v>50</v>
      </c>
      <c r="P736">
        <v>50000</v>
      </c>
      <c r="Q736">
        <f t="shared" si="102"/>
        <v>50000</v>
      </c>
      <c r="R736" t="str">
        <f t="shared" si="103"/>
        <v>Male</v>
      </c>
      <c r="S736" t="str">
        <f t="shared" si="104"/>
        <v>Finance</v>
      </c>
      <c r="T736" t="str">
        <f t="shared" si="105"/>
        <v>Assistant</v>
      </c>
      <c r="U736" s="2">
        <v>43549</v>
      </c>
      <c r="V736" t="s">
        <v>28</v>
      </c>
      <c r="W736" t="s">
        <v>15</v>
      </c>
      <c r="X736" t="str">
        <f t="shared" si="106"/>
        <v>Email not provided</v>
      </c>
      <c r="Y736" t="str">
        <f t="shared" si="107"/>
        <v>Email not provided</v>
      </c>
      <c r="Z736" t="str">
        <f t="shared" si="99"/>
        <v>098-765-4321</v>
      </c>
    </row>
    <row r="737" spans="1:26" x14ac:dyDescent="0.25">
      <c r="A737" t="s">
        <v>10</v>
      </c>
      <c r="B737">
        <v>50</v>
      </c>
      <c r="C737" t="s">
        <v>30</v>
      </c>
      <c r="D737" t="s">
        <v>11</v>
      </c>
      <c r="E737" t="s">
        <v>27</v>
      </c>
      <c r="F737" t="s">
        <v>35</v>
      </c>
      <c r="G737" s="2">
        <v>43800</v>
      </c>
      <c r="H737" t="s">
        <v>14</v>
      </c>
      <c r="I737" t="s">
        <v>52</v>
      </c>
      <c r="J737" t="s">
        <v>15</v>
      </c>
      <c r="M737" t="str">
        <f t="shared" si="100"/>
        <v>Grace</v>
      </c>
      <c r="N737">
        <v>50</v>
      </c>
      <c r="O737">
        <f t="shared" si="101"/>
        <v>50</v>
      </c>
      <c r="P737" t="s">
        <v>30</v>
      </c>
      <c r="Q737">
        <f t="shared" si="102"/>
        <v>60000</v>
      </c>
      <c r="R737" t="str">
        <f t="shared" si="103"/>
        <v>Male</v>
      </c>
      <c r="S737" t="str">
        <f t="shared" si="104"/>
        <v>IT</v>
      </c>
      <c r="T737" t="str">
        <f t="shared" si="105"/>
        <v>Clerk</v>
      </c>
      <c r="U737" s="2">
        <v>43800</v>
      </c>
      <c r="V737" t="s">
        <v>14</v>
      </c>
      <c r="W737" t="s">
        <v>52</v>
      </c>
      <c r="X737" t="str">
        <f t="shared" si="106"/>
        <v>user@domain/com</v>
      </c>
      <c r="Y737" t="str">
        <f t="shared" si="107"/>
        <v>user@domain.com</v>
      </c>
      <c r="Z737" t="str">
        <f t="shared" si="99"/>
        <v>Phone not provided</v>
      </c>
    </row>
    <row r="738" spans="1:26" x14ac:dyDescent="0.25">
      <c r="A738" t="s">
        <v>40</v>
      </c>
      <c r="B738">
        <v>50</v>
      </c>
      <c r="C738">
        <v>60000</v>
      </c>
      <c r="D738" t="s">
        <v>32</v>
      </c>
      <c r="E738" t="s">
        <v>33</v>
      </c>
      <c r="F738" t="s">
        <v>35</v>
      </c>
      <c r="G738" s="2">
        <v>43549</v>
      </c>
      <c r="H738" t="s">
        <v>24</v>
      </c>
      <c r="I738" t="s">
        <v>52</v>
      </c>
      <c r="J738" t="s">
        <v>39</v>
      </c>
      <c r="M738" t="str">
        <f t="shared" si="100"/>
        <v>Frank</v>
      </c>
      <c r="N738">
        <v>50</v>
      </c>
      <c r="O738">
        <f t="shared" si="101"/>
        <v>50</v>
      </c>
      <c r="P738">
        <v>60000</v>
      </c>
      <c r="Q738">
        <f t="shared" si="102"/>
        <v>60000</v>
      </c>
      <c r="R738" t="str">
        <f t="shared" si="103"/>
        <v>Other</v>
      </c>
      <c r="S738" t="str">
        <f t="shared" si="104"/>
        <v>Marketing</v>
      </c>
      <c r="T738" t="str">
        <f t="shared" si="105"/>
        <v>Clerk</v>
      </c>
      <c r="U738" s="2">
        <v>43549</v>
      </c>
      <c r="V738" t="s">
        <v>24</v>
      </c>
      <c r="W738" t="s">
        <v>52</v>
      </c>
      <c r="X738" t="str">
        <f t="shared" si="106"/>
        <v>user@domain/com</v>
      </c>
      <c r="Y738" t="str">
        <f t="shared" si="107"/>
        <v>user@domain.com</v>
      </c>
      <c r="Z738" t="str">
        <f t="shared" si="99"/>
        <v>555-555-5555</v>
      </c>
    </row>
    <row r="739" spans="1:26" x14ac:dyDescent="0.25">
      <c r="A739" t="s">
        <v>22</v>
      </c>
      <c r="B739" t="s">
        <v>15</v>
      </c>
      <c r="C739" t="s">
        <v>30</v>
      </c>
      <c r="D739" t="s">
        <v>11</v>
      </c>
      <c r="E739" t="s">
        <v>27</v>
      </c>
      <c r="F739" t="s">
        <v>35</v>
      </c>
      <c r="G739" s="2">
        <v>43549</v>
      </c>
      <c r="H739" t="s">
        <v>24</v>
      </c>
      <c r="I739" t="s">
        <v>51</v>
      </c>
      <c r="J739" t="s">
        <v>25</v>
      </c>
      <c r="M739" t="str">
        <f t="shared" si="100"/>
        <v>Hannah</v>
      </c>
      <c r="N739" t="s">
        <v>15</v>
      </c>
      <c r="O739">
        <f t="shared" si="101"/>
        <v>35</v>
      </c>
      <c r="P739" t="s">
        <v>30</v>
      </c>
      <c r="Q739">
        <f t="shared" si="102"/>
        <v>60000</v>
      </c>
      <c r="R739" t="str">
        <f t="shared" si="103"/>
        <v>Male</v>
      </c>
      <c r="S739" t="str">
        <f t="shared" si="104"/>
        <v>IT</v>
      </c>
      <c r="T739" t="str">
        <f t="shared" si="105"/>
        <v>Clerk</v>
      </c>
      <c r="U739" s="2">
        <v>43549</v>
      </c>
      <c r="V739" t="s">
        <v>24</v>
      </c>
      <c r="W739" t="s">
        <v>51</v>
      </c>
      <c r="X739" t="str">
        <f t="shared" si="106"/>
        <v>email@example/com</v>
      </c>
      <c r="Y739" t="str">
        <f t="shared" si="107"/>
        <v>email@example.com</v>
      </c>
      <c r="Z739" t="str">
        <f t="shared" si="99"/>
        <v>098-765-4321</v>
      </c>
    </row>
    <row r="740" spans="1:26" x14ac:dyDescent="0.25">
      <c r="A740" t="s">
        <v>16</v>
      </c>
      <c r="B740" t="s">
        <v>15</v>
      </c>
      <c r="C740">
        <v>70000</v>
      </c>
      <c r="D740" t="s">
        <v>32</v>
      </c>
      <c r="E740" t="s">
        <v>33</v>
      </c>
      <c r="F740" t="s">
        <v>19</v>
      </c>
      <c r="G740" s="1">
        <v>43195</v>
      </c>
      <c r="H740" t="s">
        <v>24</v>
      </c>
      <c r="I740" t="s">
        <v>53</v>
      </c>
      <c r="J740" t="s">
        <v>29</v>
      </c>
      <c r="M740" t="str">
        <f t="shared" si="100"/>
        <v>David</v>
      </c>
      <c r="N740" t="s">
        <v>15</v>
      </c>
      <c r="O740">
        <f t="shared" si="101"/>
        <v>35</v>
      </c>
      <c r="P740">
        <v>70000</v>
      </c>
      <c r="Q740">
        <f t="shared" si="102"/>
        <v>70000</v>
      </c>
      <c r="R740" t="str">
        <f t="shared" si="103"/>
        <v>Other</v>
      </c>
      <c r="S740" t="str">
        <f t="shared" si="104"/>
        <v>Marketing</v>
      </c>
      <c r="T740" t="str">
        <f t="shared" si="105"/>
        <v>Director</v>
      </c>
      <c r="U740" s="2">
        <v>43195</v>
      </c>
      <c r="V740" t="s">
        <v>24</v>
      </c>
      <c r="W740" t="s">
        <v>53</v>
      </c>
      <c r="X740" t="str">
        <f t="shared" si="106"/>
        <v>name@company/org</v>
      </c>
      <c r="Y740" t="str">
        <f t="shared" si="107"/>
        <v>name@company.org</v>
      </c>
      <c r="Z740" t="str">
        <f t="shared" si="99"/>
        <v>Phone not provided</v>
      </c>
    </row>
    <row r="741" spans="1:26" x14ac:dyDescent="0.25">
      <c r="A741" t="s">
        <v>22</v>
      </c>
      <c r="B741">
        <v>25</v>
      </c>
      <c r="C741">
        <v>65000</v>
      </c>
      <c r="D741" t="s">
        <v>11</v>
      </c>
      <c r="E741" t="s">
        <v>18</v>
      </c>
      <c r="F741" t="s">
        <v>35</v>
      </c>
      <c r="G741" s="2">
        <v>43549</v>
      </c>
      <c r="H741" t="s">
        <v>36</v>
      </c>
      <c r="J741" t="s">
        <v>21</v>
      </c>
      <c r="M741" t="str">
        <f t="shared" si="100"/>
        <v>Hannah</v>
      </c>
      <c r="N741">
        <v>25</v>
      </c>
      <c r="O741">
        <f t="shared" si="101"/>
        <v>25</v>
      </c>
      <c r="P741">
        <v>65000</v>
      </c>
      <c r="Q741">
        <f t="shared" si="102"/>
        <v>65000</v>
      </c>
      <c r="R741" t="str">
        <f t="shared" si="103"/>
        <v>Male</v>
      </c>
      <c r="S741" t="str">
        <f t="shared" si="104"/>
        <v>Finance</v>
      </c>
      <c r="T741" t="str">
        <f t="shared" si="105"/>
        <v>Clerk</v>
      </c>
      <c r="U741" s="2">
        <v>43549</v>
      </c>
      <c r="V741" t="s">
        <v>36</v>
      </c>
      <c r="X741" t="str">
        <f t="shared" si="106"/>
        <v>Email not provided</v>
      </c>
      <c r="Y741" t="str">
        <f t="shared" si="107"/>
        <v>Email not provided</v>
      </c>
      <c r="Z741" t="str">
        <f t="shared" si="99"/>
        <v>123-456-7890</v>
      </c>
    </row>
    <row r="742" spans="1:26" x14ac:dyDescent="0.25">
      <c r="A742" t="s">
        <v>16</v>
      </c>
      <c r="B742">
        <v>30</v>
      </c>
      <c r="C742" t="s">
        <v>30</v>
      </c>
      <c r="D742" t="s">
        <v>17</v>
      </c>
      <c r="E742" t="s">
        <v>12</v>
      </c>
      <c r="F742" t="s">
        <v>19</v>
      </c>
      <c r="G742" s="2">
        <v>43800</v>
      </c>
      <c r="H742" t="s">
        <v>36</v>
      </c>
      <c r="I742" t="s">
        <v>51</v>
      </c>
      <c r="J742" t="s">
        <v>21</v>
      </c>
      <c r="M742" t="str">
        <f t="shared" si="100"/>
        <v>David</v>
      </c>
      <c r="N742">
        <v>30</v>
      </c>
      <c r="O742">
        <f t="shared" si="101"/>
        <v>30</v>
      </c>
      <c r="P742" t="s">
        <v>30</v>
      </c>
      <c r="Q742">
        <f t="shared" si="102"/>
        <v>60000</v>
      </c>
      <c r="R742" t="str">
        <f t="shared" si="103"/>
        <v>Female</v>
      </c>
      <c r="S742" t="str">
        <f t="shared" si="104"/>
        <v>HR</v>
      </c>
      <c r="T742" t="str">
        <f t="shared" si="105"/>
        <v>Director</v>
      </c>
      <c r="U742" s="2">
        <v>43800</v>
      </c>
      <c r="V742" t="s">
        <v>36</v>
      </c>
      <c r="W742" t="s">
        <v>51</v>
      </c>
      <c r="X742" t="str">
        <f t="shared" si="106"/>
        <v>email@example/com</v>
      </c>
      <c r="Y742" t="str">
        <f t="shared" si="107"/>
        <v>email@example.com</v>
      </c>
      <c r="Z742" t="str">
        <f t="shared" si="99"/>
        <v>123-456-7890</v>
      </c>
    </row>
    <row r="743" spans="1:26" x14ac:dyDescent="0.25">
      <c r="A743" t="s">
        <v>22</v>
      </c>
      <c r="B743">
        <v>30</v>
      </c>
      <c r="C743">
        <v>55000</v>
      </c>
      <c r="D743" t="s">
        <v>11</v>
      </c>
      <c r="E743" t="s">
        <v>27</v>
      </c>
      <c r="F743" t="s">
        <v>19</v>
      </c>
      <c r="G743" s="2">
        <v>43549</v>
      </c>
      <c r="H743" t="s">
        <v>20</v>
      </c>
      <c r="J743" t="s">
        <v>39</v>
      </c>
      <c r="M743" t="str">
        <f t="shared" si="100"/>
        <v>Hannah</v>
      </c>
      <c r="N743">
        <v>30</v>
      </c>
      <c r="O743">
        <f t="shared" si="101"/>
        <v>30</v>
      </c>
      <c r="P743">
        <v>55000</v>
      </c>
      <c r="Q743">
        <f t="shared" si="102"/>
        <v>55000</v>
      </c>
      <c r="R743" t="str">
        <f t="shared" si="103"/>
        <v>Male</v>
      </c>
      <c r="S743" t="str">
        <f t="shared" si="104"/>
        <v>IT</v>
      </c>
      <c r="T743" t="str">
        <f t="shared" si="105"/>
        <v>Director</v>
      </c>
      <c r="U743" s="2">
        <v>43549</v>
      </c>
      <c r="V743" t="s">
        <v>20</v>
      </c>
      <c r="X743" t="str">
        <f t="shared" si="106"/>
        <v>Email not provided</v>
      </c>
      <c r="Y743" t="str">
        <f t="shared" si="107"/>
        <v>Email not provided</v>
      </c>
      <c r="Z743" t="str">
        <f t="shared" si="99"/>
        <v>555-555-5555</v>
      </c>
    </row>
    <row r="744" spans="1:26" x14ac:dyDescent="0.25">
      <c r="A744" t="s">
        <v>43</v>
      </c>
      <c r="B744" t="s">
        <v>15</v>
      </c>
      <c r="C744" t="s">
        <v>30</v>
      </c>
      <c r="D744" t="s">
        <v>17</v>
      </c>
      <c r="E744" t="s">
        <v>27</v>
      </c>
      <c r="F744" t="s">
        <v>37</v>
      </c>
      <c r="G744" s="2">
        <v>43800</v>
      </c>
      <c r="H744" t="s">
        <v>36</v>
      </c>
      <c r="I744" t="s">
        <v>52</v>
      </c>
      <c r="J744" t="s">
        <v>15</v>
      </c>
      <c r="M744" t="str">
        <f t="shared" si="100"/>
        <v>Ivy</v>
      </c>
      <c r="N744" t="s">
        <v>15</v>
      </c>
      <c r="O744">
        <f t="shared" si="101"/>
        <v>35</v>
      </c>
      <c r="P744" t="s">
        <v>30</v>
      </c>
      <c r="Q744">
        <f t="shared" si="102"/>
        <v>60000</v>
      </c>
      <c r="R744" t="str">
        <f t="shared" si="103"/>
        <v>Female</v>
      </c>
      <c r="S744" t="str">
        <f t="shared" si="104"/>
        <v>IT</v>
      </c>
      <c r="T744" t="str">
        <f t="shared" si="105"/>
        <v>Assistant</v>
      </c>
      <c r="U744" s="2">
        <v>43800</v>
      </c>
      <c r="V744" t="s">
        <v>36</v>
      </c>
      <c r="W744" t="s">
        <v>52</v>
      </c>
      <c r="X744" t="str">
        <f t="shared" si="106"/>
        <v>user@domain/com</v>
      </c>
      <c r="Y744" t="str">
        <f t="shared" si="107"/>
        <v>user@domain.com</v>
      </c>
      <c r="Z744" t="str">
        <f t="shared" si="99"/>
        <v>Phone not provided</v>
      </c>
    </row>
    <row r="745" spans="1:26" x14ac:dyDescent="0.25">
      <c r="A745" t="s">
        <v>34</v>
      </c>
      <c r="B745">
        <v>25</v>
      </c>
      <c r="C745">
        <v>70000</v>
      </c>
      <c r="D745" t="s">
        <v>17</v>
      </c>
      <c r="E745" t="s">
        <v>27</v>
      </c>
      <c r="F745" t="s">
        <v>13</v>
      </c>
      <c r="G745" s="2">
        <v>43549</v>
      </c>
      <c r="H745" t="s">
        <v>36</v>
      </c>
      <c r="J745" t="s">
        <v>29</v>
      </c>
      <c r="M745" t="str">
        <f t="shared" si="100"/>
        <v>Charlie</v>
      </c>
      <c r="N745">
        <v>25</v>
      </c>
      <c r="O745">
        <f t="shared" si="101"/>
        <v>25</v>
      </c>
      <c r="P745">
        <v>70000</v>
      </c>
      <c r="Q745">
        <f t="shared" si="102"/>
        <v>70000</v>
      </c>
      <c r="R745" t="str">
        <f t="shared" si="103"/>
        <v>Female</v>
      </c>
      <c r="S745" t="str">
        <f t="shared" si="104"/>
        <v>IT</v>
      </c>
      <c r="T745" t="str">
        <f t="shared" si="105"/>
        <v>Manager</v>
      </c>
      <c r="U745" s="2">
        <v>43549</v>
      </c>
      <c r="V745" t="s">
        <v>36</v>
      </c>
      <c r="X745" t="str">
        <f t="shared" si="106"/>
        <v>Email not provided</v>
      </c>
      <c r="Y745" t="str">
        <f t="shared" si="107"/>
        <v>Email not provided</v>
      </c>
      <c r="Z745" t="str">
        <f t="shared" si="99"/>
        <v>Phone not provided</v>
      </c>
    </row>
    <row r="746" spans="1:26" x14ac:dyDescent="0.25">
      <c r="A746" t="s">
        <v>34</v>
      </c>
      <c r="B746">
        <v>30</v>
      </c>
      <c r="C746">
        <v>65000</v>
      </c>
      <c r="D746" t="s">
        <v>17</v>
      </c>
      <c r="E746" t="s">
        <v>33</v>
      </c>
      <c r="F746" t="s">
        <v>37</v>
      </c>
      <c r="G746" s="2">
        <v>43800</v>
      </c>
      <c r="H746" t="s">
        <v>36</v>
      </c>
      <c r="I746" t="s">
        <v>53</v>
      </c>
      <c r="J746" t="s">
        <v>39</v>
      </c>
      <c r="M746" t="str">
        <f t="shared" si="100"/>
        <v>Charlie</v>
      </c>
      <c r="N746">
        <v>30</v>
      </c>
      <c r="O746">
        <f t="shared" si="101"/>
        <v>30</v>
      </c>
      <c r="P746">
        <v>65000</v>
      </c>
      <c r="Q746">
        <f t="shared" si="102"/>
        <v>65000</v>
      </c>
      <c r="R746" t="str">
        <f t="shared" si="103"/>
        <v>Female</v>
      </c>
      <c r="S746" t="str">
        <f t="shared" si="104"/>
        <v>Marketing</v>
      </c>
      <c r="T746" t="str">
        <f t="shared" si="105"/>
        <v>Assistant</v>
      </c>
      <c r="U746" s="2">
        <v>43800</v>
      </c>
      <c r="V746" t="s">
        <v>36</v>
      </c>
      <c r="W746" t="s">
        <v>53</v>
      </c>
      <c r="X746" t="str">
        <f t="shared" si="106"/>
        <v>name@company/org</v>
      </c>
      <c r="Y746" t="str">
        <f t="shared" si="107"/>
        <v>name@company.org</v>
      </c>
      <c r="Z746" t="str">
        <f t="shared" si="99"/>
        <v>555-555-5555</v>
      </c>
    </row>
    <row r="747" spans="1:26" x14ac:dyDescent="0.25">
      <c r="A747" t="s">
        <v>41</v>
      </c>
      <c r="B747">
        <v>25</v>
      </c>
      <c r="C747">
        <v>60000</v>
      </c>
      <c r="D747" t="s">
        <v>17</v>
      </c>
      <c r="E747" t="s">
        <v>18</v>
      </c>
      <c r="F747" t="s">
        <v>37</v>
      </c>
      <c r="G747" s="2">
        <v>43549</v>
      </c>
      <c r="H747" t="s">
        <v>14</v>
      </c>
      <c r="I747" t="s">
        <v>51</v>
      </c>
      <c r="J747" t="s">
        <v>21</v>
      </c>
      <c r="M747" t="str">
        <f t="shared" si="100"/>
        <v>Bob</v>
      </c>
      <c r="N747">
        <v>25</v>
      </c>
      <c r="O747">
        <f t="shared" si="101"/>
        <v>25</v>
      </c>
      <c r="P747">
        <v>60000</v>
      </c>
      <c r="Q747">
        <f t="shared" si="102"/>
        <v>60000</v>
      </c>
      <c r="R747" t="str">
        <f t="shared" si="103"/>
        <v>Female</v>
      </c>
      <c r="S747" t="str">
        <f t="shared" si="104"/>
        <v>Finance</v>
      </c>
      <c r="T747" t="str">
        <f t="shared" si="105"/>
        <v>Assistant</v>
      </c>
      <c r="U747" s="2">
        <v>43549</v>
      </c>
      <c r="V747" t="s">
        <v>14</v>
      </c>
      <c r="W747" t="s">
        <v>51</v>
      </c>
      <c r="X747" t="str">
        <f t="shared" si="106"/>
        <v>email@example/com</v>
      </c>
      <c r="Y747" t="str">
        <f t="shared" si="107"/>
        <v>email@example.com</v>
      </c>
      <c r="Z747" t="str">
        <f t="shared" si="99"/>
        <v>123-456-7890</v>
      </c>
    </row>
    <row r="748" spans="1:26" x14ac:dyDescent="0.25">
      <c r="A748" t="s">
        <v>31</v>
      </c>
      <c r="B748">
        <v>25</v>
      </c>
      <c r="C748">
        <v>70000</v>
      </c>
      <c r="D748" t="s">
        <v>11</v>
      </c>
      <c r="E748" t="s">
        <v>27</v>
      </c>
      <c r="F748" t="s">
        <v>19</v>
      </c>
      <c r="G748" s="2">
        <v>43549</v>
      </c>
      <c r="H748" t="s">
        <v>36</v>
      </c>
      <c r="I748" t="s">
        <v>53</v>
      </c>
      <c r="J748" t="s">
        <v>39</v>
      </c>
      <c r="M748" t="str">
        <f t="shared" si="100"/>
        <v>Jack</v>
      </c>
      <c r="N748">
        <v>25</v>
      </c>
      <c r="O748">
        <f t="shared" si="101"/>
        <v>25</v>
      </c>
      <c r="P748">
        <v>70000</v>
      </c>
      <c r="Q748">
        <f t="shared" si="102"/>
        <v>70000</v>
      </c>
      <c r="R748" t="str">
        <f t="shared" si="103"/>
        <v>Male</v>
      </c>
      <c r="S748" t="str">
        <f t="shared" si="104"/>
        <v>IT</v>
      </c>
      <c r="T748" t="str">
        <f t="shared" si="105"/>
        <v>Director</v>
      </c>
      <c r="U748" s="2">
        <v>43549</v>
      </c>
      <c r="V748" t="s">
        <v>36</v>
      </c>
      <c r="W748" t="s">
        <v>53</v>
      </c>
      <c r="X748" t="str">
        <f t="shared" si="106"/>
        <v>name@company/org</v>
      </c>
      <c r="Y748" t="str">
        <f t="shared" si="107"/>
        <v>name@company.org</v>
      </c>
      <c r="Z748" t="str">
        <f t="shared" si="99"/>
        <v>555-555-5555</v>
      </c>
    </row>
    <row r="749" spans="1:26" x14ac:dyDescent="0.25">
      <c r="A749" t="s">
        <v>34</v>
      </c>
      <c r="B749">
        <v>25</v>
      </c>
      <c r="C749">
        <v>65000</v>
      </c>
      <c r="D749" t="s">
        <v>32</v>
      </c>
      <c r="E749" t="s">
        <v>27</v>
      </c>
      <c r="F749" t="s">
        <v>19</v>
      </c>
      <c r="G749" s="2">
        <v>43881</v>
      </c>
      <c r="H749" t="s">
        <v>28</v>
      </c>
      <c r="I749" t="s">
        <v>53</v>
      </c>
      <c r="J749" t="s">
        <v>29</v>
      </c>
      <c r="M749" t="str">
        <f t="shared" si="100"/>
        <v>Charlie</v>
      </c>
      <c r="N749">
        <v>25</v>
      </c>
      <c r="O749">
        <f t="shared" si="101"/>
        <v>25</v>
      </c>
      <c r="P749">
        <v>65000</v>
      </c>
      <c r="Q749">
        <f t="shared" si="102"/>
        <v>65000</v>
      </c>
      <c r="R749" t="str">
        <f t="shared" si="103"/>
        <v>Other</v>
      </c>
      <c r="S749" t="str">
        <f t="shared" si="104"/>
        <v>IT</v>
      </c>
      <c r="T749" t="str">
        <f t="shared" si="105"/>
        <v>Director</v>
      </c>
      <c r="U749" s="2">
        <v>43881</v>
      </c>
      <c r="V749" t="s">
        <v>28</v>
      </c>
      <c r="W749" t="s">
        <v>53</v>
      </c>
      <c r="X749" t="str">
        <f t="shared" si="106"/>
        <v>name@company/org</v>
      </c>
      <c r="Y749" t="str">
        <f t="shared" si="107"/>
        <v>name@company.org</v>
      </c>
      <c r="Z749" t="str">
        <f t="shared" si="99"/>
        <v>Phone not provided</v>
      </c>
    </row>
    <row r="750" spans="1:26" x14ac:dyDescent="0.25">
      <c r="A750" t="s">
        <v>34</v>
      </c>
      <c r="B750">
        <v>40</v>
      </c>
      <c r="C750" t="s">
        <v>30</v>
      </c>
      <c r="D750" t="s">
        <v>17</v>
      </c>
      <c r="E750" t="s">
        <v>12</v>
      </c>
      <c r="F750" t="s">
        <v>35</v>
      </c>
      <c r="G750" s="2">
        <v>43800</v>
      </c>
      <c r="H750" t="s">
        <v>28</v>
      </c>
      <c r="I750" t="s">
        <v>51</v>
      </c>
      <c r="J750" t="s">
        <v>25</v>
      </c>
      <c r="M750" t="str">
        <f t="shared" si="100"/>
        <v>Charlie</v>
      </c>
      <c r="N750">
        <v>40</v>
      </c>
      <c r="O750">
        <f t="shared" si="101"/>
        <v>40</v>
      </c>
      <c r="P750" t="s">
        <v>30</v>
      </c>
      <c r="Q750">
        <f t="shared" si="102"/>
        <v>60000</v>
      </c>
      <c r="R750" t="str">
        <f t="shared" si="103"/>
        <v>Female</v>
      </c>
      <c r="S750" t="str">
        <f t="shared" si="104"/>
        <v>HR</v>
      </c>
      <c r="T750" t="str">
        <f t="shared" si="105"/>
        <v>Clerk</v>
      </c>
      <c r="U750" s="2">
        <v>43800</v>
      </c>
      <c r="V750" t="s">
        <v>28</v>
      </c>
      <c r="W750" t="s">
        <v>51</v>
      </c>
      <c r="X750" t="str">
        <f t="shared" si="106"/>
        <v>email@example/com</v>
      </c>
      <c r="Y750" t="str">
        <f t="shared" si="107"/>
        <v>email@example.com</v>
      </c>
      <c r="Z750" t="str">
        <f t="shared" si="99"/>
        <v>098-765-4321</v>
      </c>
    </row>
    <row r="751" spans="1:26" x14ac:dyDescent="0.25">
      <c r="A751" t="s">
        <v>26</v>
      </c>
      <c r="B751">
        <v>50</v>
      </c>
      <c r="C751">
        <v>50000</v>
      </c>
      <c r="D751" t="s">
        <v>11</v>
      </c>
      <c r="E751" t="s">
        <v>12</v>
      </c>
      <c r="F751" t="s">
        <v>35</v>
      </c>
      <c r="G751" s="2">
        <v>43800</v>
      </c>
      <c r="H751" t="s">
        <v>20</v>
      </c>
      <c r="I751" t="s">
        <v>53</v>
      </c>
      <c r="J751" t="s">
        <v>29</v>
      </c>
      <c r="M751" t="str">
        <f t="shared" si="100"/>
        <v>Eve</v>
      </c>
      <c r="N751">
        <v>50</v>
      </c>
      <c r="O751">
        <f t="shared" si="101"/>
        <v>50</v>
      </c>
      <c r="P751">
        <v>50000</v>
      </c>
      <c r="Q751">
        <f t="shared" si="102"/>
        <v>50000</v>
      </c>
      <c r="R751" t="str">
        <f t="shared" si="103"/>
        <v>Male</v>
      </c>
      <c r="S751" t="str">
        <f t="shared" si="104"/>
        <v>HR</v>
      </c>
      <c r="T751" t="str">
        <f t="shared" si="105"/>
        <v>Clerk</v>
      </c>
      <c r="U751" s="2">
        <v>43800</v>
      </c>
      <c r="V751" t="s">
        <v>20</v>
      </c>
      <c r="W751" t="s">
        <v>53</v>
      </c>
      <c r="X751" t="str">
        <f t="shared" si="106"/>
        <v>name@company/org</v>
      </c>
      <c r="Y751" t="str">
        <f t="shared" si="107"/>
        <v>name@company.org</v>
      </c>
      <c r="Z751" t="str">
        <f t="shared" si="99"/>
        <v>Phone not provided</v>
      </c>
    </row>
    <row r="752" spans="1:26" x14ac:dyDescent="0.25">
      <c r="A752" t="s">
        <v>26</v>
      </c>
      <c r="B752">
        <v>25</v>
      </c>
      <c r="C752">
        <v>50000</v>
      </c>
      <c r="D752" t="s">
        <v>17</v>
      </c>
      <c r="E752" t="s">
        <v>18</v>
      </c>
      <c r="F752" t="s">
        <v>37</v>
      </c>
      <c r="G752" s="2">
        <v>43800</v>
      </c>
      <c r="H752" t="s">
        <v>14</v>
      </c>
      <c r="I752" t="s">
        <v>15</v>
      </c>
      <c r="J752" t="s">
        <v>25</v>
      </c>
      <c r="M752" t="str">
        <f t="shared" si="100"/>
        <v>Eve</v>
      </c>
      <c r="N752">
        <v>25</v>
      </c>
      <c r="O752">
        <f t="shared" si="101"/>
        <v>25</v>
      </c>
      <c r="P752">
        <v>50000</v>
      </c>
      <c r="Q752">
        <f t="shared" si="102"/>
        <v>50000</v>
      </c>
      <c r="R752" t="str">
        <f t="shared" si="103"/>
        <v>Female</v>
      </c>
      <c r="S752" t="str">
        <f t="shared" si="104"/>
        <v>Finance</v>
      </c>
      <c r="T752" t="str">
        <f t="shared" si="105"/>
        <v>Assistant</v>
      </c>
      <c r="U752" s="2">
        <v>43800</v>
      </c>
      <c r="V752" t="s">
        <v>14</v>
      </c>
      <c r="W752" t="s">
        <v>15</v>
      </c>
      <c r="X752" t="str">
        <f t="shared" si="106"/>
        <v>Email not provided</v>
      </c>
      <c r="Y752" t="str">
        <f t="shared" si="107"/>
        <v>Email not provided</v>
      </c>
      <c r="Z752" t="str">
        <f t="shared" si="99"/>
        <v>098-765-4321</v>
      </c>
    </row>
    <row r="753" spans="1:26" x14ac:dyDescent="0.25">
      <c r="A753" t="s">
        <v>41</v>
      </c>
      <c r="B753">
        <v>40</v>
      </c>
      <c r="C753">
        <v>55000</v>
      </c>
      <c r="D753" t="s">
        <v>11</v>
      </c>
      <c r="E753" t="s">
        <v>18</v>
      </c>
      <c r="F753" t="s">
        <v>38</v>
      </c>
      <c r="G753" s="2">
        <v>43845</v>
      </c>
      <c r="H753" t="s">
        <v>28</v>
      </c>
      <c r="I753" t="s">
        <v>15</v>
      </c>
      <c r="J753" t="s">
        <v>25</v>
      </c>
      <c r="M753" t="str">
        <f t="shared" si="100"/>
        <v>Bob</v>
      </c>
      <c r="N753">
        <v>40</v>
      </c>
      <c r="O753">
        <f t="shared" si="101"/>
        <v>40</v>
      </c>
      <c r="P753">
        <v>55000</v>
      </c>
      <c r="Q753">
        <f t="shared" si="102"/>
        <v>55000</v>
      </c>
      <c r="R753" t="str">
        <f t="shared" si="103"/>
        <v>Male</v>
      </c>
      <c r="S753" t="str">
        <f t="shared" si="104"/>
        <v>Finance</v>
      </c>
      <c r="T753" t="str">
        <f t="shared" si="105"/>
        <v>Analyst</v>
      </c>
      <c r="U753" s="2">
        <v>43845</v>
      </c>
      <c r="V753" t="s">
        <v>28</v>
      </c>
      <c r="W753" t="s">
        <v>15</v>
      </c>
      <c r="X753" t="str">
        <f t="shared" si="106"/>
        <v>Email not provided</v>
      </c>
      <c r="Y753" t="str">
        <f t="shared" si="107"/>
        <v>Email not provided</v>
      </c>
      <c r="Z753" t="str">
        <f t="shared" si="99"/>
        <v>098-765-4321</v>
      </c>
    </row>
    <row r="754" spans="1:26" x14ac:dyDescent="0.25">
      <c r="A754" t="s">
        <v>31</v>
      </c>
      <c r="B754" t="s">
        <v>15</v>
      </c>
      <c r="C754">
        <v>65000</v>
      </c>
      <c r="D754" t="s">
        <v>11</v>
      </c>
      <c r="E754" t="s">
        <v>23</v>
      </c>
      <c r="F754" t="s">
        <v>38</v>
      </c>
      <c r="G754" s="2">
        <v>43549</v>
      </c>
      <c r="H754" t="s">
        <v>14</v>
      </c>
      <c r="I754" t="s">
        <v>15</v>
      </c>
      <c r="J754" t="s">
        <v>25</v>
      </c>
      <c r="M754" t="str">
        <f t="shared" si="100"/>
        <v>Jack</v>
      </c>
      <c r="N754" t="s">
        <v>15</v>
      </c>
      <c r="O754">
        <f t="shared" si="101"/>
        <v>35</v>
      </c>
      <c r="P754">
        <v>65000</v>
      </c>
      <c r="Q754">
        <f t="shared" si="102"/>
        <v>65000</v>
      </c>
      <c r="R754" t="str">
        <f t="shared" si="103"/>
        <v>Male</v>
      </c>
      <c r="S754" t="str">
        <f t="shared" si="104"/>
        <v>Sales</v>
      </c>
      <c r="T754" t="str">
        <f t="shared" si="105"/>
        <v>Analyst</v>
      </c>
      <c r="U754" s="2">
        <v>43549</v>
      </c>
      <c r="V754" t="s">
        <v>14</v>
      </c>
      <c r="W754" t="s">
        <v>15</v>
      </c>
      <c r="X754" t="str">
        <f t="shared" si="106"/>
        <v>Email not provided</v>
      </c>
      <c r="Y754" t="str">
        <f t="shared" si="107"/>
        <v>Email not provided</v>
      </c>
      <c r="Z754" t="str">
        <f t="shared" si="99"/>
        <v>098-765-4321</v>
      </c>
    </row>
    <row r="755" spans="1:26" x14ac:dyDescent="0.25">
      <c r="A755" t="s">
        <v>40</v>
      </c>
      <c r="B755">
        <v>30</v>
      </c>
      <c r="C755">
        <v>50000</v>
      </c>
      <c r="D755" t="s">
        <v>11</v>
      </c>
      <c r="E755" t="s">
        <v>12</v>
      </c>
      <c r="F755" t="s">
        <v>35</v>
      </c>
      <c r="G755" s="2">
        <v>43800</v>
      </c>
      <c r="H755" t="s">
        <v>14</v>
      </c>
      <c r="J755" t="s">
        <v>39</v>
      </c>
      <c r="M755" t="str">
        <f t="shared" si="100"/>
        <v>Frank</v>
      </c>
      <c r="N755">
        <v>30</v>
      </c>
      <c r="O755">
        <f t="shared" si="101"/>
        <v>30</v>
      </c>
      <c r="P755">
        <v>50000</v>
      </c>
      <c r="Q755">
        <f t="shared" si="102"/>
        <v>50000</v>
      </c>
      <c r="R755" t="str">
        <f t="shared" si="103"/>
        <v>Male</v>
      </c>
      <c r="S755" t="str">
        <f t="shared" si="104"/>
        <v>HR</v>
      </c>
      <c r="T755" t="str">
        <f t="shared" si="105"/>
        <v>Clerk</v>
      </c>
      <c r="U755" s="2">
        <v>43800</v>
      </c>
      <c r="V755" t="s">
        <v>14</v>
      </c>
      <c r="X755" t="str">
        <f t="shared" si="106"/>
        <v>Email not provided</v>
      </c>
      <c r="Y755" t="str">
        <f t="shared" si="107"/>
        <v>Email not provided</v>
      </c>
      <c r="Z755" t="str">
        <f t="shared" si="99"/>
        <v>555-555-5555</v>
      </c>
    </row>
    <row r="756" spans="1:26" x14ac:dyDescent="0.25">
      <c r="A756" t="s">
        <v>26</v>
      </c>
      <c r="B756">
        <v>50</v>
      </c>
      <c r="C756">
        <v>60000</v>
      </c>
      <c r="D756" t="s">
        <v>32</v>
      </c>
      <c r="E756" t="s">
        <v>23</v>
      </c>
      <c r="F756" t="s">
        <v>38</v>
      </c>
      <c r="G756" s="2">
        <v>43845</v>
      </c>
      <c r="H756" t="s">
        <v>20</v>
      </c>
      <c r="I756" t="s">
        <v>53</v>
      </c>
      <c r="J756" t="s">
        <v>21</v>
      </c>
      <c r="M756" t="str">
        <f t="shared" si="100"/>
        <v>Eve</v>
      </c>
      <c r="N756">
        <v>50</v>
      </c>
      <c r="O756">
        <f t="shared" si="101"/>
        <v>50</v>
      </c>
      <c r="P756">
        <v>60000</v>
      </c>
      <c r="Q756">
        <f t="shared" si="102"/>
        <v>60000</v>
      </c>
      <c r="R756" t="str">
        <f t="shared" si="103"/>
        <v>Other</v>
      </c>
      <c r="S756" t="str">
        <f t="shared" si="104"/>
        <v>Sales</v>
      </c>
      <c r="T756" t="str">
        <f t="shared" si="105"/>
        <v>Analyst</v>
      </c>
      <c r="U756" s="2">
        <v>43845</v>
      </c>
      <c r="V756" t="s">
        <v>20</v>
      </c>
      <c r="W756" t="s">
        <v>53</v>
      </c>
      <c r="X756" t="str">
        <f t="shared" si="106"/>
        <v>name@company/org</v>
      </c>
      <c r="Y756" t="str">
        <f t="shared" si="107"/>
        <v>name@company.org</v>
      </c>
      <c r="Z756" t="str">
        <f t="shared" si="99"/>
        <v>123-456-7890</v>
      </c>
    </row>
    <row r="757" spans="1:26" x14ac:dyDescent="0.25">
      <c r="A757" t="s">
        <v>40</v>
      </c>
      <c r="B757">
        <v>30</v>
      </c>
      <c r="C757">
        <v>65000</v>
      </c>
      <c r="D757" t="s">
        <v>11</v>
      </c>
      <c r="E757" t="s">
        <v>33</v>
      </c>
      <c r="F757" t="s">
        <v>35</v>
      </c>
      <c r="G757" s="2">
        <v>43881</v>
      </c>
      <c r="H757" t="s">
        <v>14</v>
      </c>
      <c r="I757" t="s">
        <v>51</v>
      </c>
      <c r="J757" t="s">
        <v>39</v>
      </c>
      <c r="M757" t="str">
        <f t="shared" si="100"/>
        <v>Frank</v>
      </c>
      <c r="N757">
        <v>30</v>
      </c>
      <c r="O757">
        <f t="shared" si="101"/>
        <v>30</v>
      </c>
      <c r="P757">
        <v>65000</v>
      </c>
      <c r="Q757">
        <f t="shared" si="102"/>
        <v>65000</v>
      </c>
      <c r="R757" t="str">
        <f t="shared" si="103"/>
        <v>Male</v>
      </c>
      <c r="S757" t="str">
        <f t="shared" si="104"/>
        <v>Marketing</v>
      </c>
      <c r="T757" t="str">
        <f t="shared" si="105"/>
        <v>Clerk</v>
      </c>
      <c r="U757" s="2">
        <v>43881</v>
      </c>
      <c r="V757" t="s">
        <v>14</v>
      </c>
      <c r="W757" t="s">
        <v>51</v>
      </c>
      <c r="X757" t="str">
        <f t="shared" si="106"/>
        <v>email@example/com</v>
      </c>
      <c r="Y757" t="str">
        <f t="shared" si="107"/>
        <v>email@example.com</v>
      </c>
      <c r="Z757" t="str">
        <f t="shared" si="99"/>
        <v>555-555-5555</v>
      </c>
    </row>
    <row r="758" spans="1:26" x14ac:dyDescent="0.25">
      <c r="A758" t="s">
        <v>42</v>
      </c>
      <c r="B758">
        <v>50</v>
      </c>
      <c r="C758">
        <v>60000</v>
      </c>
      <c r="D758" t="s">
        <v>11</v>
      </c>
      <c r="E758" t="s">
        <v>23</v>
      </c>
      <c r="F758" t="s">
        <v>19</v>
      </c>
      <c r="G758" s="2">
        <v>43800</v>
      </c>
      <c r="H758" t="s">
        <v>36</v>
      </c>
      <c r="I758" t="s">
        <v>51</v>
      </c>
      <c r="J758" t="s">
        <v>21</v>
      </c>
      <c r="M758" t="str">
        <f t="shared" si="100"/>
        <v>Alice</v>
      </c>
      <c r="N758">
        <v>50</v>
      </c>
      <c r="O758">
        <f t="shared" si="101"/>
        <v>50</v>
      </c>
      <c r="P758">
        <v>60000</v>
      </c>
      <c r="Q758">
        <f t="shared" si="102"/>
        <v>60000</v>
      </c>
      <c r="R758" t="str">
        <f t="shared" si="103"/>
        <v>Male</v>
      </c>
      <c r="S758" t="str">
        <f t="shared" si="104"/>
        <v>Sales</v>
      </c>
      <c r="T758" t="str">
        <f t="shared" si="105"/>
        <v>Director</v>
      </c>
      <c r="U758" s="2">
        <v>43800</v>
      </c>
      <c r="V758" t="s">
        <v>36</v>
      </c>
      <c r="W758" t="s">
        <v>51</v>
      </c>
      <c r="X758" t="str">
        <f t="shared" si="106"/>
        <v>email@example/com</v>
      </c>
      <c r="Y758" t="str">
        <f t="shared" si="107"/>
        <v>email@example.com</v>
      </c>
      <c r="Z758" t="str">
        <f t="shared" si="99"/>
        <v>123-456-7890</v>
      </c>
    </row>
    <row r="759" spans="1:26" x14ac:dyDescent="0.25">
      <c r="A759" t="s">
        <v>26</v>
      </c>
      <c r="B759">
        <v>30</v>
      </c>
      <c r="C759">
        <v>60000</v>
      </c>
      <c r="D759" t="s">
        <v>32</v>
      </c>
      <c r="E759" t="s">
        <v>27</v>
      </c>
      <c r="F759" t="s">
        <v>37</v>
      </c>
      <c r="G759" s="2">
        <v>43800</v>
      </c>
      <c r="H759" t="s">
        <v>14</v>
      </c>
      <c r="J759" t="s">
        <v>29</v>
      </c>
      <c r="M759" t="str">
        <f t="shared" si="100"/>
        <v>Eve</v>
      </c>
      <c r="N759">
        <v>30</v>
      </c>
      <c r="O759">
        <f t="shared" si="101"/>
        <v>30</v>
      </c>
      <c r="P759">
        <v>60000</v>
      </c>
      <c r="Q759">
        <f t="shared" si="102"/>
        <v>60000</v>
      </c>
      <c r="R759" t="str">
        <f t="shared" si="103"/>
        <v>Other</v>
      </c>
      <c r="S759" t="str">
        <f t="shared" si="104"/>
        <v>IT</v>
      </c>
      <c r="T759" t="str">
        <f t="shared" si="105"/>
        <v>Assistant</v>
      </c>
      <c r="U759" s="2">
        <v>43800</v>
      </c>
      <c r="V759" t="s">
        <v>14</v>
      </c>
      <c r="X759" t="str">
        <f t="shared" si="106"/>
        <v>Email not provided</v>
      </c>
      <c r="Y759" t="str">
        <f t="shared" si="107"/>
        <v>Email not provided</v>
      </c>
      <c r="Z759" t="str">
        <f t="shared" si="99"/>
        <v>Phone not provided</v>
      </c>
    </row>
    <row r="760" spans="1:26" x14ac:dyDescent="0.25">
      <c r="A760" t="s">
        <v>43</v>
      </c>
      <c r="B760">
        <v>50</v>
      </c>
      <c r="C760">
        <v>50000</v>
      </c>
      <c r="D760" t="s">
        <v>32</v>
      </c>
      <c r="E760" t="s">
        <v>23</v>
      </c>
      <c r="F760" t="s">
        <v>13</v>
      </c>
      <c r="G760" s="2">
        <v>43845</v>
      </c>
      <c r="H760" t="s">
        <v>20</v>
      </c>
      <c r="I760" t="s">
        <v>51</v>
      </c>
      <c r="J760" t="s">
        <v>15</v>
      </c>
      <c r="M760" t="str">
        <f t="shared" si="100"/>
        <v>Ivy</v>
      </c>
      <c r="N760">
        <v>50</v>
      </c>
      <c r="O760">
        <f t="shared" si="101"/>
        <v>50</v>
      </c>
      <c r="P760">
        <v>50000</v>
      </c>
      <c r="Q760">
        <f t="shared" si="102"/>
        <v>50000</v>
      </c>
      <c r="R760" t="str">
        <f t="shared" si="103"/>
        <v>Other</v>
      </c>
      <c r="S760" t="str">
        <f t="shared" si="104"/>
        <v>Sales</v>
      </c>
      <c r="T760" t="str">
        <f t="shared" si="105"/>
        <v>Manager</v>
      </c>
      <c r="U760" s="2">
        <v>43845</v>
      </c>
      <c r="V760" t="s">
        <v>20</v>
      </c>
      <c r="W760" t="s">
        <v>51</v>
      </c>
      <c r="X760" t="str">
        <f t="shared" si="106"/>
        <v>email@example/com</v>
      </c>
      <c r="Y760" t="str">
        <f t="shared" si="107"/>
        <v>email@example.com</v>
      </c>
      <c r="Z760" t="str">
        <f t="shared" si="99"/>
        <v>Phone not provided</v>
      </c>
    </row>
    <row r="761" spans="1:26" x14ac:dyDescent="0.25">
      <c r="A761" t="s">
        <v>31</v>
      </c>
      <c r="B761">
        <v>30</v>
      </c>
      <c r="C761">
        <v>65000</v>
      </c>
      <c r="D761" t="s">
        <v>11</v>
      </c>
      <c r="E761" t="s">
        <v>18</v>
      </c>
      <c r="F761" t="s">
        <v>37</v>
      </c>
      <c r="G761" s="2">
        <v>43549</v>
      </c>
      <c r="H761" t="s">
        <v>20</v>
      </c>
      <c r="I761" t="s">
        <v>15</v>
      </c>
      <c r="J761" t="s">
        <v>29</v>
      </c>
      <c r="M761" t="str">
        <f t="shared" si="100"/>
        <v>Jack</v>
      </c>
      <c r="N761">
        <v>30</v>
      </c>
      <c r="O761">
        <f t="shared" si="101"/>
        <v>30</v>
      </c>
      <c r="P761">
        <v>65000</v>
      </c>
      <c r="Q761">
        <f t="shared" si="102"/>
        <v>65000</v>
      </c>
      <c r="R761" t="str">
        <f t="shared" si="103"/>
        <v>Male</v>
      </c>
      <c r="S761" t="str">
        <f t="shared" si="104"/>
        <v>Finance</v>
      </c>
      <c r="T761" t="str">
        <f t="shared" si="105"/>
        <v>Assistant</v>
      </c>
      <c r="U761" s="2">
        <v>43549</v>
      </c>
      <c r="V761" t="s">
        <v>20</v>
      </c>
      <c r="W761" t="s">
        <v>15</v>
      </c>
      <c r="X761" t="str">
        <f t="shared" si="106"/>
        <v>Email not provided</v>
      </c>
      <c r="Y761" t="str">
        <f t="shared" si="107"/>
        <v>Email not provided</v>
      </c>
      <c r="Z761" t="str">
        <f t="shared" si="99"/>
        <v>Phone not provided</v>
      </c>
    </row>
    <row r="762" spans="1:26" x14ac:dyDescent="0.25">
      <c r="A762" t="s">
        <v>41</v>
      </c>
      <c r="B762">
        <v>30</v>
      </c>
      <c r="C762" t="s">
        <v>30</v>
      </c>
      <c r="D762" t="s">
        <v>32</v>
      </c>
      <c r="E762" t="s">
        <v>33</v>
      </c>
      <c r="F762" t="s">
        <v>35</v>
      </c>
      <c r="G762" s="2">
        <v>43881</v>
      </c>
      <c r="H762" t="s">
        <v>20</v>
      </c>
      <c r="I762" t="s">
        <v>53</v>
      </c>
      <c r="J762" t="s">
        <v>39</v>
      </c>
      <c r="M762" t="str">
        <f t="shared" si="100"/>
        <v>Bob</v>
      </c>
      <c r="N762">
        <v>30</v>
      </c>
      <c r="O762">
        <f t="shared" si="101"/>
        <v>30</v>
      </c>
      <c r="P762" t="s">
        <v>30</v>
      </c>
      <c r="Q762">
        <f t="shared" si="102"/>
        <v>60000</v>
      </c>
      <c r="R762" t="str">
        <f t="shared" si="103"/>
        <v>Other</v>
      </c>
      <c r="S762" t="str">
        <f t="shared" si="104"/>
        <v>Marketing</v>
      </c>
      <c r="T762" t="str">
        <f t="shared" si="105"/>
        <v>Clerk</v>
      </c>
      <c r="U762" s="2">
        <v>43881</v>
      </c>
      <c r="V762" t="s">
        <v>20</v>
      </c>
      <c r="W762" t="s">
        <v>53</v>
      </c>
      <c r="X762" t="str">
        <f t="shared" si="106"/>
        <v>name@company/org</v>
      </c>
      <c r="Y762" t="str">
        <f t="shared" si="107"/>
        <v>name@company.org</v>
      </c>
      <c r="Z762" t="str">
        <f t="shared" si="99"/>
        <v>555-555-5555</v>
      </c>
    </row>
    <row r="763" spans="1:26" x14ac:dyDescent="0.25">
      <c r="A763" t="s">
        <v>42</v>
      </c>
      <c r="B763">
        <v>30</v>
      </c>
      <c r="C763">
        <v>70000</v>
      </c>
      <c r="D763" t="s">
        <v>17</v>
      </c>
      <c r="E763" t="s">
        <v>27</v>
      </c>
      <c r="F763" t="s">
        <v>35</v>
      </c>
      <c r="G763" s="2">
        <v>43800</v>
      </c>
      <c r="H763" t="s">
        <v>28</v>
      </c>
      <c r="I763" t="s">
        <v>51</v>
      </c>
      <c r="J763" t="s">
        <v>39</v>
      </c>
      <c r="M763" t="str">
        <f t="shared" si="100"/>
        <v>Alice</v>
      </c>
      <c r="N763">
        <v>30</v>
      </c>
      <c r="O763">
        <f t="shared" si="101"/>
        <v>30</v>
      </c>
      <c r="P763">
        <v>70000</v>
      </c>
      <c r="Q763">
        <f t="shared" si="102"/>
        <v>70000</v>
      </c>
      <c r="R763" t="str">
        <f t="shared" si="103"/>
        <v>Female</v>
      </c>
      <c r="S763" t="str">
        <f t="shared" si="104"/>
        <v>IT</v>
      </c>
      <c r="T763" t="str">
        <f t="shared" si="105"/>
        <v>Clerk</v>
      </c>
      <c r="U763" s="2">
        <v>43800</v>
      </c>
      <c r="V763" t="s">
        <v>28</v>
      </c>
      <c r="W763" t="s">
        <v>51</v>
      </c>
      <c r="X763" t="str">
        <f t="shared" si="106"/>
        <v>email@example/com</v>
      </c>
      <c r="Y763" t="str">
        <f t="shared" si="107"/>
        <v>email@example.com</v>
      </c>
      <c r="Z763" t="str">
        <f t="shared" si="99"/>
        <v>555-555-5555</v>
      </c>
    </row>
    <row r="764" spans="1:26" x14ac:dyDescent="0.25">
      <c r="A764" t="s">
        <v>31</v>
      </c>
      <c r="B764">
        <v>30</v>
      </c>
      <c r="C764">
        <v>50000</v>
      </c>
      <c r="D764" t="s">
        <v>17</v>
      </c>
      <c r="E764" t="s">
        <v>23</v>
      </c>
      <c r="F764" t="s">
        <v>37</v>
      </c>
      <c r="G764" s="2">
        <v>43549</v>
      </c>
      <c r="H764" t="s">
        <v>36</v>
      </c>
      <c r="I764" t="s">
        <v>51</v>
      </c>
      <c r="J764" t="s">
        <v>21</v>
      </c>
      <c r="M764" t="str">
        <f t="shared" si="100"/>
        <v>Jack</v>
      </c>
      <c r="N764">
        <v>30</v>
      </c>
      <c r="O764">
        <f t="shared" si="101"/>
        <v>30</v>
      </c>
      <c r="P764">
        <v>50000</v>
      </c>
      <c r="Q764">
        <f t="shared" si="102"/>
        <v>50000</v>
      </c>
      <c r="R764" t="str">
        <f t="shared" si="103"/>
        <v>Female</v>
      </c>
      <c r="S764" t="str">
        <f t="shared" si="104"/>
        <v>Sales</v>
      </c>
      <c r="T764" t="str">
        <f t="shared" si="105"/>
        <v>Assistant</v>
      </c>
      <c r="U764" s="2">
        <v>43549</v>
      </c>
      <c r="V764" t="s">
        <v>36</v>
      </c>
      <c r="W764" t="s">
        <v>51</v>
      </c>
      <c r="X764" t="str">
        <f t="shared" si="106"/>
        <v>email@example/com</v>
      </c>
      <c r="Y764" t="str">
        <f t="shared" si="107"/>
        <v>email@example.com</v>
      </c>
      <c r="Z764" t="str">
        <f t="shared" si="99"/>
        <v>123-456-7890</v>
      </c>
    </row>
    <row r="765" spans="1:26" x14ac:dyDescent="0.25">
      <c r="A765" t="s">
        <v>43</v>
      </c>
      <c r="B765" t="s">
        <v>15</v>
      </c>
      <c r="C765">
        <v>50000</v>
      </c>
      <c r="D765" t="s">
        <v>32</v>
      </c>
      <c r="E765" t="s">
        <v>33</v>
      </c>
      <c r="F765" t="s">
        <v>35</v>
      </c>
      <c r="G765" s="2">
        <v>43881</v>
      </c>
      <c r="H765" t="s">
        <v>28</v>
      </c>
      <c r="I765" t="s">
        <v>52</v>
      </c>
      <c r="J765" t="s">
        <v>39</v>
      </c>
      <c r="M765" t="str">
        <f t="shared" si="100"/>
        <v>Ivy</v>
      </c>
      <c r="N765" t="s">
        <v>15</v>
      </c>
      <c r="O765">
        <f t="shared" si="101"/>
        <v>35</v>
      </c>
      <c r="P765">
        <v>50000</v>
      </c>
      <c r="Q765">
        <f t="shared" si="102"/>
        <v>50000</v>
      </c>
      <c r="R765" t="str">
        <f t="shared" si="103"/>
        <v>Other</v>
      </c>
      <c r="S765" t="str">
        <f t="shared" si="104"/>
        <v>Marketing</v>
      </c>
      <c r="T765" t="str">
        <f t="shared" si="105"/>
        <v>Clerk</v>
      </c>
      <c r="U765" s="2">
        <v>43881</v>
      </c>
      <c r="V765" t="s">
        <v>28</v>
      </c>
      <c r="W765" t="s">
        <v>52</v>
      </c>
      <c r="X765" t="str">
        <f t="shared" si="106"/>
        <v>user@domain/com</v>
      </c>
      <c r="Y765" t="str">
        <f t="shared" si="107"/>
        <v>user@domain.com</v>
      </c>
      <c r="Z765" t="str">
        <f t="shared" si="99"/>
        <v>555-555-5555</v>
      </c>
    </row>
    <row r="766" spans="1:26" x14ac:dyDescent="0.25">
      <c r="A766" t="s">
        <v>31</v>
      </c>
      <c r="B766">
        <v>25</v>
      </c>
      <c r="C766" t="s">
        <v>30</v>
      </c>
      <c r="D766" t="s">
        <v>32</v>
      </c>
      <c r="E766" t="s">
        <v>33</v>
      </c>
      <c r="F766" t="s">
        <v>38</v>
      </c>
      <c r="G766" s="1">
        <v>43195</v>
      </c>
      <c r="H766" t="s">
        <v>24</v>
      </c>
      <c r="I766" t="s">
        <v>52</v>
      </c>
      <c r="J766" t="s">
        <v>25</v>
      </c>
      <c r="M766" t="str">
        <f t="shared" si="100"/>
        <v>Jack</v>
      </c>
      <c r="N766">
        <v>25</v>
      </c>
      <c r="O766">
        <f t="shared" si="101"/>
        <v>25</v>
      </c>
      <c r="P766" t="s">
        <v>30</v>
      </c>
      <c r="Q766">
        <f t="shared" si="102"/>
        <v>60000</v>
      </c>
      <c r="R766" t="str">
        <f t="shared" si="103"/>
        <v>Other</v>
      </c>
      <c r="S766" t="str">
        <f t="shared" si="104"/>
        <v>Marketing</v>
      </c>
      <c r="T766" t="str">
        <f t="shared" si="105"/>
        <v>Analyst</v>
      </c>
      <c r="U766" s="2">
        <v>43195</v>
      </c>
      <c r="V766" t="s">
        <v>24</v>
      </c>
      <c r="W766" t="s">
        <v>52</v>
      </c>
      <c r="X766" t="str">
        <f t="shared" si="106"/>
        <v>user@domain/com</v>
      </c>
      <c r="Y766" t="str">
        <f t="shared" si="107"/>
        <v>user@domain.com</v>
      </c>
      <c r="Z766" t="str">
        <f t="shared" si="99"/>
        <v>098-765-4321</v>
      </c>
    </row>
    <row r="767" spans="1:26" x14ac:dyDescent="0.25">
      <c r="A767" t="s">
        <v>43</v>
      </c>
      <c r="B767">
        <v>35</v>
      </c>
      <c r="C767">
        <v>65000</v>
      </c>
      <c r="D767" t="s">
        <v>11</v>
      </c>
      <c r="E767" t="s">
        <v>27</v>
      </c>
      <c r="F767" t="s">
        <v>38</v>
      </c>
      <c r="G767" s="1">
        <v>43195</v>
      </c>
      <c r="H767" t="s">
        <v>36</v>
      </c>
      <c r="I767" t="s">
        <v>52</v>
      </c>
      <c r="J767" t="s">
        <v>39</v>
      </c>
      <c r="M767" t="str">
        <f t="shared" si="100"/>
        <v>Ivy</v>
      </c>
      <c r="N767">
        <v>35</v>
      </c>
      <c r="O767">
        <f t="shared" si="101"/>
        <v>35</v>
      </c>
      <c r="P767">
        <v>65000</v>
      </c>
      <c r="Q767">
        <f t="shared" si="102"/>
        <v>65000</v>
      </c>
      <c r="R767" t="str">
        <f t="shared" si="103"/>
        <v>Male</v>
      </c>
      <c r="S767" t="str">
        <f t="shared" si="104"/>
        <v>IT</v>
      </c>
      <c r="T767" t="str">
        <f t="shared" si="105"/>
        <v>Analyst</v>
      </c>
      <c r="U767" s="2">
        <v>43195</v>
      </c>
      <c r="V767" t="s">
        <v>36</v>
      </c>
      <c r="W767" t="s">
        <v>52</v>
      </c>
      <c r="X767" t="str">
        <f t="shared" si="106"/>
        <v>user@domain/com</v>
      </c>
      <c r="Y767" t="str">
        <f t="shared" si="107"/>
        <v>user@domain.com</v>
      </c>
      <c r="Z767" t="str">
        <f t="shared" si="99"/>
        <v>555-555-5555</v>
      </c>
    </row>
    <row r="768" spans="1:26" x14ac:dyDescent="0.25">
      <c r="A768" t="s">
        <v>43</v>
      </c>
      <c r="B768">
        <v>40</v>
      </c>
      <c r="C768">
        <v>65000</v>
      </c>
      <c r="D768" t="s">
        <v>32</v>
      </c>
      <c r="E768" t="s">
        <v>23</v>
      </c>
      <c r="F768" t="s">
        <v>35</v>
      </c>
      <c r="G768" s="2">
        <v>43881</v>
      </c>
      <c r="H768" t="s">
        <v>14</v>
      </c>
      <c r="I768" t="s">
        <v>53</v>
      </c>
      <c r="J768" t="s">
        <v>21</v>
      </c>
      <c r="M768" t="str">
        <f t="shared" si="100"/>
        <v>Ivy</v>
      </c>
      <c r="N768">
        <v>40</v>
      </c>
      <c r="O768">
        <f t="shared" si="101"/>
        <v>40</v>
      </c>
      <c r="P768">
        <v>65000</v>
      </c>
      <c r="Q768">
        <f t="shared" si="102"/>
        <v>65000</v>
      </c>
      <c r="R768" t="str">
        <f t="shared" si="103"/>
        <v>Other</v>
      </c>
      <c r="S768" t="str">
        <f t="shared" si="104"/>
        <v>Sales</v>
      </c>
      <c r="T768" t="str">
        <f t="shared" si="105"/>
        <v>Clerk</v>
      </c>
      <c r="U768" s="2">
        <v>43881</v>
      </c>
      <c r="V768" t="s">
        <v>14</v>
      </c>
      <c r="W768" t="s">
        <v>53</v>
      </c>
      <c r="X768" t="str">
        <f t="shared" si="106"/>
        <v>name@company/org</v>
      </c>
      <c r="Y768" t="str">
        <f t="shared" si="107"/>
        <v>name@company.org</v>
      </c>
      <c r="Z768" t="str">
        <f t="shared" si="99"/>
        <v>123-456-7890</v>
      </c>
    </row>
    <row r="769" spans="1:26" x14ac:dyDescent="0.25">
      <c r="A769" t="s">
        <v>40</v>
      </c>
      <c r="B769">
        <v>35</v>
      </c>
      <c r="C769">
        <v>60000</v>
      </c>
      <c r="D769" t="s">
        <v>11</v>
      </c>
      <c r="E769" t="s">
        <v>33</v>
      </c>
      <c r="F769" t="s">
        <v>35</v>
      </c>
      <c r="G769" s="2">
        <v>43845</v>
      </c>
      <c r="H769" t="s">
        <v>20</v>
      </c>
      <c r="I769" t="s">
        <v>15</v>
      </c>
      <c r="J769" t="s">
        <v>21</v>
      </c>
      <c r="M769" t="str">
        <f t="shared" si="100"/>
        <v>Frank</v>
      </c>
      <c r="N769">
        <v>35</v>
      </c>
      <c r="O769">
        <f t="shared" si="101"/>
        <v>35</v>
      </c>
      <c r="P769">
        <v>60000</v>
      </c>
      <c r="Q769">
        <f t="shared" si="102"/>
        <v>60000</v>
      </c>
      <c r="R769" t="str">
        <f t="shared" si="103"/>
        <v>Male</v>
      </c>
      <c r="S769" t="str">
        <f t="shared" si="104"/>
        <v>Marketing</v>
      </c>
      <c r="T769" t="str">
        <f t="shared" si="105"/>
        <v>Clerk</v>
      </c>
      <c r="U769" s="2">
        <v>43845</v>
      </c>
      <c r="V769" t="s">
        <v>20</v>
      </c>
      <c r="W769" t="s">
        <v>15</v>
      </c>
      <c r="X769" t="str">
        <f t="shared" si="106"/>
        <v>Email not provided</v>
      </c>
      <c r="Y769" t="str">
        <f t="shared" si="107"/>
        <v>Email not provided</v>
      </c>
      <c r="Z769" t="str">
        <f t="shared" si="99"/>
        <v>123-456-7890</v>
      </c>
    </row>
    <row r="770" spans="1:26" x14ac:dyDescent="0.25">
      <c r="A770" t="s">
        <v>22</v>
      </c>
      <c r="B770">
        <v>35</v>
      </c>
      <c r="C770" t="s">
        <v>30</v>
      </c>
      <c r="D770" t="s">
        <v>17</v>
      </c>
      <c r="E770" t="s">
        <v>33</v>
      </c>
      <c r="F770" t="s">
        <v>38</v>
      </c>
      <c r="G770" s="2">
        <v>43881</v>
      </c>
      <c r="H770" t="s">
        <v>24</v>
      </c>
      <c r="I770" t="s">
        <v>15</v>
      </c>
      <c r="J770" t="s">
        <v>25</v>
      </c>
      <c r="M770" t="str">
        <f t="shared" si="100"/>
        <v>Hannah</v>
      </c>
      <c r="N770">
        <v>35</v>
      </c>
      <c r="O770">
        <f t="shared" si="101"/>
        <v>35</v>
      </c>
      <c r="P770" t="s">
        <v>30</v>
      </c>
      <c r="Q770">
        <f t="shared" si="102"/>
        <v>60000</v>
      </c>
      <c r="R770" t="str">
        <f t="shared" si="103"/>
        <v>Female</v>
      </c>
      <c r="S770" t="str">
        <f t="shared" si="104"/>
        <v>Marketing</v>
      </c>
      <c r="T770" t="str">
        <f t="shared" si="105"/>
        <v>Analyst</v>
      </c>
      <c r="U770" s="2">
        <v>43881</v>
      </c>
      <c r="V770" t="s">
        <v>24</v>
      </c>
      <c r="W770" t="s">
        <v>15</v>
      </c>
      <c r="X770" t="str">
        <f t="shared" si="106"/>
        <v>Email not provided</v>
      </c>
      <c r="Y770" t="str">
        <f t="shared" si="107"/>
        <v>Email not provided</v>
      </c>
      <c r="Z770" t="str">
        <f t="shared" ref="Z770:Z833" si="108">IF(OR(TRIM(J770)="", LOWER(J770)="nan"), "Phone not provided", TRIM(J770))</f>
        <v>098-765-4321</v>
      </c>
    </row>
    <row r="771" spans="1:26" x14ac:dyDescent="0.25">
      <c r="A771" t="s">
        <v>42</v>
      </c>
      <c r="B771">
        <v>50</v>
      </c>
      <c r="C771" t="s">
        <v>30</v>
      </c>
      <c r="D771" t="s">
        <v>32</v>
      </c>
      <c r="E771" t="s">
        <v>12</v>
      </c>
      <c r="F771" t="s">
        <v>35</v>
      </c>
      <c r="G771" s="2">
        <v>43881</v>
      </c>
      <c r="H771" t="s">
        <v>36</v>
      </c>
      <c r="I771" t="s">
        <v>15</v>
      </c>
      <c r="J771" t="s">
        <v>21</v>
      </c>
      <c r="M771" t="str">
        <f t="shared" ref="M771:M834" si="109">PROPER(TRIM(CLEAN(A771:A1770)))</f>
        <v>Alice</v>
      </c>
      <c r="N771">
        <v>50</v>
      </c>
      <c r="O771">
        <f t="shared" ref="O771:O834" si="110">IF(ISNUMBER(N771),N771,MEDIAN($N$2:$N$1001))</f>
        <v>50</v>
      </c>
      <c r="P771" t="s">
        <v>30</v>
      </c>
      <c r="Q771">
        <f t="shared" ref="Q771:Q834" si="111">IF(ISNUMBER(P771),P771,MEDIAN(P771:P1770))</f>
        <v>60000</v>
      </c>
      <c r="R771" t="str">
        <f t="shared" ref="R771:R834" si="112">PROPER(TRIM(CLEAN(D771:D1770)))</f>
        <v>Other</v>
      </c>
      <c r="S771" t="str">
        <f t="shared" ref="S771:S834" si="113">TRIM(CLEAN(E771:E1770))</f>
        <v>HR</v>
      </c>
      <c r="T771" t="str">
        <f t="shared" ref="T771:T834" si="114">TRIM(CLEAN(F771:F1770))</f>
        <v>Clerk</v>
      </c>
      <c r="U771" s="2">
        <v>43881</v>
      </c>
      <c r="V771" t="s">
        <v>36</v>
      </c>
      <c r="W771" t="s">
        <v>15</v>
      </c>
      <c r="X771" t="str">
        <f t="shared" ref="X771:X834" si="115">IF(
   OR(TRIM(W771)="",LOWER(W771)="nan"),
   "Email not provided",
   W771
)</f>
        <v>Email not provided</v>
      </c>
      <c r="Y771" t="str">
        <f t="shared" ref="Y771:Y834" si="116">SUBSTITUTE(X771,"/",".")</f>
        <v>Email not provided</v>
      </c>
      <c r="Z771" t="str">
        <f t="shared" si="108"/>
        <v>123-456-7890</v>
      </c>
    </row>
    <row r="772" spans="1:26" x14ac:dyDescent="0.25">
      <c r="A772" t="s">
        <v>31</v>
      </c>
      <c r="B772">
        <v>25</v>
      </c>
      <c r="C772">
        <v>65000</v>
      </c>
      <c r="D772" t="s">
        <v>11</v>
      </c>
      <c r="E772" t="s">
        <v>33</v>
      </c>
      <c r="F772" t="s">
        <v>35</v>
      </c>
      <c r="G772" s="2">
        <v>43845</v>
      </c>
      <c r="H772" t="s">
        <v>28</v>
      </c>
      <c r="I772" t="s">
        <v>53</v>
      </c>
      <c r="J772" t="s">
        <v>15</v>
      </c>
      <c r="M772" t="str">
        <f t="shared" si="109"/>
        <v>Jack</v>
      </c>
      <c r="N772">
        <v>25</v>
      </c>
      <c r="O772">
        <f t="shared" si="110"/>
        <v>25</v>
      </c>
      <c r="P772">
        <v>65000</v>
      </c>
      <c r="Q772">
        <f t="shared" si="111"/>
        <v>65000</v>
      </c>
      <c r="R772" t="str">
        <f t="shared" si="112"/>
        <v>Male</v>
      </c>
      <c r="S772" t="str">
        <f t="shared" si="113"/>
        <v>Marketing</v>
      </c>
      <c r="T772" t="str">
        <f t="shared" si="114"/>
        <v>Clerk</v>
      </c>
      <c r="U772" s="2">
        <v>43845</v>
      </c>
      <c r="V772" t="s">
        <v>28</v>
      </c>
      <c r="W772" t="s">
        <v>53</v>
      </c>
      <c r="X772" t="str">
        <f t="shared" si="115"/>
        <v>name@company/org</v>
      </c>
      <c r="Y772" t="str">
        <f t="shared" si="116"/>
        <v>name@company.org</v>
      </c>
      <c r="Z772" t="str">
        <f t="shared" si="108"/>
        <v>Phone not provided</v>
      </c>
    </row>
    <row r="773" spans="1:26" x14ac:dyDescent="0.25">
      <c r="A773" t="s">
        <v>16</v>
      </c>
      <c r="B773">
        <v>50</v>
      </c>
      <c r="C773">
        <v>60000</v>
      </c>
      <c r="D773" t="s">
        <v>11</v>
      </c>
      <c r="E773" t="s">
        <v>12</v>
      </c>
      <c r="F773" t="s">
        <v>37</v>
      </c>
      <c r="G773" s="2">
        <v>43845</v>
      </c>
      <c r="H773" t="s">
        <v>20</v>
      </c>
      <c r="I773" t="s">
        <v>53</v>
      </c>
      <c r="J773" t="s">
        <v>29</v>
      </c>
      <c r="M773" t="str">
        <f t="shared" si="109"/>
        <v>David</v>
      </c>
      <c r="N773">
        <v>50</v>
      </c>
      <c r="O773">
        <f t="shared" si="110"/>
        <v>50</v>
      </c>
      <c r="P773">
        <v>60000</v>
      </c>
      <c r="Q773">
        <f t="shared" si="111"/>
        <v>60000</v>
      </c>
      <c r="R773" t="str">
        <f t="shared" si="112"/>
        <v>Male</v>
      </c>
      <c r="S773" t="str">
        <f t="shared" si="113"/>
        <v>HR</v>
      </c>
      <c r="T773" t="str">
        <f t="shared" si="114"/>
        <v>Assistant</v>
      </c>
      <c r="U773" s="2">
        <v>43845</v>
      </c>
      <c r="V773" t="s">
        <v>20</v>
      </c>
      <c r="W773" t="s">
        <v>53</v>
      </c>
      <c r="X773" t="str">
        <f t="shared" si="115"/>
        <v>name@company/org</v>
      </c>
      <c r="Y773" t="str">
        <f t="shared" si="116"/>
        <v>name@company.org</v>
      </c>
      <c r="Z773" t="str">
        <f t="shared" si="108"/>
        <v>Phone not provided</v>
      </c>
    </row>
    <row r="774" spans="1:26" x14ac:dyDescent="0.25">
      <c r="A774" t="s">
        <v>42</v>
      </c>
      <c r="B774">
        <v>25</v>
      </c>
      <c r="C774">
        <v>50000</v>
      </c>
      <c r="D774" t="s">
        <v>17</v>
      </c>
      <c r="E774" t="s">
        <v>23</v>
      </c>
      <c r="F774" t="s">
        <v>13</v>
      </c>
      <c r="G774" s="2">
        <v>43549</v>
      </c>
      <c r="H774" t="s">
        <v>28</v>
      </c>
      <c r="I774" t="s">
        <v>52</v>
      </c>
      <c r="J774" t="s">
        <v>39</v>
      </c>
      <c r="M774" t="str">
        <f t="shared" si="109"/>
        <v>Alice</v>
      </c>
      <c r="N774">
        <v>25</v>
      </c>
      <c r="O774">
        <f t="shared" si="110"/>
        <v>25</v>
      </c>
      <c r="P774">
        <v>50000</v>
      </c>
      <c r="Q774">
        <f t="shared" si="111"/>
        <v>50000</v>
      </c>
      <c r="R774" t="str">
        <f t="shared" si="112"/>
        <v>Female</v>
      </c>
      <c r="S774" t="str">
        <f t="shared" si="113"/>
        <v>Sales</v>
      </c>
      <c r="T774" t="str">
        <f t="shared" si="114"/>
        <v>Manager</v>
      </c>
      <c r="U774" s="2">
        <v>43549</v>
      </c>
      <c r="V774" t="s">
        <v>28</v>
      </c>
      <c r="W774" t="s">
        <v>52</v>
      </c>
      <c r="X774" t="str">
        <f t="shared" si="115"/>
        <v>user@domain/com</v>
      </c>
      <c r="Y774" t="str">
        <f t="shared" si="116"/>
        <v>user@domain.com</v>
      </c>
      <c r="Z774" t="str">
        <f t="shared" si="108"/>
        <v>555-555-5555</v>
      </c>
    </row>
    <row r="775" spans="1:26" x14ac:dyDescent="0.25">
      <c r="A775" t="s">
        <v>22</v>
      </c>
      <c r="B775">
        <v>25</v>
      </c>
      <c r="C775">
        <v>55000</v>
      </c>
      <c r="D775" t="s">
        <v>32</v>
      </c>
      <c r="E775" t="s">
        <v>23</v>
      </c>
      <c r="F775" t="s">
        <v>38</v>
      </c>
      <c r="G775" s="2">
        <v>43549</v>
      </c>
      <c r="H775" t="s">
        <v>36</v>
      </c>
      <c r="I775" t="s">
        <v>51</v>
      </c>
      <c r="J775" t="s">
        <v>15</v>
      </c>
      <c r="M775" t="str">
        <f t="shared" si="109"/>
        <v>Hannah</v>
      </c>
      <c r="N775">
        <v>25</v>
      </c>
      <c r="O775">
        <f t="shared" si="110"/>
        <v>25</v>
      </c>
      <c r="P775">
        <v>55000</v>
      </c>
      <c r="Q775">
        <f t="shared" si="111"/>
        <v>55000</v>
      </c>
      <c r="R775" t="str">
        <f t="shared" si="112"/>
        <v>Other</v>
      </c>
      <c r="S775" t="str">
        <f t="shared" si="113"/>
        <v>Sales</v>
      </c>
      <c r="T775" t="str">
        <f t="shared" si="114"/>
        <v>Analyst</v>
      </c>
      <c r="U775" s="2">
        <v>43549</v>
      </c>
      <c r="V775" t="s">
        <v>36</v>
      </c>
      <c r="W775" t="s">
        <v>51</v>
      </c>
      <c r="X775" t="str">
        <f t="shared" si="115"/>
        <v>email@example/com</v>
      </c>
      <c r="Y775" t="str">
        <f t="shared" si="116"/>
        <v>email@example.com</v>
      </c>
      <c r="Z775" t="str">
        <f t="shared" si="108"/>
        <v>Phone not provided</v>
      </c>
    </row>
    <row r="776" spans="1:26" x14ac:dyDescent="0.25">
      <c r="A776" t="s">
        <v>42</v>
      </c>
      <c r="B776">
        <v>30</v>
      </c>
      <c r="C776">
        <v>70000</v>
      </c>
      <c r="D776" t="s">
        <v>17</v>
      </c>
      <c r="E776" t="s">
        <v>23</v>
      </c>
      <c r="F776" t="s">
        <v>37</v>
      </c>
      <c r="G776" s="2">
        <v>43845</v>
      </c>
      <c r="H776" t="s">
        <v>36</v>
      </c>
      <c r="J776" t="s">
        <v>39</v>
      </c>
      <c r="M776" t="str">
        <f t="shared" si="109"/>
        <v>Alice</v>
      </c>
      <c r="N776">
        <v>30</v>
      </c>
      <c r="O776">
        <f t="shared" si="110"/>
        <v>30</v>
      </c>
      <c r="P776">
        <v>70000</v>
      </c>
      <c r="Q776">
        <f t="shared" si="111"/>
        <v>70000</v>
      </c>
      <c r="R776" t="str">
        <f t="shared" si="112"/>
        <v>Female</v>
      </c>
      <c r="S776" t="str">
        <f t="shared" si="113"/>
        <v>Sales</v>
      </c>
      <c r="T776" t="str">
        <f t="shared" si="114"/>
        <v>Assistant</v>
      </c>
      <c r="U776" s="2">
        <v>43845</v>
      </c>
      <c r="V776" t="s">
        <v>36</v>
      </c>
      <c r="X776" t="str">
        <f t="shared" si="115"/>
        <v>Email not provided</v>
      </c>
      <c r="Y776" t="str">
        <f t="shared" si="116"/>
        <v>Email not provided</v>
      </c>
      <c r="Z776" t="str">
        <f t="shared" si="108"/>
        <v>555-555-5555</v>
      </c>
    </row>
    <row r="777" spans="1:26" x14ac:dyDescent="0.25">
      <c r="A777" t="s">
        <v>34</v>
      </c>
      <c r="B777" t="s">
        <v>15</v>
      </c>
      <c r="C777">
        <v>50000</v>
      </c>
      <c r="D777" t="s">
        <v>11</v>
      </c>
      <c r="E777" t="s">
        <v>18</v>
      </c>
      <c r="F777" t="s">
        <v>13</v>
      </c>
      <c r="G777" s="1">
        <v>43195</v>
      </c>
      <c r="H777" t="s">
        <v>24</v>
      </c>
      <c r="J777" t="s">
        <v>15</v>
      </c>
      <c r="M777" t="str">
        <f t="shared" si="109"/>
        <v>Charlie</v>
      </c>
      <c r="N777" t="s">
        <v>15</v>
      </c>
      <c r="O777">
        <f t="shared" si="110"/>
        <v>35</v>
      </c>
      <c r="P777">
        <v>50000</v>
      </c>
      <c r="Q777">
        <f t="shared" si="111"/>
        <v>50000</v>
      </c>
      <c r="R777" t="str">
        <f t="shared" si="112"/>
        <v>Male</v>
      </c>
      <c r="S777" t="str">
        <f t="shared" si="113"/>
        <v>Finance</v>
      </c>
      <c r="T777" t="str">
        <f t="shared" si="114"/>
        <v>Manager</v>
      </c>
      <c r="U777" s="2">
        <v>43195</v>
      </c>
      <c r="V777" t="s">
        <v>24</v>
      </c>
      <c r="X777" t="str">
        <f t="shared" si="115"/>
        <v>Email not provided</v>
      </c>
      <c r="Y777" t="str">
        <f t="shared" si="116"/>
        <v>Email not provided</v>
      </c>
      <c r="Z777" t="str">
        <f t="shared" si="108"/>
        <v>Phone not provided</v>
      </c>
    </row>
    <row r="778" spans="1:26" x14ac:dyDescent="0.25">
      <c r="A778" t="s">
        <v>16</v>
      </c>
      <c r="B778">
        <v>30</v>
      </c>
      <c r="C778">
        <v>65000</v>
      </c>
      <c r="D778" t="s">
        <v>11</v>
      </c>
      <c r="E778" t="s">
        <v>23</v>
      </c>
      <c r="F778" t="s">
        <v>35</v>
      </c>
      <c r="G778" s="1">
        <v>43195</v>
      </c>
      <c r="H778" t="s">
        <v>14</v>
      </c>
      <c r="I778" t="s">
        <v>51</v>
      </c>
      <c r="J778" t="s">
        <v>39</v>
      </c>
      <c r="M778" t="str">
        <f t="shared" si="109"/>
        <v>David</v>
      </c>
      <c r="N778">
        <v>30</v>
      </c>
      <c r="O778">
        <f t="shared" si="110"/>
        <v>30</v>
      </c>
      <c r="P778">
        <v>65000</v>
      </c>
      <c r="Q778">
        <f t="shared" si="111"/>
        <v>65000</v>
      </c>
      <c r="R778" t="str">
        <f t="shared" si="112"/>
        <v>Male</v>
      </c>
      <c r="S778" t="str">
        <f t="shared" si="113"/>
        <v>Sales</v>
      </c>
      <c r="T778" t="str">
        <f t="shared" si="114"/>
        <v>Clerk</v>
      </c>
      <c r="U778" s="2">
        <v>43195</v>
      </c>
      <c r="V778" t="s">
        <v>14</v>
      </c>
      <c r="W778" t="s">
        <v>51</v>
      </c>
      <c r="X778" t="str">
        <f t="shared" si="115"/>
        <v>email@example/com</v>
      </c>
      <c r="Y778" t="str">
        <f t="shared" si="116"/>
        <v>email@example.com</v>
      </c>
      <c r="Z778" t="str">
        <f t="shared" si="108"/>
        <v>555-555-5555</v>
      </c>
    </row>
    <row r="779" spans="1:26" x14ac:dyDescent="0.25">
      <c r="A779" t="s">
        <v>22</v>
      </c>
      <c r="B779" t="s">
        <v>15</v>
      </c>
      <c r="C779">
        <v>70000</v>
      </c>
      <c r="D779" t="s">
        <v>32</v>
      </c>
      <c r="E779" t="s">
        <v>33</v>
      </c>
      <c r="F779" t="s">
        <v>35</v>
      </c>
      <c r="G779" s="2">
        <v>43881</v>
      </c>
      <c r="H779" t="s">
        <v>28</v>
      </c>
      <c r="I779" t="s">
        <v>52</v>
      </c>
      <c r="J779" t="s">
        <v>25</v>
      </c>
      <c r="M779" t="str">
        <f t="shared" si="109"/>
        <v>Hannah</v>
      </c>
      <c r="N779" t="s">
        <v>15</v>
      </c>
      <c r="O779">
        <f t="shared" si="110"/>
        <v>35</v>
      </c>
      <c r="P779">
        <v>70000</v>
      </c>
      <c r="Q779">
        <f t="shared" si="111"/>
        <v>70000</v>
      </c>
      <c r="R779" t="str">
        <f t="shared" si="112"/>
        <v>Other</v>
      </c>
      <c r="S779" t="str">
        <f t="shared" si="113"/>
        <v>Marketing</v>
      </c>
      <c r="T779" t="str">
        <f t="shared" si="114"/>
        <v>Clerk</v>
      </c>
      <c r="U779" s="2">
        <v>43881</v>
      </c>
      <c r="V779" t="s">
        <v>28</v>
      </c>
      <c r="W779" t="s">
        <v>52</v>
      </c>
      <c r="X779" t="str">
        <f t="shared" si="115"/>
        <v>user@domain/com</v>
      </c>
      <c r="Y779" t="str">
        <f t="shared" si="116"/>
        <v>user@domain.com</v>
      </c>
      <c r="Z779" t="str">
        <f t="shared" si="108"/>
        <v>098-765-4321</v>
      </c>
    </row>
    <row r="780" spans="1:26" x14ac:dyDescent="0.25">
      <c r="A780" t="s">
        <v>40</v>
      </c>
      <c r="B780">
        <v>50</v>
      </c>
      <c r="C780">
        <v>55000</v>
      </c>
      <c r="D780" t="s">
        <v>11</v>
      </c>
      <c r="E780" t="s">
        <v>27</v>
      </c>
      <c r="F780" t="s">
        <v>37</v>
      </c>
      <c r="G780" s="2">
        <v>43800</v>
      </c>
      <c r="H780" t="s">
        <v>24</v>
      </c>
      <c r="I780" t="s">
        <v>51</v>
      </c>
      <c r="J780" t="s">
        <v>21</v>
      </c>
      <c r="M780" t="str">
        <f t="shared" si="109"/>
        <v>Frank</v>
      </c>
      <c r="N780">
        <v>50</v>
      </c>
      <c r="O780">
        <f t="shared" si="110"/>
        <v>50</v>
      </c>
      <c r="P780">
        <v>55000</v>
      </c>
      <c r="Q780">
        <f t="shared" si="111"/>
        <v>55000</v>
      </c>
      <c r="R780" t="str">
        <f t="shared" si="112"/>
        <v>Male</v>
      </c>
      <c r="S780" t="str">
        <f t="shared" si="113"/>
        <v>IT</v>
      </c>
      <c r="T780" t="str">
        <f t="shared" si="114"/>
        <v>Assistant</v>
      </c>
      <c r="U780" s="2">
        <v>43800</v>
      </c>
      <c r="V780" t="s">
        <v>24</v>
      </c>
      <c r="W780" t="s">
        <v>51</v>
      </c>
      <c r="X780" t="str">
        <f t="shared" si="115"/>
        <v>email@example/com</v>
      </c>
      <c r="Y780" t="str">
        <f t="shared" si="116"/>
        <v>email@example.com</v>
      </c>
      <c r="Z780" t="str">
        <f t="shared" si="108"/>
        <v>123-456-7890</v>
      </c>
    </row>
    <row r="781" spans="1:26" x14ac:dyDescent="0.25">
      <c r="A781" t="s">
        <v>31</v>
      </c>
      <c r="B781" t="s">
        <v>15</v>
      </c>
      <c r="C781">
        <v>55000</v>
      </c>
      <c r="D781" t="s">
        <v>32</v>
      </c>
      <c r="E781" t="s">
        <v>12</v>
      </c>
      <c r="F781" t="s">
        <v>35</v>
      </c>
      <c r="G781" s="2">
        <v>43881</v>
      </c>
      <c r="H781" t="s">
        <v>20</v>
      </c>
      <c r="I781" t="s">
        <v>51</v>
      </c>
      <c r="J781" t="s">
        <v>21</v>
      </c>
      <c r="M781" t="str">
        <f t="shared" si="109"/>
        <v>Jack</v>
      </c>
      <c r="N781" t="s">
        <v>15</v>
      </c>
      <c r="O781">
        <f t="shared" si="110"/>
        <v>35</v>
      </c>
      <c r="P781">
        <v>55000</v>
      </c>
      <c r="Q781">
        <f t="shared" si="111"/>
        <v>55000</v>
      </c>
      <c r="R781" t="str">
        <f t="shared" si="112"/>
        <v>Other</v>
      </c>
      <c r="S781" t="str">
        <f t="shared" si="113"/>
        <v>HR</v>
      </c>
      <c r="T781" t="str">
        <f t="shared" si="114"/>
        <v>Clerk</v>
      </c>
      <c r="U781" s="2">
        <v>43881</v>
      </c>
      <c r="V781" t="s">
        <v>20</v>
      </c>
      <c r="W781" t="s">
        <v>51</v>
      </c>
      <c r="X781" t="str">
        <f t="shared" si="115"/>
        <v>email@example/com</v>
      </c>
      <c r="Y781" t="str">
        <f t="shared" si="116"/>
        <v>email@example.com</v>
      </c>
      <c r="Z781" t="str">
        <f t="shared" si="108"/>
        <v>123-456-7890</v>
      </c>
    </row>
    <row r="782" spans="1:26" x14ac:dyDescent="0.25">
      <c r="A782" t="s">
        <v>10</v>
      </c>
      <c r="B782">
        <v>50</v>
      </c>
      <c r="C782">
        <v>60000</v>
      </c>
      <c r="D782" t="s">
        <v>17</v>
      </c>
      <c r="E782" t="s">
        <v>18</v>
      </c>
      <c r="F782" t="s">
        <v>19</v>
      </c>
      <c r="G782" s="2">
        <v>43881</v>
      </c>
      <c r="H782" t="s">
        <v>14</v>
      </c>
      <c r="J782" t="s">
        <v>25</v>
      </c>
      <c r="M782" t="str">
        <f t="shared" si="109"/>
        <v>Grace</v>
      </c>
      <c r="N782">
        <v>50</v>
      </c>
      <c r="O782">
        <f t="shared" si="110"/>
        <v>50</v>
      </c>
      <c r="P782">
        <v>60000</v>
      </c>
      <c r="Q782">
        <f t="shared" si="111"/>
        <v>60000</v>
      </c>
      <c r="R782" t="str">
        <f t="shared" si="112"/>
        <v>Female</v>
      </c>
      <c r="S782" t="str">
        <f t="shared" si="113"/>
        <v>Finance</v>
      </c>
      <c r="T782" t="str">
        <f t="shared" si="114"/>
        <v>Director</v>
      </c>
      <c r="U782" s="2">
        <v>43881</v>
      </c>
      <c r="V782" t="s">
        <v>14</v>
      </c>
      <c r="X782" t="str">
        <f t="shared" si="115"/>
        <v>Email not provided</v>
      </c>
      <c r="Y782" t="str">
        <f t="shared" si="116"/>
        <v>Email not provided</v>
      </c>
      <c r="Z782" t="str">
        <f t="shared" si="108"/>
        <v>098-765-4321</v>
      </c>
    </row>
    <row r="783" spans="1:26" x14ac:dyDescent="0.25">
      <c r="A783" t="s">
        <v>22</v>
      </c>
      <c r="B783">
        <v>35</v>
      </c>
      <c r="C783">
        <v>70000</v>
      </c>
      <c r="D783" t="s">
        <v>32</v>
      </c>
      <c r="E783" t="s">
        <v>23</v>
      </c>
      <c r="F783" t="s">
        <v>37</v>
      </c>
      <c r="G783" s="2">
        <v>43800</v>
      </c>
      <c r="H783" t="s">
        <v>24</v>
      </c>
      <c r="I783" t="s">
        <v>52</v>
      </c>
      <c r="J783" t="s">
        <v>15</v>
      </c>
      <c r="M783" t="str">
        <f t="shared" si="109"/>
        <v>Hannah</v>
      </c>
      <c r="N783">
        <v>35</v>
      </c>
      <c r="O783">
        <f t="shared" si="110"/>
        <v>35</v>
      </c>
      <c r="P783">
        <v>70000</v>
      </c>
      <c r="Q783">
        <f t="shared" si="111"/>
        <v>70000</v>
      </c>
      <c r="R783" t="str">
        <f t="shared" si="112"/>
        <v>Other</v>
      </c>
      <c r="S783" t="str">
        <f t="shared" si="113"/>
        <v>Sales</v>
      </c>
      <c r="T783" t="str">
        <f t="shared" si="114"/>
        <v>Assistant</v>
      </c>
      <c r="U783" s="2">
        <v>43800</v>
      </c>
      <c r="V783" t="s">
        <v>24</v>
      </c>
      <c r="W783" t="s">
        <v>52</v>
      </c>
      <c r="X783" t="str">
        <f t="shared" si="115"/>
        <v>user@domain/com</v>
      </c>
      <c r="Y783" t="str">
        <f t="shared" si="116"/>
        <v>user@domain.com</v>
      </c>
      <c r="Z783" t="str">
        <f t="shared" si="108"/>
        <v>Phone not provided</v>
      </c>
    </row>
    <row r="784" spans="1:26" x14ac:dyDescent="0.25">
      <c r="A784" t="s">
        <v>41</v>
      </c>
      <c r="B784">
        <v>35</v>
      </c>
      <c r="C784">
        <v>60000</v>
      </c>
      <c r="D784" t="s">
        <v>32</v>
      </c>
      <c r="E784" t="s">
        <v>23</v>
      </c>
      <c r="F784" t="s">
        <v>13</v>
      </c>
      <c r="G784" s="2">
        <v>43845</v>
      </c>
      <c r="H784" t="s">
        <v>28</v>
      </c>
      <c r="I784" t="s">
        <v>53</v>
      </c>
      <c r="J784" t="s">
        <v>29</v>
      </c>
      <c r="M784" t="str">
        <f t="shared" si="109"/>
        <v>Bob</v>
      </c>
      <c r="N784">
        <v>35</v>
      </c>
      <c r="O784">
        <f t="shared" si="110"/>
        <v>35</v>
      </c>
      <c r="P784">
        <v>60000</v>
      </c>
      <c r="Q784">
        <f t="shared" si="111"/>
        <v>60000</v>
      </c>
      <c r="R784" t="str">
        <f t="shared" si="112"/>
        <v>Other</v>
      </c>
      <c r="S784" t="str">
        <f t="shared" si="113"/>
        <v>Sales</v>
      </c>
      <c r="T784" t="str">
        <f t="shared" si="114"/>
        <v>Manager</v>
      </c>
      <c r="U784" s="2">
        <v>43845</v>
      </c>
      <c r="V784" t="s">
        <v>28</v>
      </c>
      <c r="W784" t="s">
        <v>53</v>
      </c>
      <c r="X784" t="str">
        <f t="shared" si="115"/>
        <v>name@company/org</v>
      </c>
      <c r="Y784" t="str">
        <f t="shared" si="116"/>
        <v>name@company.org</v>
      </c>
      <c r="Z784" t="str">
        <f t="shared" si="108"/>
        <v>Phone not provided</v>
      </c>
    </row>
    <row r="785" spans="1:26" x14ac:dyDescent="0.25">
      <c r="A785" t="s">
        <v>31</v>
      </c>
      <c r="B785" t="s">
        <v>15</v>
      </c>
      <c r="C785">
        <v>50000</v>
      </c>
      <c r="D785" t="s">
        <v>11</v>
      </c>
      <c r="E785" t="s">
        <v>27</v>
      </c>
      <c r="F785" t="s">
        <v>37</v>
      </c>
      <c r="G785" s="1">
        <v>43195</v>
      </c>
      <c r="H785" t="s">
        <v>36</v>
      </c>
      <c r="J785" t="s">
        <v>15</v>
      </c>
      <c r="M785" t="str">
        <f t="shared" si="109"/>
        <v>Jack</v>
      </c>
      <c r="N785" t="s">
        <v>15</v>
      </c>
      <c r="O785">
        <f t="shared" si="110"/>
        <v>35</v>
      </c>
      <c r="P785">
        <v>50000</v>
      </c>
      <c r="Q785">
        <f t="shared" si="111"/>
        <v>50000</v>
      </c>
      <c r="R785" t="str">
        <f t="shared" si="112"/>
        <v>Male</v>
      </c>
      <c r="S785" t="str">
        <f t="shared" si="113"/>
        <v>IT</v>
      </c>
      <c r="T785" t="str">
        <f t="shared" si="114"/>
        <v>Assistant</v>
      </c>
      <c r="U785" s="2">
        <v>43195</v>
      </c>
      <c r="V785" t="s">
        <v>36</v>
      </c>
      <c r="X785" t="str">
        <f t="shared" si="115"/>
        <v>Email not provided</v>
      </c>
      <c r="Y785" t="str">
        <f t="shared" si="116"/>
        <v>Email not provided</v>
      </c>
      <c r="Z785" t="str">
        <f t="shared" si="108"/>
        <v>Phone not provided</v>
      </c>
    </row>
    <row r="786" spans="1:26" x14ac:dyDescent="0.25">
      <c r="A786" t="s">
        <v>22</v>
      </c>
      <c r="B786" t="s">
        <v>15</v>
      </c>
      <c r="C786" t="s">
        <v>30</v>
      </c>
      <c r="D786" t="s">
        <v>11</v>
      </c>
      <c r="E786" t="s">
        <v>27</v>
      </c>
      <c r="F786" t="s">
        <v>38</v>
      </c>
      <c r="G786" s="2">
        <v>43881</v>
      </c>
      <c r="H786" t="s">
        <v>20</v>
      </c>
      <c r="I786" t="s">
        <v>53</v>
      </c>
      <c r="J786" t="s">
        <v>21</v>
      </c>
      <c r="M786" t="str">
        <f t="shared" si="109"/>
        <v>Hannah</v>
      </c>
      <c r="N786" t="s">
        <v>15</v>
      </c>
      <c r="O786">
        <f t="shared" si="110"/>
        <v>35</v>
      </c>
      <c r="P786" t="s">
        <v>30</v>
      </c>
      <c r="Q786">
        <f t="shared" si="111"/>
        <v>60000</v>
      </c>
      <c r="R786" t="str">
        <f t="shared" si="112"/>
        <v>Male</v>
      </c>
      <c r="S786" t="str">
        <f t="shared" si="113"/>
        <v>IT</v>
      </c>
      <c r="T786" t="str">
        <f t="shared" si="114"/>
        <v>Analyst</v>
      </c>
      <c r="U786" s="2">
        <v>43881</v>
      </c>
      <c r="V786" t="s">
        <v>20</v>
      </c>
      <c r="W786" t="s">
        <v>53</v>
      </c>
      <c r="X786" t="str">
        <f t="shared" si="115"/>
        <v>name@company/org</v>
      </c>
      <c r="Y786" t="str">
        <f t="shared" si="116"/>
        <v>name@company.org</v>
      </c>
      <c r="Z786" t="str">
        <f t="shared" si="108"/>
        <v>123-456-7890</v>
      </c>
    </row>
    <row r="787" spans="1:26" x14ac:dyDescent="0.25">
      <c r="A787" t="s">
        <v>34</v>
      </c>
      <c r="B787">
        <v>50</v>
      </c>
      <c r="C787" t="s">
        <v>30</v>
      </c>
      <c r="D787" t="s">
        <v>32</v>
      </c>
      <c r="E787" t="s">
        <v>18</v>
      </c>
      <c r="F787" t="s">
        <v>37</v>
      </c>
      <c r="G787" s="2">
        <v>43800</v>
      </c>
      <c r="H787" t="s">
        <v>28</v>
      </c>
      <c r="I787" t="s">
        <v>52</v>
      </c>
      <c r="J787" t="s">
        <v>29</v>
      </c>
      <c r="M787" t="str">
        <f t="shared" si="109"/>
        <v>Charlie</v>
      </c>
      <c r="N787">
        <v>50</v>
      </c>
      <c r="O787">
        <f t="shared" si="110"/>
        <v>50</v>
      </c>
      <c r="P787" t="s">
        <v>30</v>
      </c>
      <c r="Q787">
        <f t="shared" si="111"/>
        <v>60000</v>
      </c>
      <c r="R787" t="str">
        <f t="shared" si="112"/>
        <v>Other</v>
      </c>
      <c r="S787" t="str">
        <f t="shared" si="113"/>
        <v>Finance</v>
      </c>
      <c r="T787" t="str">
        <f t="shared" si="114"/>
        <v>Assistant</v>
      </c>
      <c r="U787" s="2">
        <v>43800</v>
      </c>
      <c r="V787" t="s">
        <v>28</v>
      </c>
      <c r="W787" t="s">
        <v>52</v>
      </c>
      <c r="X787" t="str">
        <f t="shared" si="115"/>
        <v>user@domain/com</v>
      </c>
      <c r="Y787" t="str">
        <f t="shared" si="116"/>
        <v>user@domain.com</v>
      </c>
      <c r="Z787" t="str">
        <f t="shared" si="108"/>
        <v>Phone not provided</v>
      </c>
    </row>
    <row r="788" spans="1:26" x14ac:dyDescent="0.25">
      <c r="A788" t="s">
        <v>10</v>
      </c>
      <c r="B788">
        <v>30</v>
      </c>
      <c r="C788" t="s">
        <v>30</v>
      </c>
      <c r="D788" t="s">
        <v>11</v>
      </c>
      <c r="E788" t="s">
        <v>12</v>
      </c>
      <c r="F788" t="s">
        <v>35</v>
      </c>
      <c r="G788" s="2">
        <v>43549</v>
      </c>
      <c r="H788" t="s">
        <v>14</v>
      </c>
      <c r="I788" t="s">
        <v>51</v>
      </c>
      <c r="J788" t="s">
        <v>39</v>
      </c>
      <c r="M788" t="str">
        <f t="shared" si="109"/>
        <v>Grace</v>
      </c>
      <c r="N788">
        <v>30</v>
      </c>
      <c r="O788">
        <f t="shared" si="110"/>
        <v>30</v>
      </c>
      <c r="P788" t="s">
        <v>30</v>
      </c>
      <c r="Q788">
        <f t="shared" si="111"/>
        <v>60000</v>
      </c>
      <c r="R788" t="str">
        <f t="shared" si="112"/>
        <v>Male</v>
      </c>
      <c r="S788" t="str">
        <f t="shared" si="113"/>
        <v>HR</v>
      </c>
      <c r="T788" t="str">
        <f t="shared" si="114"/>
        <v>Clerk</v>
      </c>
      <c r="U788" s="2">
        <v>43549</v>
      </c>
      <c r="V788" t="s">
        <v>14</v>
      </c>
      <c r="W788" t="s">
        <v>51</v>
      </c>
      <c r="X788" t="str">
        <f t="shared" si="115"/>
        <v>email@example/com</v>
      </c>
      <c r="Y788" t="str">
        <f t="shared" si="116"/>
        <v>email@example.com</v>
      </c>
      <c r="Z788" t="str">
        <f t="shared" si="108"/>
        <v>555-555-5555</v>
      </c>
    </row>
    <row r="789" spans="1:26" x14ac:dyDescent="0.25">
      <c r="A789" t="s">
        <v>34</v>
      </c>
      <c r="B789">
        <v>50</v>
      </c>
      <c r="C789">
        <v>70000</v>
      </c>
      <c r="D789" t="s">
        <v>11</v>
      </c>
      <c r="E789" t="s">
        <v>23</v>
      </c>
      <c r="F789" t="s">
        <v>35</v>
      </c>
      <c r="G789" s="2">
        <v>43881</v>
      </c>
      <c r="H789" t="s">
        <v>14</v>
      </c>
      <c r="I789" t="s">
        <v>15</v>
      </c>
      <c r="J789" t="s">
        <v>29</v>
      </c>
      <c r="M789" t="str">
        <f t="shared" si="109"/>
        <v>Charlie</v>
      </c>
      <c r="N789">
        <v>50</v>
      </c>
      <c r="O789">
        <f t="shared" si="110"/>
        <v>50</v>
      </c>
      <c r="P789">
        <v>70000</v>
      </c>
      <c r="Q789">
        <f t="shared" si="111"/>
        <v>70000</v>
      </c>
      <c r="R789" t="str">
        <f t="shared" si="112"/>
        <v>Male</v>
      </c>
      <c r="S789" t="str">
        <f t="shared" si="113"/>
        <v>Sales</v>
      </c>
      <c r="T789" t="str">
        <f t="shared" si="114"/>
        <v>Clerk</v>
      </c>
      <c r="U789" s="2">
        <v>43881</v>
      </c>
      <c r="V789" t="s">
        <v>14</v>
      </c>
      <c r="W789" t="s">
        <v>15</v>
      </c>
      <c r="X789" t="str">
        <f t="shared" si="115"/>
        <v>Email not provided</v>
      </c>
      <c r="Y789" t="str">
        <f t="shared" si="116"/>
        <v>Email not provided</v>
      </c>
      <c r="Z789" t="str">
        <f t="shared" si="108"/>
        <v>Phone not provided</v>
      </c>
    </row>
    <row r="790" spans="1:26" x14ac:dyDescent="0.25">
      <c r="A790" t="s">
        <v>10</v>
      </c>
      <c r="B790">
        <v>30</v>
      </c>
      <c r="C790" t="s">
        <v>30</v>
      </c>
      <c r="D790" t="s">
        <v>11</v>
      </c>
      <c r="E790" t="s">
        <v>18</v>
      </c>
      <c r="F790" t="s">
        <v>19</v>
      </c>
      <c r="G790" s="1">
        <v>43195</v>
      </c>
      <c r="H790" t="s">
        <v>36</v>
      </c>
      <c r="I790" t="s">
        <v>15</v>
      </c>
      <c r="J790" t="s">
        <v>15</v>
      </c>
      <c r="M790" t="str">
        <f t="shared" si="109"/>
        <v>Grace</v>
      </c>
      <c r="N790">
        <v>30</v>
      </c>
      <c r="O790">
        <f t="shared" si="110"/>
        <v>30</v>
      </c>
      <c r="P790" t="s">
        <v>30</v>
      </c>
      <c r="Q790">
        <f t="shared" si="111"/>
        <v>60000</v>
      </c>
      <c r="R790" t="str">
        <f t="shared" si="112"/>
        <v>Male</v>
      </c>
      <c r="S790" t="str">
        <f t="shared" si="113"/>
        <v>Finance</v>
      </c>
      <c r="T790" t="str">
        <f t="shared" si="114"/>
        <v>Director</v>
      </c>
      <c r="U790" s="2">
        <v>43195</v>
      </c>
      <c r="V790" t="s">
        <v>36</v>
      </c>
      <c r="W790" t="s">
        <v>15</v>
      </c>
      <c r="X790" t="str">
        <f t="shared" si="115"/>
        <v>Email not provided</v>
      </c>
      <c r="Y790" t="str">
        <f t="shared" si="116"/>
        <v>Email not provided</v>
      </c>
      <c r="Z790" t="str">
        <f t="shared" si="108"/>
        <v>Phone not provided</v>
      </c>
    </row>
    <row r="791" spans="1:26" x14ac:dyDescent="0.25">
      <c r="A791" t="s">
        <v>41</v>
      </c>
      <c r="B791">
        <v>35</v>
      </c>
      <c r="C791">
        <v>50000</v>
      </c>
      <c r="D791" t="s">
        <v>32</v>
      </c>
      <c r="E791" t="s">
        <v>33</v>
      </c>
      <c r="F791" t="s">
        <v>19</v>
      </c>
      <c r="G791" s="2">
        <v>43845</v>
      </c>
      <c r="H791" t="s">
        <v>36</v>
      </c>
      <c r="I791" t="s">
        <v>52</v>
      </c>
      <c r="J791" t="s">
        <v>25</v>
      </c>
      <c r="M791" t="str">
        <f t="shared" si="109"/>
        <v>Bob</v>
      </c>
      <c r="N791">
        <v>35</v>
      </c>
      <c r="O791">
        <f t="shared" si="110"/>
        <v>35</v>
      </c>
      <c r="P791">
        <v>50000</v>
      </c>
      <c r="Q791">
        <f t="shared" si="111"/>
        <v>50000</v>
      </c>
      <c r="R791" t="str">
        <f t="shared" si="112"/>
        <v>Other</v>
      </c>
      <c r="S791" t="str">
        <f t="shared" si="113"/>
        <v>Marketing</v>
      </c>
      <c r="T791" t="str">
        <f t="shared" si="114"/>
        <v>Director</v>
      </c>
      <c r="U791" s="2">
        <v>43845</v>
      </c>
      <c r="V791" t="s">
        <v>36</v>
      </c>
      <c r="W791" t="s">
        <v>52</v>
      </c>
      <c r="X791" t="str">
        <f t="shared" si="115"/>
        <v>user@domain/com</v>
      </c>
      <c r="Y791" t="str">
        <f t="shared" si="116"/>
        <v>user@domain.com</v>
      </c>
      <c r="Z791" t="str">
        <f t="shared" si="108"/>
        <v>098-765-4321</v>
      </c>
    </row>
    <row r="792" spans="1:26" x14ac:dyDescent="0.25">
      <c r="A792" t="s">
        <v>31</v>
      </c>
      <c r="B792">
        <v>25</v>
      </c>
      <c r="C792">
        <v>60000</v>
      </c>
      <c r="D792" t="s">
        <v>11</v>
      </c>
      <c r="E792" t="s">
        <v>33</v>
      </c>
      <c r="F792" t="s">
        <v>19</v>
      </c>
      <c r="G792" s="2">
        <v>43881</v>
      </c>
      <c r="H792" t="s">
        <v>20</v>
      </c>
      <c r="I792" t="s">
        <v>15</v>
      </c>
      <c r="J792" t="s">
        <v>39</v>
      </c>
      <c r="M792" t="str">
        <f t="shared" si="109"/>
        <v>Jack</v>
      </c>
      <c r="N792">
        <v>25</v>
      </c>
      <c r="O792">
        <f t="shared" si="110"/>
        <v>25</v>
      </c>
      <c r="P792">
        <v>60000</v>
      </c>
      <c r="Q792">
        <f t="shared" si="111"/>
        <v>60000</v>
      </c>
      <c r="R792" t="str">
        <f t="shared" si="112"/>
        <v>Male</v>
      </c>
      <c r="S792" t="str">
        <f t="shared" si="113"/>
        <v>Marketing</v>
      </c>
      <c r="T792" t="str">
        <f t="shared" si="114"/>
        <v>Director</v>
      </c>
      <c r="U792" s="2">
        <v>43881</v>
      </c>
      <c r="V792" t="s">
        <v>20</v>
      </c>
      <c r="W792" t="s">
        <v>15</v>
      </c>
      <c r="X792" t="str">
        <f t="shared" si="115"/>
        <v>Email not provided</v>
      </c>
      <c r="Y792" t="str">
        <f t="shared" si="116"/>
        <v>Email not provided</v>
      </c>
      <c r="Z792" t="str">
        <f t="shared" si="108"/>
        <v>555-555-5555</v>
      </c>
    </row>
    <row r="793" spans="1:26" x14ac:dyDescent="0.25">
      <c r="A793" t="s">
        <v>40</v>
      </c>
      <c r="B793" t="s">
        <v>15</v>
      </c>
      <c r="C793">
        <v>70000</v>
      </c>
      <c r="D793" t="s">
        <v>32</v>
      </c>
      <c r="E793" t="s">
        <v>18</v>
      </c>
      <c r="F793" t="s">
        <v>13</v>
      </c>
      <c r="G793" s="2">
        <v>43881</v>
      </c>
      <c r="H793" t="s">
        <v>20</v>
      </c>
      <c r="I793" t="s">
        <v>53</v>
      </c>
      <c r="J793" t="s">
        <v>15</v>
      </c>
      <c r="M793" t="str">
        <f t="shared" si="109"/>
        <v>Frank</v>
      </c>
      <c r="N793" t="s">
        <v>15</v>
      </c>
      <c r="O793">
        <f t="shared" si="110"/>
        <v>35</v>
      </c>
      <c r="P793">
        <v>70000</v>
      </c>
      <c r="Q793">
        <f t="shared" si="111"/>
        <v>70000</v>
      </c>
      <c r="R793" t="str">
        <f t="shared" si="112"/>
        <v>Other</v>
      </c>
      <c r="S793" t="str">
        <f t="shared" si="113"/>
        <v>Finance</v>
      </c>
      <c r="T793" t="str">
        <f t="shared" si="114"/>
        <v>Manager</v>
      </c>
      <c r="U793" s="2">
        <v>43881</v>
      </c>
      <c r="V793" t="s">
        <v>20</v>
      </c>
      <c r="W793" t="s">
        <v>53</v>
      </c>
      <c r="X793" t="str">
        <f t="shared" si="115"/>
        <v>name@company/org</v>
      </c>
      <c r="Y793" t="str">
        <f t="shared" si="116"/>
        <v>name@company.org</v>
      </c>
      <c r="Z793" t="str">
        <f t="shared" si="108"/>
        <v>Phone not provided</v>
      </c>
    </row>
    <row r="794" spans="1:26" x14ac:dyDescent="0.25">
      <c r="A794" t="s">
        <v>34</v>
      </c>
      <c r="B794">
        <v>30</v>
      </c>
      <c r="C794">
        <v>60000</v>
      </c>
      <c r="D794" t="s">
        <v>11</v>
      </c>
      <c r="E794" t="s">
        <v>23</v>
      </c>
      <c r="F794" t="s">
        <v>19</v>
      </c>
      <c r="G794" s="2">
        <v>43800</v>
      </c>
      <c r="H794" t="s">
        <v>36</v>
      </c>
      <c r="I794" t="s">
        <v>15</v>
      </c>
      <c r="J794" t="s">
        <v>39</v>
      </c>
      <c r="M794" t="str">
        <f t="shared" si="109"/>
        <v>Charlie</v>
      </c>
      <c r="N794">
        <v>30</v>
      </c>
      <c r="O794">
        <f t="shared" si="110"/>
        <v>30</v>
      </c>
      <c r="P794">
        <v>60000</v>
      </c>
      <c r="Q794">
        <f t="shared" si="111"/>
        <v>60000</v>
      </c>
      <c r="R794" t="str">
        <f t="shared" si="112"/>
        <v>Male</v>
      </c>
      <c r="S794" t="str">
        <f t="shared" si="113"/>
        <v>Sales</v>
      </c>
      <c r="T794" t="str">
        <f t="shared" si="114"/>
        <v>Director</v>
      </c>
      <c r="U794" s="2">
        <v>43800</v>
      </c>
      <c r="V794" t="s">
        <v>36</v>
      </c>
      <c r="W794" t="s">
        <v>15</v>
      </c>
      <c r="X794" t="str">
        <f t="shared" si="115"/>
        <v>Email not provided</v>
      </c>
      <c r="Y794" t="str">
        <f t="shared" si="116"/>
        <v>Email not provided</v>
      </c>
      <c r="Z794" t="str">
        <f t="shared" si="108"/>
        <v>555-555-5555</v>
      </c>
    </row>
    <row r="795" spans="1:26" x14ac:dyDescent="0.25">
      <c r="A795" t="s">
        <v>34</v>
      </c>
      <c r="B795">
        <v>50</v>
      </c>
      <c r="C795">
        <v>70000</v>
      </c>
      <c r="D795" t="s">
        <v>17</v>
      </c>
      <c r="E795" t="s">
        <v>18</v>
      </c>
      <c r="F795" t="s">
        <v>13</v>
      </c>
      <c r="G795" s="2">
        <v>43549</v>
      </c>
      <c r="H795" t="s">
        <v>36</v>
      </c>
      <c r="I795" t="s">
        <v>52</v>
      </c>
      <c r="J795" t="s">
        <v>29</v>
      </c>
      <c r="M795" t="str">
        <f t="shared" si="109"/>
        <v>Charlie</v>
      </c>
      <c r="N795">
        <v>50</v>
      </c>
      <c r="O795">
        <f t="shared" si="110"/>
        <v>50</v>
      </c>
      <c r="P795">
        <v>70000</v>
      </c>
      <c r="Q795">
        <f t="shared" si="111"/>
        <v>70000</v>
      </c>
      <c r="R795" t="str">
        <f t="shared" si="112"/>
        <v>Female</v>
      </c>
      <c r="S795" t="str">
        <f t="shared" si="113"/>
        <v>Finance</v>
      </c>
      <c r="T795" t="str">
        <f t="shared" si="114"/>
        <v>Manager</v>
      </c>
      <c r="U795" s="2">
        <v>43549</v>
      </c>
      <c r="V795" t="s">
        <v>36</v>
      </c>
      <c r="W795" t="s">
        <v>52</v>
      </c>
      <c r="X795" t="str">
        <f t="shared" si="115"/>
        <v>user@domain/com</v>
      </c>
      <c r="Y795" t="str">
        <f t="shared" si="116"/>
        <v>user@domain.com</v>
      </c>
      <c r="Z795" t="str">
        <f t="shared" si="108"/>
        <v>Phone not provided</v>
      </c>
    </row>
    <row r="796" spans="1:26" x14ac:dyDescent="0.25">
      <c r="A796" t="s">
        <v>43</v>
      </c>
      <c r="B796">
        <v>35</v>
      </c>
      <c r="C796">
        <v>60000</v>
      </c>
      <c r="D796" t="s">
        <v>11</v>
      </c>
      <c r="E796" t="s">
        <v>23</v>
      </c>
      <c r="F796" t="s">
        <v>19</v>
      </c>
      <c r="G796" s="2">
        <v>43549</v>
      </c>
      <c r="H796" t="s">
        <v>14</v>
      </c>
      <c r="I796" t="s">
        <v>52</v>
      </c>
      <c r="J796" t="s">
        <v>21</v>
      </c>
      <c r="M796" t="str">
        <f t="shared" si="109"/>
        <v>Ivy</v>
      </c>
      <c r="N796">
        <v>35</v>
      </c>
      <c r="O796">
        <f t="shared" si="110"/>
        <v>35</v>
      </c>
      <c r="P796">
        <v>60000</v>
      </c>
      <c r="Q796">
        <f t="shared" si="111"/>
        <v>60000</v>
      </c>
      <c r="R796" t="str">
        <f t="shared" si="112"/>
        <v>Male</v>
      </c>
      <c r="S796" t="str">
        <f t="shared" si="113"/>
        <v>Sales</v>
      </c>
      <c r="T796" t="str">
        <f t="shared" si="114"/>
        <v>Director</v>
      </c>
      <c r="U796" s="2">
        <v>43549</v>
      </c>
      <c r="V796" t="s">
        <v>14</v>
      </c>
      <c r="W796" t="s">
        <v>52</v>
      </c>
      <c r="X796" t="str">
        <f t="shared" si="115"/>
        <v>user@domain/com</v>
      </c>
      <c r="Y796" t="str">
        <f t="shared" si="116"/>
        <v>user@domain.com</v>
      </c>
      <c r="Z796" t="str">
        <f t="shared" si="108"/>
        <v>123-456-7890</v>
      </c>
    </row>
    <row r="797" spans="1:26" x14ac:dyDescent="0.25">
      <c r="A797" t="s">
        <v>10</v>
      </c>
      <c r="B797">
        <v>30</v>
      </c>
      <c r="C797">
        <v>55000</v>
      </c>
      <c r="D797" t="s">
        <v>11</v>
      </c>
      <c r="E797" t="s">
        <v>27</v>
      </c>
      <c r="F797" t="s">
        <v>13</v>
      </c>
      <c r="G797" s="2">
        <v>43845</v>
      </c>
      <c r="H797" t="s">
        <v>36</v>
      </c>
      <c r="I797" t="s">
        <v>53</v>
      </c>
      <c r="J797" t="s">
        <v>15</v>
      </c>
      <c r="M797" t="str">
        <f t="shared" si="109"/>
        <v>Grace</v>
      </c>
      <c r="N797">
        <v>30</v>
      </c>
      <c r="O797">
        <f t="shared" si="110"/>
        <v>30</v>
      </c>
      <c r="P797">
        <v>55000</v>
      </c>
      <c r="Q797">
        <f t="shared" si="111"/>
        <v>55000</v>
      </c>
      <c r="R797" t="str">
        <f t="shared" si="112"/>
        <v>Male</v>
      </c>
      <c r="S797" t="str">
        <f t="shared" si="113"/>
        <v>IT</v>
      </c>
      <c r="T797" t="str">
        <f t="shared" si="114"/>
        <v>Manager</v>
      </c>
      <c r="U797" s="2">
        <v>43845</v>
      </c>
      <c r="V797" t="s">
        <v>36</v>
      </c>
      <c r="W797" t="s">
        <v>53</v>
      </c>
      <c r="X797" t="str">
        <f t="shared" si="115"/>
        <v>name@company/org</v>
      </c>
      <c r="Y797" t="str">
        <f t="shared" si="116"/>
        <v>name@company.org</v>
      </c>
      <c r="Z797" t="str">
        <f t="shared" si="108"/>
        <v>Phone not provided</v>
      </c>
    </row>
    <row r="798" spans="1:26" x14ac:dyDescent="0.25">
      <c r="A798" t="s">
        <v>26</v>
      </c>
      <c r="B798">
        <v>50</v>
      </c>
      <c r="C798">
        <v>60000</v>
      </c>
      <c r="D798" t="s">
        <v>32</v>
      </c>
      <c r="E798" t="s">
        <v>18</v>
      </c>
      <c r="F798" t="s">
        <v>37</v>
      </c>
      <c r="G798" s="1">
        <v>43195</v>
      </c>
      <c r="H798" t="s">
        <v>24</v>
      </c>
      <c r="I798" t="s">
        <v>15</v>
      </c>
      <c r="J798" t="s">
        <v>25</v>
      </c>
      <c r="M798" t="str">
        <f t="shared" si="109"/>
        <v>Eve</v>
      </c>
      <c r="N798">
        <v>50</v>
      </c>
      <c r="O798">
        <f t="shared" si="110"/>
        <v>50</v>
      </c>
      <c r="P798">
        <v>60000</v>
      </c>
      <c r="Q798">
        <f t="shared" si="111"/>
        <v>60000</v>
      </c>
      <c r="R798" t="str">
        <f t="shared" si="112"/>
        <v>Other</v>
      </c>
      <c r="S798" t="str">
        <f t="shared" si="113"/>
        <v>Finance</v>
      </c>
      <c r="T798" t="str">
        <f t="shared" si="114"/>
        <v>Assistant</v>
      </c>
      <c r="U798" s="2">
        <v>43195</v>
      </c>
      <c r="V798" t="s">
        <v>24</v>
      </c>
      <c r="W798" t="s">
        <v>15</v>
      </c>
      <c r="X798" t="str">
        <f t="shared" si="115"/>
        <v>Email not provided</v>
      </c>
      <c r="Y798" t="str">
        <f t="shared" si="116"/>
        <v>Email not provided</v>
      </c>
      <c r="Z798" t="str">
        <f t="shared" si="108"/>
        <v>098-765-4321</v>
      </c>
    </row>
    <row r="799" spans="1:26" x14ac:dyDescent="0.25">
      <c r="A799" t="s">
        <v>31</v>
      </c>
      <c r="B799" t="s">
        <v>15</v>
      </c>
      <c r="C799" t="s">
        <v>30</v>
      </c>
      <c r="D799" t="s">
        <v>32</v>
      </c>
      <c r="E799" t="s">
        <v>23</v>
      </c>
      <c r="F799" t="s">
        <v>37</v>
      </c>
      <c r="G799" s="2">
        <v>43845</v>
      </c>
      <c r="H799" t="s">
        <v>28</v>
      </c>
      <c r="I799" t="s">
        <v>15</v>
      </c>
      <c r="J799" t="s">
        <v>29</v>
      </c>
      <c r="M799" t="str">
        <f t="shared" si="109"/>
        <v>Jack</v>
      </c>
      <c r="N799" t="s">
        <v>15</v>
      </c>
      <c r="O799">
        <f t="shared" si="110"/>
        <v>35</v>
      </c>
      <c r="P799" t="s">
        <v>30</v>
      </c>
      <c r="Q799">
        <f t="shared" si="111"/>
        <v>60000</v>
      </c>
      <c r="R799" t="str">
        <f t="shared" si="112"/>
        <v>Other</v>
      </c>
      <c r="S799" t="str">
        <f t="shared" si="113"/>
        <v>Sales</v>
      </c>
      <c r="T799" t="str">
        <f t="shared" si="114"/>
        <v>Assistant</v>
      </c>
      <c r="U799" s="2">
        <v>43845</v>
      </c>
      <c r="V799" t="s">
        <v>28</v>
      </c>
      <c r="W799" t="s">
        <v>15</v>
      </c>
      <c r="X799" t="str">
        <f t="shared" si="115"/>
        <v>Email not provided</v>
      </c>
      <c r="Y799" t="str">
        <f t="shared" si="116"/>
        <v>Email not provided</v>
      </c>
      <c r="Z799" t="str">
        <f t="shared" si="108"/>
        <v>Phone not provided</v>
      </c>
    </row>
    <row r="800" spans="1:26" x14ac:dyDescent="0.25">
      <c r="A800" t="s">
        <v>10</v>
      </c>
      <c r="B800" t="s">
        <v>15</v>
      </c>
      <c r="C800">
        <v>55000</v>
      </c>
      <c r="D800" t="s">
        <v>11</v>
      </c>
      <c r="E800" t="s">
        <v>18</v>
      </c>
      <c r="F800" t="s">
        <v>35</v>
      </c>
      <c r="G800" s="2">
        <v>43881</v>
      </c>
      <c r="H800" t="s">
        <v>36</v>
      </c>
      <c r="I800" t="s">
        <v>51</v>
      </c>
      <c r="J800" t="s">
        <v>15</v>
      </c>
      <c r="M800" t="str">
        <f t="shared" si="109"/>
        <v>Grace</v>
      </c>
      <c r="N800" t="s">
        <v>15</v>
      </c>
      <c r="O800">
        <f t="shared" si="110"/>
        <v>35</v>
      </c>
      <c r="P800">
        <v>55000</v>
      </c>
      <c r="Q800">
        <f t="shared" si="111"/>
        <v>55000</v>
      </c>
      <c r="R800" t="str">
        <f t="shared" si="112"/>
        <v>Male</v>
      </c>
      <c r="S800" t="str">
        <f t="shared" si="113"/>
        <v>Finance</v>
      </c>
      <c r="T800" t="str">
        <f t="shared" si="114"/>
        <v>Clerk</v>
      </c>
      <c r="U800" s="2">
        <v>43881</v>
      </c>
      <c r="V800" t="s">
        <v>36</v>
      </c>
      <c r="W800" t="s">
        <v>51</v>
      </c>
      <c r="X800" t="str">
        <f t="shared" si="115"/>
        <v>email@example/com</v>
      </c>
      <c r="Y800" t="str">
        <f t="shared" si="116"/>
        <v>email@example.com</v>
      </c>
      <c r="Z800" t="str">
        <f t="shared" si="108"/>
        <v>Phone not provided</v>
      </c>
    </row>
    <row r="801" spans="1:26" x14ac:dyDescent="0.25">
      <c r="A801" t="s">
        <v>43</v>
      </c>
      <c r="B801">
        <v>40</v>
      </c>
      <c r="C801">
        <v>60000</v>
      </c>
      <c r="D801" t="s">
        <v>17</v>
      </c>
      <c r="E801" t="s">
        <v>18</v>
      </c>
      <c r="F801" t="s">
        <v>13</v>
      </c>
      <c r="G801" s="2">
        <v>43881</v>
      </c>
      <c r="H801" t="s">
        <v>20</v>
      </c>
      <c r="J801" t="s">
        <v>25</v>
      </c>
      <c r="M801" t="str">
        <f t="shared" si="109"/>
        <v>Ivy</v>
      </c>
      <c r="N801">
        <v>40</v>
      </c>
      <c r="O801">
        <f t="shared" si="110"/>
        <v>40</v>
      </c>
      <c r="P801">
        <v>60000</v>
      </c>
      <c r="Q801">
        <f t="shared" si="111"/>
        <v>60000</v>
      </c>
      <c r="R801" t="str">
        <f t="shared" si="112"/>
        <v>Female</v>
      </c>
      <c r="S801" t="str">
        <f t="shared" si="113"/>
        <v>Finance</v>
      </c>
      <c r="T801" t="str">
        <f t="shared" si="114"/>
        <v>Manager</v>
      </c>
      <c r="U801" s="2">
        <v>43881</v>
      </c>
      <c r="V801" t="s">
        <v>20</v>
      </c>
      <c r="X801" t="str">
        <f t="shared" si="115"/>
        <v>Email not provided</v>
      </c>
      <c r="Y801" t="str">
        <f t="shared" si="116"/>
        <v>Email not provided</v>
      </c>
      <c r="Z801" t="str">
        <f t="shared" si="108"/>
        <v>098-765-4321</v>
      </c>
    </row>
    <row r="802" spans="1:26" x14ac:dyDescent="0.25">
      <c r="A802" t="s">
        <v>42</v>
      </c>
      <c r="B802">
        <v>25</v>
      </c>
      <c r="C802">
        <v>70000</v>
      </c>
      <c r="D802" t="s">
        <v>11</v>
      </c>
      <c r="E802" t="s">
        <v>23</v>
      </c>
      <c r="F802" t="s">
        <v>38</v>
      </c>
      <c r="G802" s="2">
        <v>43549</v>
      </c>
      <c r="H802" t="s">
        <v>24</v>
      </c>
      <c r="I802" t="s">
        <v>52</v>
      </c>
      <c r="J802" t="s">
        <v>15</v>
      </c>
      <c r="M802" t="str">
        <f t="shared" si="109"/>
        <v>Alice</v>
      </c>
      <c r="N802">
        <v>25</v>
      </c>
      <c r="O802">
        <f t="shared" si="110"/>
        <v>25</v>
      </c>
      <c r="P802">
        <v>70000</v>
      </c>
      <c r="Q802">
        <f t="shared" si="111"/>
        <v>70000</v>
      </c>
      <c r="R802" t="str">
        <f t="shared" si="112"/>
        <v>Male</v>
      </c>
      <c r="S802" t="str">
        <f t="shared" si="113"/>
        <v>Sales</v>
      </c>
      <c r="T802" t="str">
        <f t="shared" si="114"/>
        <v>Analyst</v>
      </c>
      <c r="U802" s="2">
        <v>43549</v>
      </c>
      <c r="V802" t="s">
        <v>24</v>
      </c>
      <c r="W802" t="s">
        <v>52</v>
      </c>
      <c r="X802" t="str">
        <f t="shared" si="115"/>
        <v>user@domain/com</v>
      </c>
      <c r="Y802" t="str">
        <f t="shared" si="116"/>
        <v>user@domain.com</v>
      </c>
      <c r="Z802" t="str">
        <f t="shared" si="108"/>
        <v>Phone not provided</v>
      </c>
    </row>
    <row r="803" spans="1:26" x14ac:dyDescent="0.25">
      <c r="A803" t="s">
        <v>10</v>
      </c>
      <c r="B803">
        <v>40</v>
      </c>
      <c r="C803">
        <v>70000</v>
      </c>
      <c r="D803" t="s">
        <v>11</v>
      </c>
      <c r="E803" t="s">
        <v>23</v>
      </c>
      <c r="F803" t="s">
        <v>35</v>
      </c>
      <c r="G803" s="1">
        <v>43195</v>
      </c>
      <c r="H803" t="s">
        <v>20</v>
      </c>
      <c r="I803" t="s">
        <v>51</v>
      </c>
      <c r="J803" t="s">
        <v>29</v>
      </c>
      <c r="M803" t="str">
        <f t="shared" si="109"/>
        <v>Grace</v>
      </c>
      <c r="N803">
        <v>40</v>
      </c>
      <c r="O803">
        <f t="shared" si="110"/>
        <v>40</v>
      </c>
      <c r="P803">
        <v>70000</v>
      </c>
      <c r="Q803">
        <f t="shared" si="111"/>
        <v>70000</v>
      </c>
      <c r="R803" t="str">
        <f t="shared" si="112"/>
        <v>Male</v>
      </c>
      <c r="S803" t="str">
        <f t="shared" si="113"/>
        <v>Sales</v>
      </c>
      <c r="T803" t="str">
        <f t="shared" si="114"/>
        <v>Clerk</v>
      </c>
      <c r="U803" s="2">
        <v>43195</v>
      </c>
      <c r="V803" t="s">
        <v>20</v>
      </c>
      <c r="W803" t="s">
        <v>51</v>
      </c>
      <c r="X803" t="str">
        <f t="shared" si="115"/>
        <v>email@example/com</v>
      </c>
      <c r="Y803" t="str">
        <f t="shared" si="116"/>
        <v>email@example.com</v>
      </c>
      <c r="Z803" t="str">
        <f t="shared" si="108"/>
        <v>Phone not provided</v>
      </c>
    </row>
    <row r="804" spans="1:26" x14ac:dyDescent="0.25">
      <c r="A804" t="s">
        <v>40</v>
      </c>
      <c r="B804">
        <v>35</v>
      </c>
      <c r="C804">
        <v>70000</v>
      </c>
      <c r="D804" t="s">
        <v>17</v>
      </c>
      <c r="E804" t="s">
        <v>12</v>
      </c>
      <c r="F804" t="s">
        <v>37</v>
      </c>
      <c r="G804" s="2">
        <v>43800</v>
      </c>
      <c r="H804" t="s">
        <v>24</v>
      </c>
      <c r="I804" t="s">
        <v>52</v>
      </c>
      <c r="J804" t="s">
        <v>15</v>
      </c>
      <c r="M804" t="str">
        <f t="shared" si="109"/>
        <v>Frank</v>
      </c>
      <c r="N804">
        <v>35</v>
      </c>
      <c r="O804">
        <f t="shared" si="110"/>
        <v>35</v>
      </c>
      <c r="P804">
        <v>70000</v>
      </c>
      <c r="Q804">
        <f t="shared" si="111"/>
        <v>70000</v>
      </c>
      <c r="R804" t="str">
        <f t="shared" si="112"/>
        <v>Female</v>
      </c>
      <c r="S804" t="str">
        <f t="shared" si="113"/>
        <v>HR</v>
      </c>
      <c r="T804" t="str">
        <f t="shared" si="114"/>
        <v>Assistant</v>
      </c>
      <c r="U804" s="2">
        <v>43800</v>
      </c>
      <c r="V804" t="s">
        <v>24</v>
      </c>
      <c r="W804" t="s">
        <v>52</v>
      </c>
      <c r="X804" t="str">
        <f t="shared" si="115"/>
        <v>user@domain/com</v>
      </c>
      <c r="Y804" t="str">
        <f t="shared" si="116"/>
        <v>user@domain.com</v>
      </c>
      <c r="Z804" t="str">
        <f t="shared" si="108"/>
        <v>Phone not provided</v>
      </c>
    </row>
    <row r="805" spans="1:26" x14ac:dyDescent="0.25">
      <c r="A805" t="s">
        <v>31</v>
      </c>
      <c r="B805">
        <v>30</v>
      </c>
      <c r="C805">
        <v>65000</v>
      </c>
      <c r="D805" t="s">
        <v>32</v>
      </c>
      <c r="E805" t="s">
        <v>18</v>
      </c>
      <c r="F805" t="s">
        <v>13</v>
      </c>
      <c r="G805" s="1">
        <v>43195</v>
      </c>
      <c r="H805" t="s">
        <v>36</v>
      </c>
      <c r="I805" t="s">
        <v>51</v>
      </c>
      <c r="J805" t="s">
        <v>39</v>
      </c>
      <c r="M805" t="str">
        <f t="shared" si="109"/>
        <v>Jack</v>
      </c>
      <c r="N805">
        <v>30</v>
      </c>
      <c r="O805">
        <f t="shared" si="110"/>
        <v>30</v>
      </c>
      <c r="P805">
        <v>65000</v>
      </c>
      <c r="Q805">
        <f t="shared" si="111"/>
        <v>65000</v>
      </c>
      <c r="R805" t="str">
        <f t="shared" si="112"/>
        <v>Other</v>
      </c>
      <c r="S805" t="str">
        <f t="shared" si="113"/>
        <v>Finance</v>
      </c>
      <c r="T805" t="str">
        <f t="shared" si="114"/>
        <v>Manager</v>
      </c>
      <c r="U805" s="2">
        <v>43195</v>
      </c>
      <c r="V805" t="s">
        <v>36</v>
      </c>
      <c r="W805" t="s">
        <v>51</v>
      </c>
      <c r="X805" t="str">
        <f t="shared" si="115"/>
        <v>email@example/com</v>
      </c>
      <c r="Y805" t="str">
        <f t="shared" si="116"/>
        <v>email@example.com</v>
      </c>
      <c r="Z805" t="str">
        <f t="shared" si="108"/>
        <v>555-555-5555</v>
      </c>
    </row>
    <row r="806" spans="1:26" x14ac:dyDescent="0.25">
      <c r="A806" t="s">
        <v>43</v>
      </c>
      <c r="B806">
        <v>35</v>
      </c>
      <c r="C806">
        <v>50000</v>
      </c>
      <c r="D806" t="s">
        <v>11</v>
      </c>
      <c r="E806" t="s">
        <v>33</v>
      </c>
      <c r="F806" t="s">
        <v>19</v>
      </c>
      <c r="G806" s="2">
        <v>43881</v>
      </c>
      <c r="H806" t="s">
        <v>28</v>
      </c>
      <c r="J806" t="s">
        <v>29</v>
      </c>
      <c r="M806" t="str">
        <f t="shared" si="109"/>
        <v>Ivy</v>
      </c>
      <c r="N806">
        <v>35</v>
      </c>
      <c r="O806">
        <f t="shared" si="110"/>
        <v>35</v>
      </c>
      <c r="P806">
        <v>50000</v>
      </c>
      <c r="Q806">
        <f t="shared" si="111"/>
        <v>50000</v>
      </c>
      <c r="R806" t="str">
        <f t="shared" si="112"/>
        <v>Male</v>
      </c>
      <c r="S806" t="str">
        <f t="shared" si="113"/>
        <v>Marketing</v>
      </c>
      <c r="T806" t="str">
        <f t="shared" si="114"/>
        <v>Director</v>
      </c>
      <c r="U806" s="2">
        <v>43881</v>
      </c>
      <c r="V806" t="s">
        <v>28</v>
      </c>
      <c r="X806" t="str">
        <f t="shared" si="115"/>
        <v>Email not provided</v>
      </c>
      <c r="Y806" t="str">
        <f t="shared" si="116"/>
        <v>Email not provided</v>
      </c>
      <c r="Z806" t="str">
        <f t="shared" si="108"/>
        <v>Phone not provided</v>
      </c>
    </row>
    <row r="807" spans="1:26" x14ac:dyDescent="0.25">
      <c r="A807" t="s">
        <v>42</v>
      </c>
      <c r="B807">
        <v>50</v>
      </c>
      <c r="C807">
        <v>70000</v>
      </c>
      <c r="D807" t="s">
        <v>32</v>
      </c>
      <c r="E807" t="s">
        <v>18</v>
      </c>
      <c r="F807" t="s">
        <v>38</v>
      </c>
      <c r="G807" s="2">
        <v>43800</v>
      </c>
      <c r="H807" t="s">
        <v>20</v>
      </c>
      <c r="I807" t="s">
        <v>51</v>
      </c>
      <c r="J807" t="s">
        <v>15</v>
      </c>
      <c r="M807" t="str">
        <f t="shared" si="109"/>
        <v>Alice</v>
      </c>
      <c r="N807">
        <v>50</v>
      </c>
      <c r="O807">
        <f t="shared" si="110"/>
        <v>50</v>
      </c>
      <c r="P807">
        <v>70000</v>
      </c>
      <c r="Q807">
        <f t="shared" si="111"/>
        <v>70000</v>
      </c>
      <c r="R807" t="str">
        <f t="shared" si="112"/>
        <v>Other</v>
      </c>
      <c r="S807" t="str">
        <f t="shared" si="113"/>
        <v>Finance</v>
      </c>
      <c r="T807" t="str">
        <f t="shared" si="114"/>
        <v>Analyst</v>
      </c>
      <c r="U807" s="2">
        <v>43800</v>
      </c>
      <c r="V807" t="s">
        <v>20</v>
      </c>
      <c r="W807" t="s">
        <v>51</v>
      </c>
      <c r="X807" t="str">
        <f t="shared" si="115"/>
        <v>email@example/com</v>
      </c>
      <c r="Y807" t="str">
        <f t="shared" si="116"/>
        <v>email@example.com</v>
      </c>
      <c r="Z807" t="str">
        <f t="shared" si="108"/>
        <v>Phone not provided</v>
      </c>
    </row>
    <row r="808" spans="1:26" x14ac:dyDescent="0.25">
      <c r="A808" t="s">
        <v>16</v>
      </c>
      <c r="B808" t="s">
        <v>15</v>
      </c>
      <c r="C808">
        <v>55000</v>
      </c>
      <c r="D808" t="s">
        <v>32</v>
      </c>
      <c r="E808" t="s">
        <v>18</v>
      </c>
      <c r="F808" t="s">
        <v>37</v>
      </c>
      <c r="G808" s="1">
        <v>43195</v>
      </c>
      <c r="H808" t="s">
        <v>24</v>
      </c>
      <c r="I808" t="s">
        <v>52</v>
      </c>
      <c r="J808" t="s">
        <v>21</v>
      </c>
      <c r="M808" t="str">
        <f t="shared" si="109"/>
        <v>David</v>
      </c>
      <c r="N808" t="s">
        <v>15</v>
      </c>
      <c r="O808">
        <f t="shared" si="110"/>
        <v>35</v>
      </c>
      <c r="P808">
        <v>55000</v>
      </c>
      <c r="Q808">
        <f t="shared" si="111"/>
        <v>55000</v>
      </c>
      <c r="R808" t="str">
        <f t="shared" si="112"/>
        <v>Other</v>
      </c>
      <c r="S808" t="str">
        <f t="shared" si="113"/>
        <v>Finance</v>
      </c>
      <c r="T808" t="str">
        <f t="shared" si="114"/>
        <v>Assistant</v>
      </c>
      <c r="U808" s="2">
        <v>43195</v>
      </c>
      <c r="V808" t="s">
        <v>24</v>
      </c>
      <c r="W808" t="s">
        <v>52</v>
      </c>
      <c r="X808" t="str">
        <f t="shared" si="115"/>
        <v>user@domain/com</v>
      </c>
      <c r="Y808" t="str">
        <f t="shared" si="116"/>
        <v>user@domain.com</v>
      </c>
      <c r="Z808" t="str">
        <f t="shared" si="108"/>
        <v>123-456-7890</v>
      </c>
    </row>
    <row r="809" spans="1:26" x14ac:dyDescent="0.25">
      <c r="A809" t="s">
        <v>43</v>
      </c>
      <c r="B809">
        <v>40</v>
      </c>
      <c r="C809">
        <v>70000</v>
      </c>
      <c r="D809" t="s">
        <v>17</v>
      </c>
      <c r="E809" t="s">
        <v>23</v>
      </c>
      <c r="F809" t="s">
        <v>35</v>
      </c>
      <c r="G809" s="1">
        <v>43195</v>
      </c>
      <c r="H809" t="s">
        <v>14</v>
      </c>
      <c r="I809" t="s">
        <v>15</v>
      </c>
      <c r="J809" t="s">
        <v>15</v>
      </c>
      <c r="M809" t="str">
        <f t="shared" si="109"/>
        <v>Ivy</v>
      </c>
      <c r="N809">
        <v>40</v>
      </c>
      <c r="O809">
        <f t="shared" si="110"/>
        <v>40</v>
      </c>
      <c r="P809">
        <v>70000</v>
      </c>
      <c r="Q809">
        <f t="shared" si="111"/>
        <v>70000</v>
      </c>
      <c r="R809" t="str">
        <f t="shared" si="112"/>
        <v>Female</v>
      </c>
      <c r="S809" t="str">
        <f t="shared" si="113"/>
        <v>Sales</v>
      </c>
      <c r="T809" t="str">
        <f t="shared" si="114"/>
        <v>Clerk</v>
      </c>
      <c r="U809" s="2">
        <v>43195</v>
      </c>
      <c r="V809" t="s">
        <v>14</v>
      </c>
      <c r="W809" t="s">
        <v>15</v>
      </c>
      <c r="X809" t="str">
        <f t="shared" si="115"/>
        <v>Email not provided</v>
      </c>
      <c r="Y809" t="str">
        <f t="shared" si="116"/>
        <v>Email not provided</v>
      </c>
      <c r="Z809" t="str">
        <f t="shared" si="108"/>
        <v>Phone not provided</v>
      </c>
    </row>
    <row r="810" spans="1:26" x14ac:dyDescent="0.25">
      <c r="A810" t="s">
        <v>16</v>
      </c>
      <c r="B810">
        <v>40</v>
      </c>
      <c r="C810">
        <v>65000</v>
      </c>
      <c r="D810" t="s">
        <v>17</v>
      </c>
      <c r="E810" t="s">
        <v>18</v>
      </c>
      <c r="F810" t="s">
        <v>13</v>
      </c>
      <c r="G810" s="2">
        <v>43800</v>
      </c>
      <c r="H810" t="s">
        <v>36</v>
      </c>
      <c r="I810" t="s">
        <v>52</v>
      </c>
      <c r="J810" t="s">
        <v>39</v>
      </c>
      <c r="M810" t="str">
        <f t="shared" si="109"/>
        <v>David</v>
      </c>
      <c r="N810">
        <v>40</v>
      </c>
      <c r="O810">
        <f t="shared" si="110"/>
        <v>40</v>
      </c>
      <c r="P810">
        <v>65000</v>
      </c>
      <c r="Q810">
        <f t="shared" si="111"/>
        <v>65000</v>
      </c>
      <c r="R810" t="str">
        <f t="shared" si="112"/>
        <v>Female</v>
      </c>
      <c r="S810" t="str">
        <f t="shared" si="113"/>
        <v>Finance</v>
      </c>
      <c r="T810" t="str">
        <f t="shared" si="114"/>
        <v>Manager</v>
      </c>
      <c r="U810" s="2">
        <v>43800</v>
      </c>
      <c r="V810" t="s">
        <v>36</v>
      </c>
      <c r="W810" t="s">
        <v>52</v>
      </c>
      <c r="X810" t="str">
        <f t="shared" si="115"/>
        <v>user@domain/com</v>
      </c>
      <c r="Y810" t="str">
        <f t="shared" si="116"/>
        <v>user@domain.com</v>
      </c>
      <c r="Z810" t="str">
        <f t="shared" si="108"/>
        <v>555-555-5555</v>
      </c>
    </row>
    <row r="811" spans="1:26" x14ac:dyDescent="0.25">
      <c r="A811" t="s">
        <v>31</v>
      </c>
      <c r="B811">
        <v>40</v>
      </c>
      <c r="C811" t="s">
        <v>30</v>
      </c>
      <c r="D811" t="s">
        <v>32</v>
      </c>
      <c r="E811" t="s">
        <v>18</v>
      </c>
      <c r="F811" t="s">
        <v>38</v>
      </c>
      <c r="G811" s="2">
        <v>43881</v>
      </c>
      <c r="H811" t="s">
        <v>28</v>
      </c>
      <c r="I811" t="s">
        <v>53</v>
      </c>
      <c r="J811" t="s">
        <v>25</v>
      </c>
      <c r="M811" t="str">
        <f t="shared" si="109"/>
        <v>Jack</v>
      </c>
      <c r="N811">
        <v>40</v>
      </c>
      <c r="O811">
        <f t="shared" si="110"/>
        <v>40</v>
      </c>
      <c r="P811" t="s">
        <v>30</v>
      </c>
      <c r="Q811">
        <f t="shared" si="111"/>
        <v>60000</v>
      </c>
      <c r="R811" t="str">
        <f t="shared" si="112"/>
        <v>Other</v>
      </c>
      <c r="S811" t="str">
        <f t="shared" si="113"/>
        <v>Finance</v>
      </c>
      <c r="T811" t="str">
        <f t="shared" si="114"/>
        <v>Analyst</v>
      </c>
      <c r="U811" s="2">
        <v>43881</v>
      </c>
      <c r="V811" t="s">
        <v>28</v>
      </c>
      <c r="W811" t="s">
        <v>53</v>
      </c>
      <c r="X811" t="str">
        <f t="shared" si="115"/>
        <v>name@company/org</v>
      </c>
      <c r="Y811" t="str">
        <f t="shared" si="116"/>
        <v>name@company.org</v>
      </c>
      <c r="Z811" t="str">
        <f t="shared" si="108"/>
        <v>098-765-4321</v>
      </c>
    </row>
    <row r="812" spans="1:26" x14ac:dyDescent="0.25">
      <c r="A812" t="s">
        <v>34</v>
      </c>
      <c r="B812">
        <v>35</v>
      </c>
      <c r="C812">
        <v>55000</v>
      </c>
      <c r="D812" t="s">
        <v>11</v>
      </c>
      <c r="E812" t="s">
        <v>33</v>
      </c>
      <c r="F812" t="s">
        <v>13</v>
      </c>
      <c r="G812" s="1">
        <v>43195</v>
      </c>
      <c r="H812" t="s">
        <v>36</v>
      </c>
      <c r="I812" t="s">
        <v>53</v>
      </c>
      <c r="J812" t="s">
        <v>25</v>
      </c>
      <c r="M812" t="str">
        <f t="shared" si="109"/>
        <v>Charlie</v>
      </c>
      <c r="N812">
        <v>35</v>
      </c>
      <c r="O812">
        <f t="shared" si="110"/>
        <v>35</v>
      </c>
      <c r="P812">
        <v>55000</v>
      </c>
      <c r="Q812">
        <f t="shared" si="111"/>
        <v>55000</v>
      </c>
      <c r="R812" t="str">
        <f t="shared" si="112"/>
        <v>Male</v>
      </c>
      <c r="S812" t="str">
        <f t="shared" si="113"/>
        <v>Marketing</v>
      </c>
      <c r="T812" t="str">
        <f t="shared" si="114"/>
        <v>Manager</v>
      </c>
      <c r="U812" s="2">
        <v>43195</v>
      </c>
      <c r="V812" t="s">
        <v>36</v>
      </c>
      <c r="W812" t="s">
        <v>53</v>
      </c>
      <c r="X812" t="str">
        <f t="shared" si="115"/>
        <v>name@company/org</v>
      </c>
      <c r="Y812" t="str">
        <f t="shared" si="116"/>
        <v>name@company.org</v>
      </c>
      <c r="Z812" t="str">
        <f t="shared" si="108"/>
        <v>098-765-4321</v>
      </c>
    </row>
    <row r="813" spans="1:26" x14ac:dyDescent="0.25">
      <c r="A813" t="s">
        <v>43</v>
      </c>
      <c r="B813" t="s">
        <v>15</v>
      </c>
      <c r="C813">
        <v>65000</v>
      </c>
      <c r="D813" t="s">
        <v>32</v>
      </c>
      <c r="E813" t="s">
        <v>23</v>
      </c>
      <c r="F813" t="s">
        <v>19</v>
      </c>
      <c r="G813" s="2">
        <v>43800</v>
      </c>
      <c r="H813" t="s">
        <v>14</v>
      </c>
      <c r="I813" t="s">
        <v>53</v>
      </c>
      <c r="J813" t="s">
        <v>25</v>
      </c>
      <c r="M813" t="str">
        <f t="shared" si="109"/>
        <v>Ivy</v>
      </c>
      <c r="N813" t="s">
        <v>15</v>
      </c>
      <c r="O813">
        <f t="shared" si="110"/>
        <v>35</v>
      </c>
      <c r="P813">
        <v>65000</v>
      </c>
      <c r="Q813">
        <f t="shared" si="111"/>
        <v>65000</v>
      </c>
      <c r="R813" t="str">
        <f t="shared" si="112"/>
        <v>Other</v>
      </c>
      <c r="S813" t="str">
        <f t="shared" si="113"/>
        <v>Sales</v>
      </c>
      <c r="T813" t="str">
        <f t="shared" si="114"/>
        <v>Director</v>
      </c>
      <c r="U813" s="2">
        <v>43800</v>
      </c>
      <c r="V813" t="s">
        <v>14</v>
      </c>
      <c r="W813" t="s">
        <v>53</v>
      </c>
      <c r="X813" t="str">
        <f t="shared" si="115"/>
        <v>name@company/org</v>
      </c>
      <c r="Y813" t="str">
        <f t="shared" si="116"/>
        <v>name@company.org</v>
      </c>
      <c r="Z813" t="str">
        <f t="shared" si="108"/>
        <v>098-765-4321</v>
      </c>
    </row>
    <row r="814" spans="1:26" x14ac:dyDescent="0.25">
      <c r="A814" t="s">
        <v>41</v>
      </c>
      <c r="B814">
        <v>30</v>
      </c>
      <c r="C814" t="s">
        <v>30</v>
      </c>
      <c r="D814" t="s">
        <v>11</v>
      </c>
      <c r="E814" t="s">
        <v>18</v>
      </c>
      <c r="F814" t="s">
        <v>35</v>
      </c>
      <c r="G814" s="2">
        <v>43881</v>
      </c>
      <c r="H814" t="s">
        <v>28</v>
      </c>
      <c r="I814" t="s">
        <v>53</v>
      </c>
      <c r="J814" t="s">
        <v>21</v>
      </c>
      <c r="M814" t="str">
        <f t="shared" si="109"/>
        <v>Bob</v>
      </c>
      <c r="N814">
        <v>30</v>
      </c>
      <c r="O814">
        <f t="shared" si="110"/>
        <v>30</v>
      </c>
      <c r="P814" t="s">
        <v>30</v>
      </c>
      <c r="Q814">
        <f t="shared" si="111"/>
        <v>60000</v>
      </c>
      <c r="R814" t="str">
        <f t="shared" si="112"/>
        <v>Male</v>
      </c>
      <c r="S814" t="str">
        <f t="shared" si="113"/>
        <v>Finance</v>
      </c>
      <c r="T814" t="str">
        <f t="shared" si="114"/>
        <v>Clerk</v>
      </c>
      <c r="U814" s="2">
        <v>43881</v>
      </c>
      <c r="V814" t="s">
        <v>28</v>
      </c>
      <c r="W814" t="s">
        <v>53</v>
      </c>
      <c r="X814" t="str">
        <f t="shared" si="115"/>
        <v>name@company/org</v>
      </c>
      <c r="Y814" t="str">
        <f t="shared" si="116"/>
        <v>name@company.org</v>
      </c>
      <c r="Z814" t="str">
        <f t="shared" si="108"/>
        <v>123-456-7890</v>
      </c>
    </row>
    <row r="815" spans="1:26" x14ac:dyDescent="0.25">
      <c r="A815" t="s">
        <v>16</v>
      </c>
      <c r="B815">
        <v>50</v>
      </c>
      <c r="C815">
        <v>55000</v>
      </c>
      <c r="D815" t="s">
        <v>11</v>
      </c>
      <c r="E815" t="s">
        <v>27</v>
      </c>
      <c r="F815" t="s">
        <v>13</v>
      </c>
      <c r="G815" s="2">
        <v>43800</v>
      </c>
      <c r="H815" t="s">
        <v>14</v>
      </c>
      <c r="J815" t="s">
        <v>39</v>
      </c>
      <c r="M815" t="str">
        <f t="shared" si="109"/>
        <v>David</v>
      </c>
      <c r="N815">
        <v>50</v>
      </c>
      <c r="O815">
        <f t="shared" si="110"/>
        <v>50</v>
      </c>
      <c r="P815">
        <v>55000</v>
      </c>
      <c r="Q815">
        <f t="shared" si="111"/>
        <v>55000</v>
      </c>
      <c r="R815" t="str">
        <f t="shared" si="112"/>
        <v>Male</v>
      </c>
      <c r="S815" t="str">
        <f t="shared" si="113"/>
        <v>IT</v>
      </c>
      <c r="T815" t="str">
        <f t="shared" si="114"/>
        <v>Manager</v>
      </c>
      <c r="U815" s="2">
        <v>43800</v>
      </c>
      <c r="V815" t="s">
        <v>14</v>
      </c>
      <c r="X815" t="str">
        <f t="shared" si="115"/>
        <v>Email not provided</v>
      </c>
      <c r="Y815" t="str">
        <f t="shared" si="116"/>
        <v>Email not provided</v>
      </c>
      <c r="Z815" t="str">
        <f t="shared" si="108"/>
        <v>555-555-5555</v>
      </c>
    </row>
    <row r="816" spans="1:26" x14ac:dyDescent="0.25">
      <c r="A816" t="s">
        <v>40</v>
      </c>
      <c r="B816">
        <v>30</v>
      </c>
      <c r="C816">
        <v>60000</v>
      </c>
      <c r="D816" t="s">
        <v>17</v>
      </c>
      <c r="E816" t="s">
        <v>12</v>
      </c>
      <c r="F816" t="s">
        <v>37</v>
      </c>
      <c r="G816" s="2">
        <v>43800</v>
      </c>
      <c r="H816" t="s">
        <v>36</v>
      </c>
      <c r="I816" t="s">
        <v>15</v>
      </c>
      <c r="J816" t="s">
        <v>29</v>
      </c>
      <c r="M816" t="str">
        <f t="shared" si="109"/>
        <v>Frank</v>
      </c>
      <c r="N816">
        <v>30</v>
      </c>
      <c r="O816">
        <f t="shared" si="110"/>
        <v>30</v>
      </c>
      <c r="P816">
        <v>60000</v>
      </c>
      <c r="Q816">
        <f t="shared" si="111"/>
        <v>60000</v>
      </c>
      <c r="R816" t="str">
        <f t="shared" si="112"/>
        <v>Female</v>
      </c>
      <c r="S816" t="str">
        <f t="shared" si="113"/>
        <v>HR</v>
      </c>
      <c r="T816" t="str">
        <f t="shared" si="114"/>
        <v>Assistant</v>
      </c>
      <c r="U816" s="2">
        <v>43800</v>
      </c>
      <c r="V816" t="s">
        <v>36</v>
      </c>
      <c r="W816" t="s">
        <v>15</v>
      </c>
      <c r="X816" t="str">
        <f t="shared" si="115"/>
        <v>Email not provided</v>
      </c>
      <c r="Y816" t="str">
        <f t="shared" si="116"/>
        <v>Email not provided</v>
      </c>
      <c r="Z816" t="str">
        <f t="shared" si="108"/>
        <v>Phone not provided</v>
      </c>
    </row>
    <row r="817" spans="1:26" x14ac:dyDescent="0.25">
      <c r="A817" t="s">
        <v>41</v>
      </c>
      <c r="B817">
        <v>35</v>
      </c>
      <c r="C817">
        <v>50000</v>
      </c>
      <c r="D817" t="s">
        <v>11</v>
      </c>
      <c r="E817" t="s">
        <v>33</v>
      </c>
      <c r="F817" t="s">
        <v>35</v>
      </c>
      <c r="G817" s="1">
        <v>43195</v>
      </c>
      <c r="H817" t="s">
        <v>24</v>
      </c>
      <c r="I817" t="s">
        <v>15</v>
      </c>
      <c r="J817" t="s">
        <v>25</v>
      </c>
      <c r="M817" t="str">
        <f t="shared" si="109"/>
        <v>Bob</v>
      </c>
      <c r="N817">
        <v>35</v>
      </c>
      <c r="O817">
        <f t="shared" si="110"/>
        <v>35</v>
      </c>
      <c r="P817">
        <v>50000</v>
      </c>
      <c r="Q817">
        <f t="shared" si="111"/>
        <v>50000</v>
      </c>
      <c r="R817" t="str">
        <f t="shared" si="112"/>
        <v>Male</v>
      </c>
      <c r="S817" t="str">
        <f t="shared" si="113"/>
        <v>Marketing</v>
      </c>
      <c r="T817" t="str">
        <f t="shared" si="114"/>
        <v>Clerk</v>
      </c>
      <c r="U817" s="2">
        <v>43195</v>
      </c>
      <c r="V817" t="s">
        <v>24</v>
      </c>
      <c r="W817" t="s">
        <v>15</v>
      </c>
      <c r="X817" t="str">
        <f t="shared" si="115"/>
        <v>Email not provided</v>
      </c>
      <c r="Y817" t="str">
        <f t="shared" si="116"/>
        <v>Email not provided</v>
      </c>
      <c r="Z817" t="str">
        <f t="shared" si="108"/>
        <v>098-765-4321</v>
      </c>
    </row>
    <row r="818" spans="1:26" x14ac:dyDescent="0.25">
      <c r="A818" t="s">
        <v>22</v>
      </c>
      <c r="B818">
        <v>50</v>
      </c>
      <c r="C818">
        <v>50000</v>
      </c>
      <c r="D818" t="s">
        <v>11</v>
      </c>
      <c r="E818" t="s">
        <v>18</v>
      </c>
      <c r="F818" t="s">
        <v>37</v>
      </c>
      <c r="G818" s="2">
        <v>43881</v>
      </c>
      <c r="H818" t="s">
        <v>36</v>
      </c>
      <c r="I818" t="s">
        <v>52</v>
      </c>
      <c r="J818" t="s">
        <v>39</v>
      </c>
      <c r="M818" t="str">
        <f t="shared" si="109"/>
        <v>Hannah</v>
      </c>
      <c r="N818">
        <v>50</v>
      </c>
      <c r="O818">
        <f t="shared" si="110"/>
        <v>50</v>
      </c>
      <c r="P818">
        <v>50000</v>
      </c>
      <c r="Q818">
        <f t="shared" si="111"/>
        <v>50000</v>
      </c>
      <c r="R818" t="str">
        <f t="shared" si="112"/>
        <v>Male</v>
      </c>
      <c r="S818" t="str">
        <f t="shared" si="113"/>
        <v>Finance</v>
      </c>
      <c r="T818" t="str">
        <f t="shared" si="114"/>
        <v>Assistant</v>
      </c>
      <c r="U818" s="2">
        <v>43881</v>
      </c>
      <c r="V818" t="s">
        <v>36</v>
      </c>
      <c r="W818" t="s">
        <v>52</v>
      </c>
      <c r="X818" t="str">
        <f t="shared" si="115"/>
        <v>user@domain/com</v>
      </c>
      <c r="Y818" t="str">
        <f t="shared" si="116"/>
        <v>user@domain.com</v>
      </c>
      <c r="Z818" t="str">
        <f t="shared" si="108"/>
        <v>555-555-5555</v>
      </c>
    </row>
    <row r="819" spans="1:26" x14ac:dyDescent="0.25">
      <c r="A819" t="s">
        <v>22</v>
      </c>
      <c r="B819">
        <v>40</v>
      </c>
      <c r="C819">
        <v>65000</v>
      </c>
      <c r="D819" t="s">
        <v>32</v>
      </c>
      <c r="E819" t="s">
        <v>27</v>
      </c>
      <c r="F819" t="s">
        <v>13</v>
      </c>
      <c r="G819" s="1">
        <v>43195</v>
      </c>
      <c r="H819" t="s">
        <v>36</v>
      </c>
      <c r="I819" t="s">
        <v>51</v>
      </c>
      <c r="J819" t="s">
        <v>15</v>
      </c>
      <c r="M819" t="str">
        <f t="shared" si="109"/>
        <v>Hannah</v>
      </c>
      <c r="N819">
        <v>40</v>
      </c>
      <c r="O819">
        <f t="shared" si="110"/>
        <v>40</v>
      </c>
      <c r="P819">
        <v>65000</v>
      </c>
      <c r="Q819">
        <f t="shared" si="111"/>
        <v>65000</v>
      </c>
      <c r="R819" t="str">
        <f t="shared" si="112"/>
        <v>Other</v>
      </c>
      <c r="S819" t="str">
        <f t="shared" si="113"/>
        <v>IT</v>
      </c>
      <c r="T819" t="str">
        <f t="shared" si="114"/>
        <v>Manager</v>
      </c>
      <c r="U819" s="2">
        <v>43195</v>
      </c>
      <c r="V819" t="s">
        <v>36</v>
      </c>
      <c r="W819" t="s">
        <v>51</v>
      </c>
      <c r="X819" t="str">
        <f t="shared" si="115"/>
        <v>email@example/com</v>
      </c>
      <c r="Y819" t="str">
        <f t="shared" si="116"/>
        <v>email@example.com</v>
      </c>
      <c r="Z819" t="str">
        <f t="shared" si="108"/>
        <v>Phone not provided</v>
      </c>
    </row>
    <row r="820" spans="1:26" x14ac:dyDescent="0.25">
      <c r="A820" t="s">
        <v>42</v>
      </c>
      <c r="B820">
        <v>25</v>
      </c>
      <c r="C820" t="s">
        <v>30</v>
      </c>
      <c r="D820" t="s">
        <v>17</v>
      </c>
      <c r="E820" t="s">
        <v>18</v>
      </c>
      <c r="F820" t="s">
        <v>35</v>
      </c>
      <c r="G820" s="2">
        <v>43845</v>
      </c>
      <c r="H820" t="s">
        <v>36</v>
      </c>
      <c r="I820" t="s">
        <v>52</v>
      </c>
      <c r="J820" t="s">
        <v>21</v>
      </c>
      <c r="M820" t="str">
        <f t="shared" si="109"/>
        <v>Alice</v>
      </c>
      <c r="N820">
        <v>25</v>
      </c>
      <c r="O820">
        <f t="shared" si="110"/>
        <v>25</v>
      </c>
      <c r="P820" t="s">
        <v>30</v>
      </c>
      <c r="Q820">
        <f t="shared" si="111"/>
        <v>60000</v>
      </c>
      <c r="R820" t="str">
        <f t="shared" si="112"/>
        <v>Female</v>
      </c>
      <c r="S820" t="str">
        <f t="shared" si="113"/>
        <v>Finance</v>
      </c>
      <c r="T820" t="str">
        <f t="shared" si="114"/>
        <v>Clerk</v>
      </c>
      <c r="U820" s="2">
        <v>43845</v>
      </c>
      <c r="V820" t="s">
        <v>36</v>
      </c>
      <c r="W820" t="s">
        <v>52</v>
      </c>
      <c r="X820" t="str">
        <f t="shared" si="115"/>
        <v>user@domain/com</v>
      </c>
      <c r="Y820" t="str">
        <f t="shared" si="116"/>
        <v>user@domain.com</v>
      </c>
      <c r="Z820" t="str">
        <f t="shared" si="108"/>
        <v>123-456-7890</v>
      </c>
    </row>
    <row r="821" spans="1:26" x14ac:dyDescent="0.25">
      <c r="A821" t="s">
        <v>34</v>
      </c>
      <c r="B821">
        <v>35</v>
      </c>
      <c r="C821">
        <v>50000</v>
      </c>
      <c r="D821" t="s">
        <v>11</v>
      </c>
      <c r="E821" t="s">
        <v>18</v>
      </c>
      <c r="F821" t="s">
        <v>37</v>
      </c>
      <c r="G821" s="2">
        <v>43845</v>
      </c>
      <c r="H821" t="s">
        <v>20</v>
      </c>
      <c r="I821" t="s">
        <v>52</v>
      </c>
      <c r="J821" t="s">
        <v>39</v>
      </c>
      <c r="M821" t="str">
        <f t="shared" si="109"/>
        <v>Charlie</v>
      </c>
      <c r="N821">
        <v>35</v>
      </c>
      <c r="O821">
        <f t="shared" si="110"/>
        <v>35</v>
      </c>
      <c r="P821">
        <v>50000</v>
      </c>
      <c r="Q821">
        <f t="shared" si="111"/>
        <v>50000</v>
      </c>
      <c r="R821" t="str">
        <f t="shared" si="112"/>
        <v>Male</v>
      </c>
      <c r="S821" t="str">
        <f t="shared" si="113"/>
        <v>Finance</v>
      </c>
      <c r="T821" t="str">
        <f t="shared" si="114"/>
        <v>Assistant</v>
      </c>
      <c r="U821" s="2">
        <v>43845</v>
      </c>
      <c r="V821" t="s">
        <v>20</v>
      </c>
      <c r="W821" t="s">
        <v>52</v>
      </c>
      <c r="X821" t="str">
        <f t="shared" si="115"/>
        <v>user@domain/com</v>
      </c>
      <c r="Y821" t="str">
        <f t="shared" si="116"/>
        <v>user@domain.com</v>
      </c>
      <c r="Z821" t="str">
        <f t="shared" si="108"/>
        <v>555-555-5555</v>
      </c>
    </row>
    <row r="822" spans="1:26" x14ac:dyDescent="0.25">
      <c r="A822" t="s">
        <v>31</v>
      </c>
      <c r="B822">
        <v>35</v>
      </c>
      <c r="C822" t="s">
        <v>30</v>
      </c>
      <c r="D822" t="s">
        <v>11</v>
      </c>
      <c r="E822" t="s">
        <v>23</v>
      </c>
      <c r="F822" t="s">
        <v>19</v>
      </c>
      <c r="G822" s="2">
        <v>43881</v>
      </c>
      <c r="H822" t="s">
        <v>14</v>
      </c>
      <c r="I822" t="s">
        <v>52</v>
      </c>
      <c r="J822" t="s">
        <v>39</v>
      </c>
      <c r="M822" t="str">
        <f t="shared" si="109"/>
        <v>Jack</v>
      </c>
      <c r="N822">
        <v>35</v>
      </c>
      <c r="O822">
        <f t="shared" si="110"/>
        <v>35</v>
      </c>
      <c r="P822" t="s">
        <v>30</v>
      </c>
      <c r="Q822">
        <f t="shared" si="111"/>
        <v>60000</v>
      </c>
      <c r="R822" t="str">
        <f t="shared" si="112"/>
        <v>Male</v>
      </c>
      <c r="S822" t="str">
        <f t="shared" si="113"/>
        <v>Sales</v>
      </c>
      <c r="T822" t="str">
        <f t="shared" si="114"/>
        <v>Director</v>
      </c>
      <c r="U822" s="2">
        <v>43881</v>
      </c>
      <c r="V822" t="s">
        <v>14</v>
      </c>
      <c r="W822" t="s">
        <v>52</v>
      </c>
      <c r="X822" t="str">
        <f t="shared" si="115"/>
        <v>user@domain/com</v>
      </c>
      <c r="Y822" t="str">
        <f t="shared" si="116"/>
        <v>user@domain.com</v>
      </c>
      <c r="Z822" t="str">
        <f t="shared" si="108"/>
        <v>555-555-5555</v>
      </c>
    </row>
    <row r="823" spans="1:26" x14ac:dyDescent="0.25">
      <c r="A823" t="s">
        <v>43</v>
      </c>
      <c r="B823" t="s">
        <v>15</v>
      </c>
      <c r="C823" t="s">
        <v>30</v>
      </c>
      <c r="D823" t="s">
        <v>17</v>
      </c>
      <c r="E823" t="s">
        <v>23</v>
      </c>
      <c r="F823" t="s">
        <v>19</v>
      </c>
      <c r="G823" s="2">
        <v>43800</v>
      </c>
      <c r="H823" t="s">
        <v>14</v>
      </c>
      <c r="I823" t="s">
        <v>52</v>
      </c>
      <c r="J823" t="s">
        <v>29</v>
      </c>
      <c r="M823" t="str">
        <f t="shared" si="109"/>
        <v>Ivy</v>
      </c>
      <c r="N823" t="s">
        <v>15</v>
      </c>
      <c r="O823">
        <f t="shared" si="110"/>
        <v>35</v>
      </c>
      <c r="P823" t="s">
        <v>30</v>
      </c>
      <c r="Q823">
        <f t="shared" si="111"/>
        <v>60000</v>
      </c>
      <c r="R823" t="str">
        <f t="shared" si="112"/>
        <v>Female</v>
      </c>
      <c r="S823" t="str">
        <f t="shared" si="113"/>
        <v>Sales</v>
      </c>
      <c r="T823" t="str">
        <f t="shared" si="114"/>
        <v>Director</v>
      </c>
      <c r="U823" s="2">
        <v>43800</v>
      </c>
      <c r="V823" t="s">
        <v>14</v>
      </c>
      <c r="W823" t="s">
        <v>52</v>
      </c>
      <c r="X823" t="str">
        <f t="shared" si="115"/>
        <v>user@domain/com</v>
      </c>
      <c r="Y823" t="str">
        <f t="shared" si="116"/>
        <v>user@domain.com</v>
      </c>
      <c r="Z823" t="str">
        <f t="shared" si="108"/>
        <v>Phone not provided</v>
      </c>
    </row>
    <row r="824" spans="1:26" x14ac:dyDescent="0.25">
      <c r="A824" t="s">
        <v>26</v>
      </c>
      <c r="B824">
        <v>30</v>
      </c>
      <c r="C824">
        <v>65000</v>
      </c>
      <c r="D824" t="s">
        <v>32</v>
      </c>
      <c r="E824" t="s">
        <v>23</v>
      </c>
      <c r="F824" t="s">
        <v>13</v>
      </c>
      <c r="G824" s="1">
        <v>43195</v>
      </c>
      <c r="H824" t="s">
        <v>14</v>
      </c>
      <c r="I824" t="s">
        <v>15</v>
      </c>
      <c r="J824" t="s">
        <v>39</v>
      </c>
      <c r="M824" t="str">
        <f t="shared" si="109"/>
        <v>Eve</v>
      </c>
      <c r="N824">
        <v>30</v>
      </c>
      <c r="O824">
        <f t="shared" si="110"/>
        <v>30</v>
      </c>
      <c r="P824">
        <v>65000</v>
      </c>
      <c r="Q824">
        <f t="shared" si="111"/>
        <v>65000</v>
      </c>
      <c r="R824" t="str">
        <f t="shared" si="112"/>
        <v>Other</v>
      </c>
      <c r="S824" t="str">
        <f t="shared" si="113"/>
        <v>Sales</v>
      </c>
      <c r="T824" t="str">
        <f t="shared" si="114"/>
        <v>Manager</v>
      </c>
      <c r="U824" s="2">
        <v>43195</v>
      </c>
      <c r="V824" t="s">
        <v>14</v>
      </c>
      <c r="W824" t="s">
        <v>15</v>
      </c>
      <c r="X824" t="str">
        <f t="shared" si="115"/>
        <v>Email not provided</v>
      </c>
      <c r="Y824" t="str">
        <f t="shared" si="116"/>
        <v>Email not provided</v>
      </c>
      <c r="Z824" t="str">
        <f t="shared" si="108"/>
        <v>555-555-5555</v>
      </c>
    </row>
    <row r="825" spans="1:26" x14ac:dyDescent="0.25">
      <c r="A825" t="s">
        <v>40</v>
      </c>
      <c r="B825">
        <v>35</v>
      </c>
      <c r="C825">
        <v>65000</v>
      </c>
      <c r="D825" t="s">
        <v>17</v>
      </c>
      <c r="E825" t="s">
        <v>27</v>
      </c>
      <c r="F825" t="s">
        <v>35</v>
      </c>
      <c r="G825" s="1">
        <v>43195</v>
      </c>
      <c r="H825" t="s">
        <v>20</v>
      </c>
      <c r="I825" t="s">
        <v>51</v>
      </c>
      <c r="J825" t="s">
        <v>29</v>
      </c>
      <c r="M825" t="str">
        <f t="shared" si="109"/>
        <v>Frank</v>
      </c>
      <c r="N825">
        <v>35</v>
      </c>
      <c r="O825">
        <f t="shared" si="110"/>
        <v>35</v>
      </c>
      <c r="P825">
        <v>65000</v>
      </c>
      <c r="Q825">
        <f t="shared" si="111"/>
        <v>65000</v>
      </c>
      <c r="R825" t="str">
        <f t="shared" si="112"/>
        <v>Female</v>
      </c>
      <c r="S825" t="str">
        <f t="shared" si="113"/>
        <v>IT</v>
      </c>
      <c r="T825" t="str">
        <f t="shared" si="114"/>
        <v>Clerk</v>
      </c>
      <c r="U825" s="2">
        <v>43195</v>
      </c>
      <c r="V825" t="s">
        <v>20</v>
      </c>
      <c r="W825" t="s">
        <v>51</v>
      </c>
      <c r="X825" t="str">
        <f t="shared" si="115"/>
        <v>email@example/com</v>
      </c>
      <c r="Y825" t="str">
        <f t="shared" si="116"/>
        <v>email@example.com</v>
      </c>
      <c r="Z825" t="str">
        <f t="shared" si="108"/>
        <v>Phone not provided</v>
      </c>
    </row>
    <row r="826" spans="1:26" x14ac:dyDescent="0.25">
      <c r="A826" t="s">
        <v>16</v>
      </c>
      <c r="B826">
        <v>35</v>
      </c>
      <c r="C826">
        <v>65000</v>
      </c>
      <c r="D826" t="s">
        <v>17</v>
      </c>
      <c r="E826" t="s">
        <v>18</v>
      </c>
      <c r="F826" t="s">
        <v>38</v>
      </c>
      <c r="G826" s="2">
        <v>43881</v>
      </c>
      <c r="H826" t="s">
        <v>24</v>
      </c>
      <c r="I826" t="s">
        <v>52</v>
      </c>
      <c r="J826" t="s">
        <v>21</v>
      </c>
      <c r="M826" t="str">
        <f t="shared" si="109"/>
        <v>David</v>
      </c>
      <c r="N826">
        <v>35</v>
      </c>
      <c r="O826">
        <f t="shared" si="110"/>
        <v>35</v>
      </c>
      <c r="P826">
        <v>65000</v>
      </c>
      <c r="Q826">
        <f t="shared" si="111"/>
        <v>65000</v>
      </c>
      <c r="R826" t="str">
        <f t="shared" si="112"/>
        <v>Female</v>
      </c>
      <c r="S826" t="str">
        <f t="shared" si="113"/>
        <v>Finance</v>
      </c>
      <c r="T826" t="str">
        <f t="shared" si="114"/>
        <v>Analyst</v>
      </c>
      <c r="U826" s="2">
        <v>43881</v>
      </c>
      <c r="V826" t="s">
        <v>24</v>
      </c>
      <c r="W826" t="s">
        <v>52</v>
      </c>
      <c r="X826" t="str">
        <f t="shared" si="115"/>
        <v>user@domain/com</v>
      </c>
      <c r="Y826" t="str">
        <f t="shared" si="116"/>
        <v>user@domain.com</v>
      </c>
      <c r="Z826" t="str">
        <f t="shared" si="108"/>
        <v>123-456-7890</v>
      </c>
    </row>
    <row r="827" spans="1:26" x14ac:dyDescent="0.25">
      <c r="A827" t="s">
        <v>31</v>
      </c>
      <c r="B827">
        <v>40</v>
      </c>
      <c r="C827">
        <v>50000</v>
      </c>
      <c r="D827" t="s">
        <v>11</v>
      </c>
      <c r="E827" t="s">
        <v>12</v>
      </c>
      <c r="F827" t="s">
        <v>35</v>
      </c>
      <c r="G827" s="2">
        <v>43881</v>
      </c>
      <c r="H827" t="s">
        <v>36</v>
      </c>
      <c r="I827" t="s">
        <v>15</v>
      </c>
      <c r="J827" t="s">
        <v>21</v>
      </c>
      <c r="M827" t="str">
        <f t="shared" si="109"/>
        <v>Jack</v>
      </c>
      <c r="N827">
        <v>40</v>
      </c>
      <c r="O827">
        <f t="shared" si="110"/>
        <v>40</v>
      </c>
      <c r="P827">
        <v>50000</v>
      </c>
      <c r="Q827">
        <f t="shared" si="111"/>
        <v>50000</v>
      </c>
      <c r="R827" t="str">
        <f t="shared" si="112"/>
        <v>Male</v>
      </c>
      <c r="S827" t="str">
        <f t="shared" si="113"/>
        <v>HR</v>
      </c>
      <c r="T827" t="str">
        <f t="shared" si="114"/>
        <v>Clerk</v>
      </c>
      <c r="U827" s="2">
        <v>43881</v>
      </c>
      <c r="V827" t="s">
        <v>36</v>
      </c>
      <c r="W827" t="s">
        <v>15</v>
      </c>
      <c r="X827" t="str">
        <f t="shared" si="115"/>
        <v>Email not provided</v>
      </c>
      <c r="Y827" t="str">
        <f t="shared" si="116"/>
        <v>Email not provided</v>
      </c>
      <c r="Z827" t="str">
        <f t="shared" si="108"/>
        <v>123-456-7890</v>
      </c>
    </row>
    <row r="828" spans="1:26" x14ac:dyDescent="0.25">
      <c r="A828" t="s">
        <v>41</v>
      </c>
      <c r="B828">
        <v>40</v>
      </c>
      <c r="C828">
        <v>65000</v>
      </c>
      <c r="D828" t="s">
        <v>11</v>
      </c>
      <c r="E828" t="s">
        <v>33</v>
      </c>
      <c r="F828" t="s">
        <v>19</v>
      </c>
      <c r="G828" s="2">
        <v>43845</v>
      </c>
      <c r="H828" t="s">
        <v>24</v>
      </c>
      <c r="I828" t="s">
        <v>52</v>
      </c>
      <c r="J828" t="s">
        <v>15</v>
      </c>
      <c r="M828" t="str">
        <f t="shared" si="109"/>
        <v>Bob</v>
      </c>
      <c r="N828">
        <v>40</v>
      </c>
      <c r="O828">
        <f t="shared" si="110"/>
        <v>40</v>
      </c>
      <c r="P828">
        <v>65000</v>
      </c>
      <c r="Q828">
        <f t="shared" si="111"/>
        <v>65000</v>
      </c>
      <c r="R828" t="str">
        <f t="shared" si="112"/>
        <v>Male</v>
      </c>
      <c r="S828" t="str">
        <f t="shared" si="113"/>
        <v>Marketing</v>
      </c>
      <c r="T828" t="str">
        <f t="shared" si="114"/>
        <v>Director</v>
      </c>
      <c r="U828" s="2">
        <v>43845</v>
      </c>
      <c r="V828" t="s">
        <v>24</v>
      </c>
      <c r="W828" t="s">
        <v>52</v>
      </c>
      <c r="X828" t="str">
        <f t="shared" si="115"/>
        <v>user@domain/com</v>
      </c>
      <c r="Y828" t="str">
        <f t="shared" si="116"/>
        <v>user@domain.com</v>
      </c>
      <c r="Z828" t="str">
        <f t="shared" si="108"/>
        <v>Phone not provided</v>
      </c>
    </row>
    <row r="829" spans="1:26" x14ac:dyDescent="0.25">
      <c r="A829" t="s">
        <v>22</v>
      </c>
      <c r="B829">
        <v>50</v>
      </c>
      <c r="C829">
        <v>50000</v>
      </c>
      <c r="D829" t="s">
        <v>32</v>
      </c>
      <c r="E829" t="s">
        <v>23</v>
      </c>
      <c r="F829" t="s">
        <v>37</v>
      </c>
      <c r="G829" s="2">
        <v>43549</v>
      </c>
      <c r="H829" t="s">
        <v>20</v>
      </c>
      <c r="I829" t="s">
        <v>53</v>
      </c>
      <c r="J829" t="s">
        <v>29</v>
      </c>
      <c r="M829" t="str">
        <f t="shared" si="109"/>
        <v>Hannah</v>
      </c>
      <c r="N829">
        <v>50</v>
      </c>
      <c r="O829">
        <f t="shared" si="110"/>
        <v>50</v>
      </c>
      <c r="P829">
        <v>50000</v>
      </c>
      <c r="Q829">
        <f t="shared" si="111"/>
        <v>50000</v>
      </c>
      <c r="R829" t="str">
        <f t="shared" si="112"/>
        <v>Other</v>
      </c>
      <c r="S829" t="str">
        <f t="shared" si="113"/>
        <v>Sales</v>
      </c>
      <c r="T829" t="str">
        <f t="shared" si="114"/>
        <v>Assistant</v>
      </c>
      <c r="U829" s="2">
        <v>43549</v>
      </c>
      <c r="V829" t="s">
        <v>20</v>
      </c>
      <c r="W829" t="s">
        <v>53</v>
      </c>
      <c r="X829" t="str">
        <f t="shared" si="115"/>
        <v>name@company/org</v>
      </c>
      <c r="Y829" t="str">
        <f t="shared" si="116"/>
        <v>name@company.org</v>
      </c>
      <c r="Z829" t="str">
        <f t="shared" si="108"/>
        <v>Phone not provided</v>
      </c>
    </row>
    <row r="830" spans="1:26" x14ac:dyDescent="0.25">
      <c r="A830" t="s">
        <v>40</v>
      </c>
      <c r="B830">
        <v>25</v>
      </c>
      <c r="C830">
        <v>65000</v>
      </c>
      <c r="D830" t="s">
        <v>11</v>
      </c>
      <c r="E830" t="s">
        <v>23</v>
      </c>
      <c r="F830" t="s">
        <v>38</v>
      </c>
      <c r="G830" s="2">
        <v>43881</v>
      </c>
      <c r="H830" t="s">
        <v>14</v>
      </c>
      <c r="I830" t="s">
        <v>52</v>
      </c>
      <c r="J830" t="s">
        <v>29</v>
      </c>
      <c r="M830" t="str">
        <f t="shared" si="109"/>
        <v>Frank</v>
      </c>
      <c r="N830">
        <v>25</v>
      </c>
      <c r="O830">
        <f t="shared" si="110"/>
        <v>25</v>
      </c>
      <c r="P830">
        <v>65000</v>
      </c>
      <c r="Q830">
        <f t="shared" si="111"/>
        <v>65000</v>
      </c>
      <c r="R830" t="str">
        <f t="shared" si="112"/>
        <v>Male</v>
      </c>
      <c r="S830" t="str">
        <f t="shared" si="113"/>
        <v>Sales</v>
      </c>
      <c r="T830" t="str">
        <f t="shared" si="114"/>
        <v>Analyst</v>
      </c>
      <c r="U830" s="2">
        <v>43881</v>
      </c>
      <c r="V830" t="s">
        <v>14</v>
      </c>
      <c r="W830" t="s">
        <v>52</v>
      </c>
      <c r="X830" t="str">
        <f t="shared" si="115"/>
        <v>user@domain/com</v>
      </c>
      <c r="Y830" t="str">
        <f t="shared" si="116"/>
        <v>user@domain.com</v>
      </c>
      <c r="Z830" t="str">
        <f t="shared" si="108"/>
        <v>Phone not provided</v>
      </c>
    </row>
    <row r="831" spans="1:26" x14ac:dyDescent="0.25">
      <c r="A831" t="s">
        <v>26</v>
      </c>
      <c r="B831" t="s">
        <v>15</v>
      </c>
      <c r="C831">
        <v>70000</v>
      </c>
      <c r="D831" t="s">
        <v>11</v>
      </c>
      <c r="E831" t="s">
        <v>18</v>
      </c>
      <c r="F831" t="s">
        <v>13</v>
      </c>
      <c r="G831" s="2">
        <v>43549</v>
      </c>
      <c r="H831" t="s">
        <v>36</v>
      </c>
      <c r="I831" t="s">
        <v>52</v>
      </c>
      <c r="J831" t="s">
        <v>25</v>
      </c>
      <c r="M831" t="str">
        <f t="shared" si="109"/>
        <v>Eve</v>
      </c>
      <c r="N831" t="s">
        <v>15</v>
      </c>
      <c r="O831">
        <f t="shared" si="110"/>
        <v>35</v>
      </c>
      <c r="P831">
        <v>70000</v>
      </c>
      <c r="Q831">
        <f t="shared" si="111"/>
        <v>70000</v>
      </c>
      <c r="R831" t="str">
        <f t="shared" si="112"/>
        <v>Male</v>
      </c>
      <c r="S831" t="str">
        <f t="shared" si="113"/>
        <v>Finance</v>
      </c>
      <c r="T831" t="str">
        <f t="shared" si="114"/>
        <v>Manager</v>
      </c>
      <c r="U831" s="2">
        <v>43549</v>
      </c>
      <c r="V831" t="s">
        <v>36</v>
      </c>
      <c r="W831" t="s">
        <v>52</v>
      </c>
      <c r="X831" t="str">
        <f t="shared" si="115"/>
        <v>user@domain/com</v>
      </c>
      <c r="Y831" t="str">
        <f t="shared" si="116"/>
        <v>user@domain.com</v>
      </c>
      <c r="Z831" t="str">
        <f t="shared" si="108"/>
        <v>098-765-4321</v>
      </c>
    </row>
    <row r="832" spans="1:26" x14ac:dyDescent="0.25">
      <c r="A832" t="s">
        <v>43</v>
      </c>
      <c r="B832">
        <v>25</v>
      </c>
      <c r="C832" t="s">
        <v>30</v>
      </c>
      <c r="D832" t="s">
        <v>17</v>
      </c>
      <c r="E832" t="s">
        <v>18</v>
      </c>
      <c r="F832" t="s">
        <v>38</v>
      </c>
      <c r="G832" s="2">
        <v>43881</v>
      </c>
      <c r="H832" t="s">
        <v>28</v>
      </c>
      <c r="J832" t="s">
        <v>25</v>
      </c>
      <c r="M832" t="str">
        <f t="shared" si="109"/>
        <v>Ivy</v>
      </c>
      <c r="N832">
        <v>25</v>
      </c>
      <c r="O832">
        <f t="shared" si="110"/>
        <v>25</v>
      </c>
      <c r="P832" t="s">
        <v>30</v>
      </c>
      <c r="Q832">
        <f t="shared" si="111"/>
        <v>60000</v>
      </c>
      <c r="R832" t="str">
        <f t="shared" si="112"/>
        <v>Female</v>
      </c>
      <c r="S832" t="str">
        <f t="shared" si="113"/>
        <v>Finance</v>
      </c>
      <c r="T832" t="str">
        <f t="shared" si="114"/>
        <v>Analyst</v>
      </c>
      <c r="U832" s="2">
        <v>43881</v>
      </c>
      <c r="V832" t="s">
        <v>28</v>
      </c>
      <c r="X832" t="str">
        <f t="shared" si="115"/>
        <v>Email not provided</v>
      </c>
      <c r="Y832" t="str">
        <f t="shared" si="116"/>
        <v>Email not provided</v>
      </c>
      <c r="Z832" t="str">
        <f t="shared" si="108"/>
        <v>098-765-4321</v>
      </c>
    </row>
    <row r="833" spans="1:26" x14ac:dyDescent="0.25">
      <c r="A833" t="s">
        <v>42</v>
      </c>
      <c r="B833">
        <v>50</v>
      </c>
      <c r="C833">
        <v>65000</v>
      </c>
      <c r="D833" t="s">
        <v>11</v>
      </c>
      <c r="E833" t="s">
        <v>27</v>
      </c>
      <c r="F833" t="s">
        <v>13</v>
      </c>
      <c r="G833" s="2">
        <v>43800</v>
      </c>
      <c r="H833" t="s">
        <v>28</v>
      </c>
      <c r="I833" t="s">
        <v>53</v>
      </c>
      <c r="J833" t="s">
        <v>15</v>
      </c>
      <c r="M833" t="str">
        <f t="shared" si="109"/>
        <v>Alice</v>
      </c>
      <c r="N833">
        <v>50</v>
      </c>
      <c r="O833">
        <f t="shared" si="110"/>
        <v>50</v>
      </c>
      <c r="P833">
        <v>65000</v>
      </c>
      <c r="Q833">
        <f t="shared" si="111"/>
        <v>65000</v>
      </c>
      <c r="R833" t="str">
        <f t="shared" si="112"/>
        <v>Male</v>
      </c>
      <c r="S833" t="str">
        <f t="shared" si="113"/>
        <v>IT</v>
      </c>
      <c r="T833" t="str">
        <f t="shared" si="114"/>
        <v>Manager</v>
      </c>
      <c r="U833" s="2">
        <v>43800</v>
      </c>
      <c r="V833" t="s">
        <v>28</v>
      </c>
      <c r="W833" t="s">
        <v>53</v>
      </c>
      <c r="X833" t="str">
        <f t="shared" si="115"/>
        <v>name@company/org</v>
      </c>
      <c r="Y833" t="str">
        <f t="shared" si="116"/>
        <v>name@company.org</v>
      </c>
      <c r="Z833" t="str">
        <f t="shared" si="108"/>
        <v>Phone not provided</v>
      </c>
    </row>
    <row r="834" spans="1:26" x14ac:dyDescent="0.25">
      <c r="A834" t="s">
        <v>26</v>
      </c>
      <c r="B834">
        <v>40</v>
      </c>
      <c r="C834">
        <v>55000</v>
      </c>
      <c r="D834" t="s">
        <v>32</v>
      </c>
      <c r="E834" t="s">
        <v>27</v>
      </c>
      <c r="F834" t="s">
        <v>38</v>
      </c>
      <c r="G834" s="2">
        <v>43800</v>
      </c>
      <c r="H834" t="s">
        <v>24</v>
      </c>
      <c r="I834" t="s">
        <v>51</v>
      </c>
      <c r="J834" t="s">
        <v>21</v>
      </c>
      <c r="M834" t="str">
        <f t="shared" si="109"/>
        <v>Eve</v>
      </c>
      <c r="N834">
        <v>40</v>
      </c>
      <c r="O834">
        <f t="shared" si="110"/>
        <v>40</v>
      </c>
      <c r="P834">
        <v>55000</v>
      </c>
      <c r="Q834">
        <f t="shared" si="111"/>
        <v>55000</v>
      </c>
      <c r="R834" t="str">
        <f t="shared" si="112"/>
        <v>Other</v>
      </c>
      <c r="S834" t="str">
        <f t="shared" si="113"/>
        <v>IT</v>
      </c>
      <c r="T834" t="str">
        <f t="shared" si="114"/>
        <v>Analyst</v>
      </c>
      <c r="U834" s="2">
        <v>43800</v>
      </c>
      <c r="V834" t="s">
        <v>24</v>
      </c>
      <c r="W834" t="s">
        <v>51</v>
      </c>
      <c r="X834" t="str">
        <f t="shared" si="115"/>
        <v>email@example/com</v>
      </c>
      <c r="Y834" t="str">
        <f t="shared" si="116"/>
        <v>email@example.com</v>
      </c>
      <c r="Z834" t="str">
        <f t="shared" ref="Z834:Z897" si="117">IF(OR(TRIM(J834)="", LOWER(J834)="nan"), "Phone not provided", TRIM(J834))</f>
        <v>123-456-7890</v>
      </c>
    </row>
    <row r="835" spans="1:26" x14ac:dyDescent="0.25">
      <c r="A835" t="s">
        <v>40</v>
      </c>
      <c r="B835">
        <v>30</v>
      </c>
      <c r="C835" t="s">
        <v>30</v>
      </c>
      <c r="D835" t="s">
        <v>17</v>
      </c>
      <c r="E835" t="s">
        <v>23</v>
      </c>
      <c r="F835" t="s">
        <v>13</v>
      </c>
      <c r="G835" s="2">
        <v>43845</v>
      </c>
      <c r="H835" t="s">
        <v>14</v>
      </c>
      <c r="I835" t="s">
        <v>52</v>
      </c>
      <c r="J835" t="s">
        <v>25</v>
      </c>
      <c r="M835" t="str">
        <f t="shared" ref="M835:M898" si="118">PROPER(TRIM(CLEAN(A835:A1834)))</f>
        <v>Frank</v>
      </c>
      <c r="N835">
        <v>30</v>
      </c>
      <c r="O835">
        <f t="shared" ref="O835:O898" si="119">IF(ISNUMBER(N835),N835,MEDIAN($N$2:$N$1001))</f>
        <v>30</v>
      </c>
      <c r="P835" t="s">
        <v>30</v>
      </c>
      <c r="Q835">
        <f t="shared" ref="Q835:Q898" si="120">IF(ISNUMBER(P835),P835,MEDIAN(P835:P1834))</f>
        <v>60000</v>
      </c>
      <c r="R835" t="str">
        <f t="shared" ref="R835:R898" si="121">PROPER(TRIM(CLEAN(D835:D1834)))</f>
        <v>Female</v>
      </c>
      <c r="S835" t="str">
        <f t="shared" ref="S835:S898" si="122">TRIM(CLEAN(E835:E1834))</f>
        <v>Sales</v>
      </c>
      <c r="T835" t="str">
        <f t="shared" ref="T835:T898" si="123">TRIM(CLEAN(F835:F1834))</f>
        <v>Manager</v>
      </c>
      <c r="U835" s="2">
        <v>43845</v>
      </c>
      <c r="V835" t="s">
        <v>14</v>
      </c>
      <c r="W835" t="s">
        <v>52</v>
      </c>
      <c r="X835" t="str">
        <f t="shared" ref="X835:X898" si="124">IF(
   OR(TRIM(W835)="",LOWER(W835)="nan"),
   "Email not provided",
   W835
)</f>
        <v>user@domain/com</v>
      </c>
      <c r="Y835" t="str">
        <f t="shared" ref="Y835:Y898" si="125">SUBSTITUTE(X835,"/",".")</f>
        <v>user@domain.com</v>
      </c>
      <c r="Z835" t="str">
        <f t="shared" si="117"/>
        <v>098-765-4321</v>
      </c>
    </row>
    <row r="836" spans="1:26" x14ac:dyDescent="0.25">
      <c r="A836" t="s">
        <v>26</v>
      </c>
      <c r="B836">
        <v>40</v>
      </c>
      <c r="C836" t="s">
        <v>30</v>
      </c>
      <c r="D836" t="s">
        <v>32</v>
      </c>
      <c r="E836" t="s">
        <v>18</v>
      </c>
      <c r="F836" t="s">
        <v>13</v>
      </c>
      <c r="G836" s="2">
        <v>43845</v>
      </c>
      <c r="H836" t="s">
        <v>28</v>
      </c>
      <c r="I836" t="s">
        <v>51</v>
      </c>
      <c r="J836" t="s">
        <v>39</v>
      </c>
      <c r="M836" t="str">
        <f t="shared" si="118"/>
        <v>Eve</v>
      </c>
      <c r="N836">
        <v>40</v>
      </c>
      <c r="O836">
        <f t="shared" si="119"/>
        <v>40</v>
      </c>
      <c r="P836" t="s">
        <v>30</v>
      </c>
      <c r="Q836">
        <f t="shared" si="120"/>
        <v>60000</v>
      </c>
      <c r="R836" t="str">
        <f t="shared" si="121"/>
        <v>Other</v>
      </c>
      <c r="S836" t="str">
        <f t="shared" si="122"/>
        <v>Finance</v>
      </c>
      <c r="T836" t="str">
        <f t="shared" si="123"/>
        <v>Manager</v>
      </c>
      <c r="U836" s="2">
        <v>43845</v>
      </c>
      <c r="V836" t="s">
        <v>28</v>
      </c>
      <c r="W836" t="s">
        <v>51</v>
      </c>
      <c r="X836" t="str">
        <f t="shared" si="124"/>
        <v>email@example/com</v>
      </c>
      <c r="Y836" t="str">
        <f t="shared" si="125"/>
        <v>email@example.com</v>
      </c>
      <c r="Z836" t="str">
        <f t="shared" si="117"/>
        <v>555-555-5555</v>
      </c>
    </row>
    <row r="837" spans="1:26" x14ac:dyDescent="0.25">
      <c r="A837" t="s">
        <v>40</v>
      </c>
      <c r="B837" t="s">
        <v>15</v>
      </c>
      <c r="C837">
        <v>65000</v>
      </c>
      <c r="D837" t="s">
        <v>17</v>
      </c>
      <c r="E837" t="s">
        <v>12</v>
      </c>
      <c r="F837" t="s">
        <v>38</v>
      </c>
      <c r="G837" s="2">
        <v>43549</v>
      </c>
      <c r="H837" t="s">
        <v>24</v>
      </c>
      <c r="I837" t="s">
        <v>53</v>
      </c>
      <c r="J837" t="s">
        <v>21</v>
      </c>
      <c r="M837" t="str">
        <f t="shared" si="118"/>
        <v>Frank</v>
      </c>
      <c r="N837" t="s">
        <v>15</v>
      </c>
      <c r="O837">
        <f t="shared" si="119"/>
        <v>35</v>
      </c>
      <c r="P837">
        <v>65000</v>
      </c>
      <c r="Q837">
        <f t="shared" si="120"/>
        <v>65000</v>
      </c>
      <c r="R837" t="str">
        <f t="shared" si="121"/>
        <v>Female</v>
      </c>
      <c r="S837" t="str">
        <f t="shared" si="122"/>
        <v>HR</v>
      </c>
      <c r="T837" t="str">
        <f t="shared" si="123"/>
        <v>Analyst</v>
      </c>
      <c r="U837" s="2">
        <v>43549</v>
      </c>
      <c r="V837" t="s">
        <v>24</v>
      </c>
      <c r="W837" t="s">
        <v>53</v>
      </c>
      <c r="X837" t="str">
        <f t="shared" si="124"/>
        <v>name@company/org</v>
      </c>
      <c r="Y837" t="str">
        <f t="shared" si="125"/>
        <v>name@company.org</v>
      </c>
      <c r="Z837" t="str">
        <f t="shared" si="117"/>
        <v>123-456-7890</v>
      </c>
    </row>
    <row r="838" spans="1:26" x14ac:dyDescent="0.25">
      <c r="A838" t="s">
        <v>40</v>
      </c>
      <c r="B838">
        <v>40</v>
      </c>
      <c r="C838">
        <v>60000</v>
      </c>
      <c r="D838" t="s">
        <v>11</v>
      </c>
      <c r="E838" t="s">
        <v>33</v>
      </c>
      <c r="F838" t="s">
        <v>38</v>
      </c>
      <c r="G838" s="2">
        <v>43881</v>
      </c>
      <c r="H838" t="s">
        <v>20</v>
      </c>
      <c r="I838" t="s">
        <v>52</v>
      </c>
      <c r="J838" t="s">
        <v>39</v>
      </c>
      <c r="M838" t="str">
        <f t="shared" si="118"/>
        <v>Frank</v>
      </c>
      <c r="N838">
        <v>40</v>
      </c>
      <c r="O838">
        <f t="shared" si="119"/>
        <v>40</v>
      </c>
      <c r="P838">
        <v>60000</v>
      </c>
      <c r="Q838">
        <f t="shared" si="120"/>
        <v>60000</v>
      </c>
      <c r="R838" t="str">
        <f t="shared" si="121"/>
        <v>Male</v>
      </c>
      <c r="S838" t="str">
        <f t="shared" si="122"/>
        <v>Marketing</v>
      </c>
      <c r="T838" t="str">
        <f t="shared" si="123"/>
        <v>Analyst</v>
      </c>
      <c r="U838" s="2">
        <v>43881</v>
      </c>
      <c r="V838" t="s">
        <v>20</v>
      </c>
      <c r="W838" t="s">
        <v>52</v>
      </c>
      <c r="X838" t="str">
        <f t="shared" si="124"/>
        <v>user@domain/com</v>
      </c>
      <c r="Y838" t="str">
        <f t="shared" si="125"/>
        <v>user@domain.com</v>
      </c>
      <c r="Z838" t="str">
        <f t="shared" si="117"/>
        <v>555-555-5555</v>
      </c>
    </row>
    <row r="839" spans="1:26" x14ac:dyDescent="0.25">
      <c r="A839" t="s">
        <v>10</v>
      </c>
      <c r="B839" t="s">
        <v>15</v>
      </c>
      <c r="C839">
        <v>65000</v>
      </c>
      <c r="D839" t="s">
        <v>17</v>
      </c>
      <c r="E839" t="s">
        <v>18</v>
      </c>
      <c r="F839" t="s">
        <v>13</v>
      </c>
      <c r="G839" s="1">
        <v>43195</v>
      </c>
      <c r="H839" t="s">
        <v>24</v>
      </c>
      <c r="J839" t="s">
        <v>29</v>
      </c>
      <c r="M839" t="str">
        <f t="shared" si="118"/>
        <v>Grace</v>
      </c>
      <c r="N839" t="s">
        <v>15</v>
      </c>
      <c r="O839">
        <f t="shared" si="119"/>
        <v>35</v>
      </c>
      <c r="P839">
        <v>65000</v>
      </c>
      <c r="Q839">
        <f t="shared" si="120"/>
        <v>65000</v>
      </c>
      <c r="R839" t="str">
        <f t="shared" si="121"/>
        <v>Female</v>
      </c>
      <c r="S839" t="str">
        <f t="shared" si="122"/>
        <v>Finance</v>
      </c>
      <c r="T839" t="str">
        <f t="shared" si="123"/>
        <v>Manager</v>
      </c>
      <c r="U839" s="2">
        <v>43195</v>
      </c>
      <c r="V839" t="s">
        <v>24</v>
      </c>
      <c r="X839" t="str">
        <f t="shared" si="124"/>
        <v>Email not provided</v>
      </c>
      <c r="Y839" t="str">
        <f t="shared" si="125"/>
        <v>Email not provided</v>
      </c>
      <c r="Z839" t="str">
        <f t="shared" si="117"/>
        <v>Phone not provided</v>
      </c>
    </row>
    <row r="840" spans="1:26" x14ac:dyDescent="0.25">
      <c r="A840" t="s">
        <v>16</v>
      </c>
      <c r="B840" t="s">
        <v>15</v>
      </c>
      <c r="C840" t="s">
        <v>30</v>
      </c>
      <c r="D840" t="s">
        <v>17</v>
      </c>
      <c r="E840" t="s">
        <v>18</v>
      </c>
      <c r="F840" t="s">
        <v>19</v>
      </c>
      <c r="G840" s="2">
        <v>43845</v>
      </c>
      <c r="H840" t="s">
        <v>24</v>
      </c>
      <c r="I840" t="s">
        <v>15</v>
      </c>
      <c r="J840" t="s">
        <v>21</v>
      </c>
      <c r="M840" t="str">
        <f t="shared" si="118"/>
        <v>David</v>
      </c>
      <c r="N840" t="s">
        <v>15</v>
      </c>
      <c r="O840">
        <f t="shared" si="119"/>
        <v>35</v>
      </c>
      <c r="P840" t="s">
        <v>30</v>
      </c>
      <c r="Q840">
        <f t="shared" si="120"/>
        <v>60000</v>
      </c>
      <c r="R840" t="str">
        <f t="shared" si="121"/>
        <v>Female</v>
      </c>
      <c r="S840" t="str">
        <f t="shared" si="122"/>
        <v>Finance</v>
      </c>
      <c r="T840" t="str">
        <f t="shared" si="123"/>
        <v>Director</v>
      </c>
      <c r="U840" s="2">
        <v>43845</v>
      </c>
      <c r="V840" t="s">
        <v>24</v>
      </c>
      <c r="W840" t="s">
        <v>15</v>
      </c>
      <c r="X840" t="str">
        <f t="shared" si="124"/>
        <v>Email not provided</v>
      </c>
      <c r="Y840" t="str">
        <f t="shared" si="125"/>
        <v>Email not provided</v>
      </c>
      <c r="Z840" t="str">
        <f t="shared" si="117"/>
        <v>123-456-7890</v>
      </c>
    </row>
    <row r="841" spans="1:26" x14ac:dyDescent="0.25">
      <c r="A841" t="s">
        <v>22</v>
      </c>
      <c r="B841" t="s">
        <v>15</v>
      </c>
      <c r="C841">
        <v>55000</v>
      </c>
      <c r="D841" t="s">
        <v>11</v>
      </c>
      <c r="E841" t="s">
        <v>27</v>
      </c>
      <c r="F841" t="s">
        <v>38</v>
      </c>
      <c r="G841" s="1">
        <v>43195</v>
      </c>
      <c r="H841" t="s">
        <v>24</v>
      </c>
      <c r="J841" t="s">
        <v>15</v>
      </c>
      <c r="M841" t="str">
        <f t="shared" si="118"/>
        <v>Hannah</v>
      </c>
      <c r="N841" t="s">
        <v>15</v>
      </c>
      <c r="O841">
        <f t="shared" si="119"/>
        <v>35</v>
      </c>
      <c r="P841">
        <v>55000</v>
      </c>
      <c r="Q841">
        <f t="shared" si="120"/>
        <v>55000</v>
      </c>
      <c r="R841" t="str">
        <f t="shared" si="121"/>
        <v>Male</v>
      </c>
      <c r="S841" t="str">
        <f t="shared" si="122"/>
        <v>IT</v>
      </c>
      <c r="T841" t="str">
        <f t="shared" si="123"/>
        <v>Analyst</v>
      </c>
      <c r="U841" s="2">
        <v>43195</v>
      </c>
      <c r="V841" t="s">
        <v>24</v>
      </c>
      <c r="X841" t="str">
        <f t="shared" si="124"/>
        <v>Email not provided</v>
      </c>
      <c r="Y841" t="str">
        <f t="shared" si="125"/>
        <v>Email not provided</v>
      </c>
      <c r="Z841" t="str">
        <f t="shared" si="117"/>
        <v>Phone not provided</v>
      </c>
    </row>
    <row r="842" spans="1:26" x14ac:dyDescent="0.25">
      <c r="A842" t="s">
        <v>10</v>
      </c>
      <c r="B842">
        <v>50</v>
      </c>
      <c r="C842" t="s">
        <v>30</v>
      </c>
      <c r="D842" t="s">
        <v>11</v>
      </c>
      <c r="E842" t="s">
        <v>33</v>
      </c>
      <c r="F842" t="s">
        <v>35</v>
      </c>
      <c r="G842" s="1">
        <v>43195</v>
      </c>
      <c r="H842" t="s">
        <v>36</v>
      </c>
      <c r="J842" t="s">
        <v>29</v>
      </c>
      <c r="M842" t="str">
        <f t="shared" si="118"/>
        <v>Grace</v>
      </c>
      <c r="N842">
        <v>50</v>
      </c>
      <c r="O842">
        <f t="shared" si="119"/>
        <v>50</v>
      </c>
      <c r="P842" t="s">
        <v>30</v>
      </c>
      <c r="Q842">
        <f t="shared" si="120"/>
        <v>60000</v>
      </c>
      <c r="R842" t="str">
        <f t="shared" si="121"/>
        <v>Male</v>
      </c>
      <c r="S842" t="str">
        <f t="shared" si="122"/>
        <v>Marketing</v>
      </c>
      <c r="T842" t="str">
        <f t="shared" si="123"/>
        <v>Clerk</v>
      </c>
      <c r="U842" s="2">
        <v>43195</v>
      </c>
      <c r="V842" t="s">
        <v>36</v>
      </c>
      <c r="X842" t="str">
        <f t="shared" si="124"/>
        <v>Email not provided</v>
      </c>
      <c r="Y842" t="str">
        <f t="shared" si="125"/>
        <v>Email not provided</v>
      </c>
      <c r="Z842" t="str">
        <f t="shared" si="117"/>
        <v>Phone not provided</v>
      </c>
    </row>
    <row r="843" spans="1:26" x14ac:dyDescent="0.25">
      <c r="A843" t="s">
        <v>43</v>
      </c>
      <c r="B843" t="s">
        <v>15</v>
      </c>
      <c r="C843">
        <v>55000</v>
      </c>
      <c r="D843" t="s">
        <v>32</v>
      </c>
      <c r="E843" t="s">
        <v>23</v>
      </c>
      <c r="F843" t="s">
        <v>37</v>
      </c>
      <c r="G843" s="2">
        <v>43881</v>
      </c>
      <c r="H843" t="s">
        <v>24</v>
      </c>
      <c r="I843" t="s">
        <v>15</v>
      </c>
      <c r="J843" t="s">
        <v>29</v>
      </c>
      <c r="M843" t="str">
        <f t="shared" si="118"/>
        <v>Ivy</v>
      </c>
      <c r="N843" t="s">
        <v>15</v>
      </c>
      <c r="O843">
        <f t="shared" si="119"/>
        <v>35</v>
      </c>
      <c r="P843">
        <v>55000</v>
      </c>
      <c r="Q843">
        <f t="shared" si="120"/>
        <v>55000</v>
      </c>
      <c r="R843" t="str">
        <f t="shared" si="121"/>
        <v>Other</v>
      </c>
      <c r="S843" t="str">
        <f t="shared" si="122"/>
        <v>Sales</v>
      </c>
      <c r="T843" t="str">
        <f t="shared" si="123"/>
        <v>Assistant</v>
      </c>
      <c r="U843" s="2">
        <v>43881</v>
      </c>
      <c r="V843" t="s">
        <v>24</v>
      </c>
      <c r="W843" t="s">
        <v>15</v>
      </c>
      <c r="X843" t="str">
        <f t="shared" si="124"/>
        <v>Email not provided</v>
      </c>
      <c r="Y843" t="str">
        <f t="shared" si="125"/>
        <v>Email not provided</v>
      </c>
      <c r="Z843" t="str">
        <f t="shared" si="117"/>
        <v>Phone not provided</v>
      </c>
    </row>
    <row r="844" spans="1:26" x14ac:dyDescent="0.25">
      <c r="A844" t="s">
        <v>10</v>
      </c>
      <c r="B844" t="s">
        <v>15</v>
      </c>
      <c r="C844">
        <v>50000</v>
      </c>
      <c r="D844" t="s">
        <v>32</v>
      </c>
      <c r="E844" t="s">
        <v>18</v>
      </c>
      <c r="F844" t="s">
        <v>13</v>
      </c>
      <c r="G844" s="2">
        <v>43549</v>
      </c>
      <c r="H844" t="s">
        <v>24</v>
      </c>
      <c r="I844" t="s">
        <v>15</v>
      </c>
      <c r="J844" t="s">
        <v>39</v>
      </c>
      <c r="M844" t="str">
        <f t="shared" si="118"/>
        <v>Grace</v>
      </c>
      <c r="N844" t="s">
        <v>15</v>
      </c>
      <c r="O844">
        <f t="shared" si="119"/>
        <v>35</v>
      </c>
      <c r="P844">
        <v>50000</v>
      </c>
      <c r="Q844">
        <f t="shared" si="120"/>
        <v>50000</v>
      </c>
      <c r="R844" t="str">
        <f t="shared" si="121"/>
        <v>Other</v>
      </c>
      <c r="S844" t="str">
        <f t="shared" si="122"/>
        <v>Finance</v>
      </c>
      <c r="T844" t="str">
        <f t="shared" si="123"/>
        <v>Manager</v>
      </c>
      <c r="U844" s="2">
        <v>43549</v>
      </c>
      <c r="V844" t="s">
        <v>24</v>
      </c>
      <c r="W844" t="s">
        <v>15</v>
      </c>
      <c r="X844" t="str">
        <f t="shared" si="124"/>
        <v>Email not provided</v>
      </c>
      <c r="Y844" t="str">
        <f t="shared" si="125"/>
        <v>Email not provided</v>
      </c>
      <c r="Z844" t="str">
        <f t="shared" si="117"/>
        <v>555-555-5555</v>
      </c>
    </row>
    <row r="845" spans="1:26" x14ac:dyDescent="0.25">
      <c r="A845" t="s">
        <v>34</v>
      </c>
      <c r="B845">
        <v>30</v>
      </c>
      <c r="C845">
        <v>70000</v>
      </c>
      <c r="D845" t="s">
        <v>11</v>
      </c>
      <c r="E845" t="s">
        <v>23</v>
      </c>
      <c r="F845" t="s">
        <v>13</v>
      </c>
      <c r="G845" s="2">
        <v>43881</v>
      </c>
      <c r="H845" t="s">
        <v>36</v>
      </c>
      <c r="I845" t="s">
        <v>15</v>
      </c>
      <c r="J845" t="s">
        <v>29</v>
      </c>
      <c r="M845" t="str">
        <f t="shared" si="118"/>
        <v>Charlie</v>
      </c>
      <c r="N845">
        <v>30</v>
      </c>
      <c r="O845">
        <f t="shared" si="119"/>
        <v>30</v>
      </c>
      <c r="P845">
        <v>70000</v>
      </c>
      <c r="Q845">
        <f t="shared" si="120"/>
        <v>70000</v>
      </c>
      <c r="R845" t="str">
        <f t="shared" si="121"/>
        <v>Male</v>
      </c>
      <c r="S845" t="str">
        <f t="shared" si="122"/>
        <v>Sales</v>
      </c>
      <c r="T845" t="str">
        <f t="shared" si="123"/>
        <v>Manager</v>
      </c>
      <c r="U845" s="2">
        <v>43881</v>
      </c>
      <c r="V845" t="s">
        <v>36</v>
      </c>
      <c r="W845" t="s">
        <v>15</v>
      </c>
      <c r="X845" t="str">
        <f t="shared" si="124"/>
        <v>Email not provided</v>
      </c>
      <c r="Y845" t="str">
        <f t="shared" si="125"/>
        <v>Email not provided</v>
      </c>
      <c r="Z845" t="str">
        <f t="shared" si="117"/>
        <v>Phone not provided</v>
      </c>
    </row>
    <row r="846" spans="1:26" x14ac:dyDescent="0.25">
      <c r="A846" t="s">
        <v>34</v>
      </c>
      <c r="B846">
        <v>25</v>
      </c>
      <c r="C846" t="s">
        <v>30</v>
      </c>
      <c r="D846" t="s">
        <v>11</v>
      </c>
      <c r="E846" t="s">
        <v>18</v>
      </c>
      <c r="F846" t="s">
        <v>37</v>
      </c>
      <c r="G846" s="2">
        <v>43845</v>
      </c>
      <c r="H846" t="s">
        <v>36</v>
      </c>
      <c r="I846" t="s">
        <v>52</v>
      </c>
      <c r="J846" t="s">
        <v>25</v>
      </c>
      <c r="M846" t="str">
        <f t="shared" si="118"/>
        <v>Charlie</v>
      </c>
      <c r="N846">
        <v>25</v>
      </c>
      <c r="O846">
        <f t="shared" si="119"/>
        <v>25</v>
      </c>
      <c r="P846" t="s">
        <v>30</v>
      </c>
      <c r="Q846">
        <f t="shared" si="120"/>
        <v>60000</v>
      </c>
      <c r="R846" t="str">
        <f t="shared" si="121"/>
        <v>Male</v>
      </c>
      <c r="S846" t="str">
        <f t="shared" si="122"/>
        <v>Finance</v>
      </c>
      <c r="T846" t="str">
        <f t="shared" si="123"/>
        <v>Assistant</v>
      </c>
      <c r="U846" s="2">
        <v>43845</v>
      </c>
      <c r="V846" t="s">
        <v>36</v>
      </c>
      <c r="W846" t="s">
        <v>52</v>
      </c>
      <c r="X846" t="str">
        <f t="shared" si="124"/>
        <v>user@domain/com</v>
      </c>
      <c r="Y846" t="str">
        <f t="shared" si="125"/>
        <v>user@domain.com</v>
      </c>
      <c r="Z846" t="str">
        <f t="shared" si="117"/>
        <v>098-765-4321</v>
      </c>
    </row>
    <row r="847" spans="1:26" x14ac:dyDescent="0.25">
      <c r="A847" t="s">
        <v>22</v>
      </c>
      <c r="B847">
        <v>35</v>
      </c>
      <c r="C847">
        <v>65000</v>
      </c>
      <c r="D847" t="s">
        <v>11</v>
      </c>
      <c r="E847" t="s">
        <v>23</v>
      </c>
      <c r="F847" t="s">
        <v>19</v>
      </c>
      <c r="G847" s="1">
        <v>43195</v>
      </c>
      <c r="H847" t="s">
        <v>20</v>
      </c>
      <c r="I847" t="s">
        <v>51</v>
      </c>
      <c r="J847" t="s">
        <v>21</v>
      </c>
      <c r="M847" t="str">
        <f t="shared" si="118"/>
        <v>Hannah</v>
      </c>
      <c r="N847">
        <v>35</v>
      </c>
      <c r="O847">
        <f t="shared" si="119"/>
        <v>35</v>
      </c>
      <c r="P847">
        <v>65000</v>
      </c>
      <c r="Q847">
        <f t="shared" si="120"/>
        <v>65000</v>
      </c>
      <c r="R847" t="str">
        <f t="shared" si="121"/>
        <v>Male</v>
      </c>
      <c r="S847" t="str">
        <f t="shared" si="122"/>
        <v>Sales</v>
      </c>
      <c r="T847" t="str">
        <f t="shared" si="123"/>
        <v>Director</v>
      </c>
      <c r="U847" s="2">
        <v>43195</v>
      </c>
      <c r="V847" t="s">
        <v>20</v>
      </c>
      <c r="W847" t="s">
        <v>51</v>
      </c>
      <c r="X847" t="str">
        <f t="shared" si="124"/>
        <v>email@example/com</v>
      </c>
      <c r="Y847" t="str">
        <f t="shared" si="125"/>
        <v>email@example.com</v>
      </c>
      <c r="Z847" t="str">
        <f t="shared" si="117"/>
        <v>123-456-7890</v>
      </c>
    </row>
    <row r="848" spans="1:26" x14ac:dyDescent="0.25">
      <c r="A848" t="s">
        <v>26</v>
      </c>
      <c r="B848">
        <v>25</v>
      </c>
      <c r="C848">
        <v>50000</v>
      </c>
      <c r="D848" t="s">
        <v>17</v>
      </c>
      <c r="E848" t="s">
        <v>33</v>
      </c>
      <c r="F848" t="s">
        <v>37</v>
      </c>
      <c r="G848" s="2">
        <v>43881</v>
      </c>
      <c r="H848" t="s">
        <v>14</v>
      </c>
      <c r="I848" t="s">
        <v>51</v>
      </c>
      <c r="J848" t="s">
        <v>25</v>
      </c>
      <c r="M848" t="str">
        <f t="shared" si="118"/>
        <v>Eve</v>
      </c>
      <c r="N848">
        <v>25</v>
      </c>
      <c r="O848">
        <f t="shared" si="119"/>
        <v>25</v>
      </c>
      <c r="P848">
        <v>50000</v>
      </c>
      <c r="Q848">
        <f t="shared" si="120"/>
        <v>50000</v>
      </c>
      <c r="R848" t="str">
        <f t="shared" si="121"/>
        <v>Female</v>
      </c>
      <c r="S848" t="str">
        <f t="shared" si="122"/>
        <v>Marketing</v>
      </c>
      <c r="T848" t="str">
        <f t="shared" si="123"/>
        <v>Assistant</v>
      </c>
      <c r="U848" s="2">
        <v>43881</v>
      </c>
      <c r="V848" t="s">
        <v>14</v>
      </c>
      <c r="W848" t="s">
        <v>51</v>
      </c>
      <c r="X848" t="str">
        <f t="shared" si="124"/>
        <v>email@example/com</v>
      </c>
      <c r="Y848" t="str">
        <f t="shared" si="125"/>
        <v>email@example.com</v>
      </c>
      <c r="Z848" t="str">
        <f t="shared" si="117"/>
        <v>098-765-4321</v>
      </c>
    </row>
    <row r="849" spans="1:26" x14ac:dyDescent="0.25">
      <c r="A849" t="s">
        <v>16</v>
      </c>
      <c r="B849" t="s">
        <v>15</v>
      </c>
      <c r="C849">
        <v>70000</v>
      </c>
      <c r="D849" t="s">
        <v>17</v>
      </c>
      <c r="E849" t="s">
        <v>27</v>
      </c>
      <c r="F849" t="s">
        <v>38</v>
      </c>
      <c r="G849" s="2">
        <v>43881</v>
      </c>
      <c r="H849" t="s">
        <v>28</v>
      </c>
      <c r="I849" t="s">
        <v>15</v>
      </c>
      <c r="J849" t="s">
        <v>39</v>
      </c>
      <c r="M849" t="str">
        <f t="shared" si="118"/>
        <v>David</v>
      </c>
      <c r="N849" t="s">
        <v>15</v>
      </c>
      <c r="O849">
        <f t="shared" si="119"/>
        <v>35</v>
      </c>
      <c r="P849">
        <v>70000</v>
      </c>
      <c r="Q849">
        <f t="shared" si="120"/>
        <v>70000</v>
      </c>
      <c r="R849" t="str">
        <f t="shared" si="121"/>
        <v>Female</v>
      </c>
      <c r="S849" t="str">
        <f t="shared" si="122"/>
        <v>IT</v>
      </c>
      <c r="T849" t="str">
        <f t="shared" si="123"/>
        <v>Analyst</v>
      </c>
      <c r="U849" s="2">
        <v>43881</v>
      </c>
      <c r="V849" t="s">
        <v>28</v>
      </c>
      <c r="W849" t="s">
        <v>15</v>
      </c>
      <c r="X849" t="str">
        <f t="shared" si="124"/>
        <v>Email not provided</v>
      </c>
      <c r="Y849" t="str">
        <f t="shared" si="125"/>
        <v>Email not provided</v>
      </c>
      <c r="Z849" t="str">
        <f t="shared" si="117"/>
        <v>555-555-5555</v>
      </c>
    </row>
    <row r="850" spans="1:26" x14ac:dyDescent="0.25">
      <c r="A850" t="s">
        <v>22</v>
      </c>
      <c r="B850">
        <v>30</v>
      </c>
      <c r="C850">
        <v>65000</v>
      </c>
      <c r="D850" t="s">
        <v>17</v>
      </c>
      <c r="E850" t="s">
        <v>33</v>
      </c>
      <c r="F850" t="s">
        <v>37</v>
      </c>
      <c r="G850" s="2">
        <v>43881</v>
      </c>
      <c r="H850" t="s">
        <v>28</v>
      </c>
      <c r="J850" t="s">
        <v>39</v>
      </c>
      <c r="M850" t="str">
        <f t="shared" si="118"/>
        <v>Hannah</v>
      </c>
      <c r="N850">
        <v>30</v>
      </c>
      <c r="O850">
        <f t="shared" si="119"/>
        <v>30</v>
      </c>
      <c r="P850">
        <v>65000</v>
      </c>
      <c r="Q850">
        <f t="shared" si="120"/>
        <v>65000</v>
      </c>
      <c r="R850" t="str">
        <f t="shared" si="121"/>
        <v>Female</v>
      </c>
      <c r="S850" t="str">
        <f t="shared" si="122"/>
        <v>Marketing</v>
      </c>
      <c r="T850" t="str">
        <f t="shared" si="123"/>
        <v>Assistant</v>
      </c>
      <c r="U850" s="2">
        <v>43881</v>
      </c>
      <c r="V850" t="s">
        <v>28</v>
      </c>
      <c r="X850" t="str">
        <f t="shared" si="124"/>
        <v>Email not provided</v>
      </c>
      <c r="Y850" t="str">
        <f t="shared" si="125"/>
        <v>Email not provided</v>
      </c>
      <c r="Z850" t="str">
        <f t="shared" si="117"/>
        <v>555-555-5555</v>
      </c>
    </row>
    <row r="851" spans="1:26" x14ac:dyDescent="0.25">
      <c r="A851" t="s">
        <v>40</v>
      </c>
      <c r="B851">
        <v>40</v>
      </c>
      <c r="C851">
        <v>60000</v>
      </c>
      <c r="D851" t="s">
        <v>11</v>
      </c>
      <c r="E851" t="s">
        <v>12</v>
      </c>
      <c r="F851" t="s">
        <v>13</v>
      </c>
      <c r="G851" s="2">
        <v>43845</v>
      </c>
      <c r="H851" t="s">
        <v>24</v>
      </c>
      <c r="I851" t="s">
        <v>53</v>
      </c>
      <c r="J851" t="s">
        <v>21</v>
      </c>
      <c r="M851" t="str">
        <f t="shared" si="118"/>
        <v>Frank</v>
      </c>
      <c r="N851">
        <v>40</v>
      </c>
      <c r="O851">
        <f t="shared" si="119"/>
        <v>40</v>
      </c>
      <c r="P851">
        <v>60000</v>
      </c>
      <c r="Q851">
        <f t="shared" si="120"/>
        <v>60000</v>
      </c>
      <c r="R851" t="str">
        <f t="shared" si="121"/>
        <v>Male</v>
      </c>
      <c r="S851" t="str">
        <f t="shared" si="122"/>
        <v>HR</v>
      </c>
      <c r="T851" t="str">
        <f t="shared" si="123"/>
        <v>Manager</v>
      </c>
      <c r="U851" s="2">
        <v>43845</v>
      </c>
      <c r="V851" t="s">
        <v>24</v>
      </c>
      <c r="W851" t="s">
        <v>53</v>
      </c>
      <c r="X851" t="str">
        <f t="shared" si="124"/>
        <v>name@company/org</v>
      </c>
      <c r="Y851" t="str">
        <f t="shared" si="125"/>
        <v>name@company.org</v>
      </c>
      <c r="Z851" t="str">
        <f t="shared" si="117"/>
        <v>123-456-7890</v>
      </c>
    </row>
    <row r="852" spans="1:26" x14ac:dyDescent="0.25">
      <c r="A852" t="s">
        <v>41</v>
      </c>
      <c r="B852">
        <v>30</v>
      </c>
      <c r="C852">
        <v>65000</v>
      </c>
      <c r="D852" t="s">
        <v>32</v>
      </c>
      <c r="E852" t="s">
        <v>27</v>
      </c>
      <c r="F852" t="s">
        <v>37</v>
      </c>
      <c r="G852" s="2">
        <v>43549</v>
      </c>
      <c r="H852" t="s">
        <v>20</v>
      </c>
      <c r="I852" t="s">
        <v>15</v>
      </c>
      <c r="J852" t="s">
        <v>29</v>
      </c>
      <c r="M852" t="str">
        <f t="shared" si="118"/>
        <v>Bob</v>
      </c>
      <c r="N852">
        <v>30</v>
      </c>
      <c r="O852">
        <f t="shared" si="119"/>
        <v>30</v>
      </c>
      <c r="P852">
        <v>65000</v>
      </c>
      <c r="Q852">
        <f t="shared" si="120"/>
        <v>65000</v>
      </c>
      <c r="R852" t="str">
        <f t="shared" si="121"/>
        <v>Other</v>
      </c>
      <c r="S852" t="str">
        <f t="shared" si="122"/>
        <v>IT</v>
      </c>
      <c r="T852" t="str">
        <f t="shared" si="123"/>
        <v>Assistant</v>
      </c>
      <c r="U852" s="2">
        <v>43549</v>
      </c>
      <c r="V852" t="s">
        <v>20</v>
      </c>
      <c r="W852" t="s">
        <v>15</v>
      </c>
      <c r="X852" t="str">
        <f t="shared" si="124"/>
        <v>Email not provided</v>
      </c>
      <c r="Y852" t="str">
        <f t="shared" si="125"/>
        <v>Email not provided</v>
      </c>
      <c r="Z852" t="str">
        <f t="shared" si="117"/>
        <v>Phone not provided</v>
      </c>
    </row>
    <row r="853" spans="1:26" x14ac:dyDescent="0.25">
      <c r="A853" t="s">
        <v>16</v>
      </c>
      <c r="B853" t="s">
        <v>15</v>
      </c>
      <c r="C853">
        <v>55000</v>
      </c>
      <c r="D853" t="s">
        <v>11</v>
      </c>
      <c r="E853" t="s">
        <v>33</v>
      </c>
      <c r="F853" t="s">
        <v>35</v>
      </c>
      <c r="G853" s="2">
        <v>43881</v>
      </c>
      <c r="H853" t="s">
        <v>24</v>
      </c>
      <c r="J853" t="s">
        <v>15</v>
      </c>
      <c r="M853" t="str">
        <f t="shared" si="118"/>
        <v>David</v>
      </c>
      <c r="N853" t="s">
        <v>15</v>
      </c>
      <c r="O853">
        <f t="shared" si="119"/>
        <v>35</v>
      </c>
      <c r="P853">
        <v>55000</v>
      </c>
      <c r="Q853">
        <f t="shared" si="120"/>
        <v>55000</v>
      </c>
      <c r="R853" t="str">
        <f t="shared" si="121"/>
        <v>Male</v>
      </c>
      <c r="S853" t="str">
        <f t="shared" si="122"/>
        <v>Marketing</v>
      </c>
      <c r="T853" t="str">
        <f t="shared" si="123"/>
        <v>Clerk</v>
      </c>
      <c r="U853" s="2">
        <v>43881</v>
      </c>
      <c r="V853" t="s">
        <v>24</v>
      </c>
      <c r="X853" t="str">
        <f t="shared" si="124"/>
        <v>Email not provided</v>
      </c>
      <c r="Y853" t="str">
        <f t="shared" si="125"/>
        <v>Email not provided</v>
      </c>
      <c r="Z853" t="str">
        <f t="shared" si="117"/>
        <v>Phone not provided</v>
      </c>
    </row>
    <row r="854" spans="1:26" x14ac:dyDescent="0.25">
      <c r="A854" t="s">
        <v>16</v>
      </c>
      <c r="B854">
        <v>30</v>
      </c>
      <c r="C854">
        <v>55000</v>
      </c>
      <c r="D854" t="s">
        <v>17</v>
      </c>
      <c r="E854" t="s">
        <v>12</v>
      </c>
      <c r="F854" t="s">
        <v>38</v>
      </c>
      <c r="G854" s="2">
        <v>43845</v>
      </c>
      <c r="H854" t="s">
        <v>28</v>
      </c>
      <c r="J854" t="s">
        <v>39</v>
      </c>
      <c r="M854" t="str">
        <f t="shared" si="118"/>
        <v>David</v>
      </c>
      <c r="N854">
        <v>30</v>
      </c>
      <c r="O854">
        <f t="shared" si="119"/>
        <v>30</v>
      </c>
      <c r="P854">
        <v>55000</v>
      </c>
      <c r="Q854">
        <f t="shared" si="120"/>
        <v>55000</v>
      </c>
      <c r="R854" t="str">
        <f t="shared" si="121"/>
        <v>Female</v>
      </c>
      <c r="S854" t="str">
        <f t="shared" si="122"/>
        <v>HR</v>
      </c>
      <c r="T854" t="str">
        <f t="shared" si="123"/>
        <v>Analyst</v>
      </c>
      <c r="U854" s="2">
        <v>43845</v>
      </c>
      <c r="V854" t="s">
        <v>28</v>
      </c>
      <c r="X854" t="str">
        <f t="shared" si="124"/>
        <v>Email not provided</v>
      </c>
      <c r="Y854" t="str">
        <f t="shared" si="125"/>
        <v>Email not provided</v>
      </c>
      <c r="Z854" t="str">
        <f t="shared" si="117"/>
        <v>555-555-5555</v>
      </c>
    </row>
    <row r="855" spans="1:26" x14ac:dyDescent="0.25">
      <c r="A855" t="s">
        <v>40</v>
      </c>
      <c r="B855">
        <v>30</v>
      </c>
      <c r="C855">
        <v>60000</v>
      </c>
      <c r="D855" t="s">
        <v>17</v>
      </c>
      <c r="E855" t="s">
        <v>18</v>
      </c>
      <c r="F855" t="s">
        <v>37</v>
      </c>
      <c r="G855" s="1">
        <v>43195</v>
      </c>
      <c r="H855" t="s">
        <v>36</v>
      </c>
      <c r="I855" t="s">
        <v>52</v>
      </c>
      <c r="J855" t="s">
        <v>21</v>
      </c>
      <c r="M855" t="str">
        <f t="shared" si="118"/>
        <v>Frank</v>
      </c>
      <c r="N855">
        <v>30</v>
      </c>
      <c r="O855">
        <f t="shared" si="119"/>
        <v>30</v>
      </c>
      <c r="P855">
        <v>60000</v>
      </c>
      <c r="Q855">
        <f t="shared" si="120"/>
        <v>60000</v>
      </c>
      <c r="R855" t="str">
        <f t="shared" si="121"/>
        <v>Female</v>
      </c>
      <c r="S855" t="str">
        <f t="shared" si="122"/>
        <v>Finance</v>
      </c>
      <c r="T855" t="str">
        <f t="shared" si="123"/>
        <v>Assistant</v>
      </c>
      <c r="U855" s="2">
        <v>43195</v>
      </c>
      <c r="V855" t="s">
        <v>36</v>
      </c>
      <c r="W855" t="s">
        <v>52</v>
      </c>
      <c r="X855" t="str">
        <f t="shared" si="124"/>
        <v>user@domain/com</v>
      </c>
      <c r="Y855" t="str">
        <f t="shared" si="125"/>
        <v>user@domain.com</v>
      </c>
      <c r="Z855" t="str">
        <f t="shared" si="117"/>
        <v>123-456-7890</v>
      </c>
    </row>
    <row r="856" spans="1:26" x14ac:dyDescent="0.25">
      <c r="A856" t="s">
        <v>40</v>
      </c>
      <c r="B856" t="s">
        <v>15</v>
      </c>
      <c r="C856">
        <v>50000</v>
      </c>
      <c r="D856" t="s">
        <v>11</v>
      </c>
      <c r="E856" t="s">
        <v>18</v>
      </c>
      <c r="F856" t="s">
        <v>13</v>
      </c>
      <c r="G856" s="2">
        <v>43800</v>
      </c>
      <c r="H856" t="s">
        <v>14</v>
      </c>
      <c r="I856" t="s">
        <v>52</v>
      </c>
      <c r="J856" t="s">
        <v>15</v>
      </c>
      <c r="M856" t="str">
        <f t="shared" si="118"/>
        <v>Frank</v>
      </c>
      <c r="N856" t="s">
        <v>15</v>
      </c>
      <c r="O856">
        <f t="shared" si="119"/>
        <v>35</v>
      </c>
      <c r="P856">
        <v>50000</v>
      </c>
      <c r="Q856">
        <f t="shared" si="120"/>
        <v>50000</v>
      </c>
      <c r="R856" t="str">
        <f t="shared" si="121"/>
        <v>Male</v>
      </c>
      <c r="S856" t="str">
        <f t="shared" si="122"/>
        <v>Finance</v>
      </c>
      <c r="T856" t="str">
        <f t="shared" si="123"/>
        <v>Manager</v>
      </c>
      <c r="U856" s="2">
        <v>43800</v>
      </c>
      <c r="V856" t="s">
        <v>14</v>
      </c>
      <c r="W856" t="s">
        <v>52</v>
      </c>
      <c r="X856" t="str">
        <f t="shared" si="124"/>
        <v>user@domain/com</v>
      </c>
      <c r="Y856" t="str">
        <f t="shared" si="125"/>
        <v>user@domain.com</v>
      </c>
      <c r="Z856" t="str">
        <f t="shared" si="117"/>
        <v>Phone not provided</v>
      </c>
    </row>
    <row r="857" spans="1:26" x14ac:dyDescent="0.25">
      <c r="A857" t="s">
        <v>42</v>
      </c>
      <c r="B857">
        <v>50</v>
      </c>
      <c r="C857">
        <v>70000</v>
      </c>
      <c r="D857" t="s">
        <v>11</v>
      </c>
      <c r="E857" t="s">
        <v>23</v>
      </c>
      <c r="F857" t="s">
        <v>38</v>
      </c>
      <c r="G857" s="2">
        <v>43845</v>
      </c>
      <c r="H857" t="s">
        <v>20</v>
      </c>
      <c r="I857" t="s">
        <v>51</v>
      </c>
      <c r="J857" t="s">
        <v>29</v>
      </c>
      <c r="M857" t="str">
        <f t="shared" si="118"/>
        <v>Alice</v>
      </c>
      <c r="N857">
        <v>50</v>
      </c>
      <c r="O857">
        <f t="shared" si="119"/>
        <v>50</v>
      </c>
      <c r="P857">
        <v>70000</v>
      </c>
      <c r="Q857">
        <f t="shared" si="120"/>
        <v>70000</v>
      </c>
      <c r="R857" t="str">
        <f t="shared" si="121"/>
        <v>Male</v>
      </c>
      <c r="S857" t="str">
        <f t="shared" si="122"/>
        <v>Sales</v>
      </c>
      <c r="T857" t="str">
        <f t="shared" si="123"/>
        <v>Analyst</v>
      </c>
      <c r="U857" s="2">
        <v>43845</v>
      </c>
      <c r="V857" t="s">
        <v>20</v>
      </c>
      <c r="W857" t="s">
        <v>51</v>
      </c>
      <c r="X857" t="str">
        <f t="shared" si="124"/>
        <v>email@example/com</v>
      </c>
      <c r="Y857" t="str">
        <f t="shared" si="125"/>
        <v>email@example.com</v>
      </c>
      <c r="Z857" t="str">
        <f t="shared" si="117"/>
        <v>Phone not provided</v>
      </c>
    </row>
    <row r="858" spans="1:26" x14ac:dyDescent="0.25">
      <c r="A858" t="s">
        <v>22</v>
      </c>
      <c r="B858">
        <v>30</v>
      </c>
      <c r="C858">
        <v>65000</v>
      </c>
      <c r="D858" t="s">
        <v>17</v>
      </c>
      <c r="E858" t="s">
        <v>27</v>
      </c>
      <c r="F858" t="s">
        <v>13</v>
      </c>
      <c r="G858" s="2">
        <v>43800</v>
      </c>
      <c r="H858" t="s">
        <v>36</v>
      </c>
      <c r="I858" t="s">
        <v>51</v>
      </c>
      <c r="J858" t="s">
        <v>39</v>
      </c>
      <c r="M858" t="str">
        <f t="shared" si="118"/>
        <v>Hannah</v>
      </c>
      <c r="N858">
        <v>30</v>
      </c>
      <c r="O858">
        <f t="shared" si="119"/>
        <v>30</v>
      </c>
      <c r="P858">
        <v>65000</v>
      </c>
      <c r="Q858">
        <f t="shared" si="120"/>
        <v>65000</v>
      </c>
      <c r="R858" t="str">
        <f t="shared" si="121"/>
        <v>Female</v>
      </c>
      <c r="S858" t="str">
        <f t="shared" si="122"/>
        <v>IT</v>
      </c>
      <c r="T858" t="str">
        <f t="shared" si="123"/>
        <v>Manager</v>
      </c>
      <c r="U858" s="2">
        <v>43800</v>
      </c>
      <c r="V858" t="s">
        <v>36</v>
      </c>
      <c r="W858" t="s">
        <v>51</v>
      </c>
      <c r="X858" t="str">
        <f t="shared" si="124"/>
        <v>email@example/com</v>
      </c>
      <c r="Y858" t="str">
        <f t="shared" si="125"/>
        <v>email@example.com</v>
      </c>
      <c r="Z858" t="str">
        <f t="shared" si="117"/>
        <v>555-555-5555</v>
      </c>
    </row>
    <row r="859" spans="1:26" x14ac:dyDescent="0.25">
      <c r="A859" t="s">
        <v>40</v>
      </c>
      <c r="B859">
        <v>35</v>
      </c>
      <c r="C859">
        <v>55000</v>
      </c>
      <c r="D859" t="s">
        <v>17</v>
      </c>
      <c r="E859" t="s">
        <v>18</v>
      </c>
      <c r="F859" t="s">
        <v>19</v>
      </c>
      <c r="G859" s="2">
        <v>43881</v>
      </c>
      <c r="H859" t="s">
        <v>14</v>
      </c>
      <c r="I859" t="s">
        <v>53</v>
      </c>
      <c r="J859" t="s">
        <v>21</v>
      </c>
      <c r="M859" t="str">
        <f t="shared" si="118"/>
        <v>Frank</v>
      </c>
      <c r="N859">
        <v>35</v>
      </c>
      <c r="O859">
        <f t="shared" si="119"/>
        <v>35</v>
      </c>
      <c r="P859">
        <v>55000</v>
      </c>
      <c r="Q859">
        <f t="shared" si="120"/>
        <v>55000</v>
      </c>
      <c r="R859" t="str">
        <f t="shared" si="121"/>
        <v>Female</v>
      </c>
      <c r="S859" t="str">
        <f t="shared" si="122"/>
        <v>Finance</v>
      </c>
      <c r="T859" t="str">
        <f t="shared" si="123"/>
        <v>Director</v>
      </c>
      <c r="U859" s="2">
        <v>43881</v>
      </c>
      <c r="V859" t="s">
        <v>14</v>
      </c>
      <c r="W859" t="s">
        <v>53</v>
      </c>
      <c r="X859" t="str">
        <f t="shared" si="124"/>
        <v>name@company/org</v>
      </c>
      <c r="Y859" t="str">
        <f t="shared" si="125"/>
        <v>name@company.org</v>
      </c>
      <c r="Z859" t="str">
        <f t="shared" si="117"/>
        <v>123-456-7890</v>
      </c>
    </row>
    <row r="860" spans="1:26" x14ac:dyDescent="0.25">
      <c r="A860" t="s">
        <v>34</v>
      </c>
      <c r="B860">
        <v>35</v>
      </c>
      <c r="C860">
        <v>50000</v>
      </c>
      <c r="D860" t="s">
        <v>17</v>
      </c>
      <c r="E860" t="s">
        <v>27</v>
      </c>
      <c r="F860" t="s">
        <v>35</v>
      </c>
      <c r="G860" s="2">
        <v>43881</v>
      </c>
      <c r="H860" t="s">
        <v>20</v>
      </c>
      <c r="I860" t="s">
        <v>53</v>
      </c>
      <c r="J860" t="s">
        <v>21</v>
      </c>
      <c r="M860" t="str">
        <f t="shared" si="118"/>
        <v>Charlie</v>
      </c>
      <c r="N860">
        <v>35</v>
      </c>
      <c r="O860">
        <f t="shared" si="119"/>
        <v>35</v>
      </c>
      <c r="P860">
        <v>50000</v>
      </c>
      <c r="Q860">
        <f t="shared" si="120"/>
        <v>50000</v>
      </c>
      <c r="R860" t="str">
        <f t="shared" si="121"/>
        <v>Female</v>
      </c>
      <c r="S860" t="str">
        <f t="shared" si="122"/>
        <v>IT</v>
      </c>
      <c r="T860" t="str">
        <f t="shared" si="123"/>
        <v>Clerk</v>
      </c>
      <c r="U860" s="2">
        <v>43881</v>
      </c>
      <c r="V860" t="s">
        <v>20</v>
      </c>
      <c r="W860" t="s">
        <v>53</v>
      </c>
      <c r="X860" t="str">
        <f t="shared" si="124"/>
        <v>name@company/org</v>
      </c>
      <c r="Y860" t="str">
        <f t="shared" si="125"/>
        <v>name@company.org</v>
      </c>
      <c r="Z860" t="str">
        <f t="shared" si="117"/>
        <v>123-456-7890</v>
      </c>
    </row>
    <row r="861" spans="1:26" x14ac:dyDescent="0.25">
      <c r="A861" t="s">
        <v>43</v>
      </c>
      <c r="B861">
        <v>30</v>
      </c>
      <c r="C861">
        <v>60000</v>
      </c>
      <c r="D861" t="s">
        <v>11</v>
      </c>
      <c r="E861" t="s">
        <v>18</v>
      </c>
      <c r="F861" t="s">
        <v>19</v>
      </c>
      <c r="G861" s="2">
        <v>43845</v>
      </c>
      <c r="H861" t="s">
        <v>20</v>
      </c>
      <c r="I861" t="s">
        <v>53</v>
      </c>
      <c r="J861" t="s">
        <v>21</v>
      </c>
      <c r="M861" t="str">
        <f t="shared" si="118"/>
        <v>Ivy</v>
      </c>
      <c r="N861">
        <v>30</v>
      </c>
      <c r="O861">
        <f t="shared" si="119"/>
        <v>30</v>
      </c>
      <c r="P861">
        <v>60000</v>
      </c>
      <c r="Q861">
        <f t="shared" si="120"/>
        <v>60000</v>
      </c>
      <c r="R861" t="str">
        <f t="shared" si="121"/>
        <v>Male</v>
      </c>
      <c r="S861" t="str">
        <f t="shared" si="122"/>
        <v>Finance</v>
      </c>
      <c r="T861" t="str">
        <f t="shared" si="123"/>
        <v>Director</v>
      </c>
      <c r="U861" s="2">
        <v>43845</v>
      </c>
      <c r="V861" t="s">
        <v>20</v>
      </c>
      <c r="W861" t="s">
        <v>53</v>
      </c>
      <c r="X861" t="str">
        <f t="shared" si="124"/>
        <v>name@company/org</v>
      </c>
      <c r="Y861" t="str">
        <f t="shared" si="125"/>
        <v>name@company.org</v>
      </c>
      <c r="Z861" t="str">
        <f t="shared" si="117"/>
        <v>123-456-7890</v>
      </c>
    </row>
    <row r="862" spans="1:26" x14ac:dyDescent="0.25">
      <c r="A862" t="s">
        <v>41</v>
      </c>
      <c r="B862">
        <v>50</v>
      </c>
      <c r="C862" t="s">
        <v>30</v>
      </c>
      <c r="D862" t="s">
        <v>17</v>
      </c>
      <c r="E862" t="s">
        <v>23</v>
      </c>
      <c r="F862" t="s">
        <v>35</v>
      </c>
      <c r="G862" s="2">
        <v>43800</v>
      </c>
      <c r="H862" t="s">
        <v>28</v>
      </c>
      <c r="I862" t="s">
        <v>53</v>
      </c>
      <c r="J862" t="s">
        <v>39</v>
      </c>
      <c r="M862" t="str">
        <f t="shared" si="118"/>
        <v>Bob</v>
      </c>
      <c r="N862">
        <v>50</v>
      </c>
      <c r="O862">
        <f t="shared" si="119"/>
        <v>50</v>
      </c>
      <c r="P862" t="s">
        <v>30</v>
      </c>
      <c r="Q862">
        <f t="shared" si="120"/>
        <v>60000</v>
      </c>
      <c r="R862" t="str">
        <f t="shared" si="121"/>
        <v>Female</v>
      </c>
      <c r="S862" t="str">
        <f t="shared" si="122"/>
        <v>Sales</v>
      </c>
      <c r="T862" t="str">
        <f t="shared" si="123"/>
        <v>Clerk</v>
      </c>
      <c r="U862" s="2">
        <v>43800</v>
      </c>
      <c r="V862" t="s">
        <v>28</v>
      </c>
      <c r="W862" t="s">
        <v>53</v>
      </c>
      <c r="X862" t="str">
        <f t="shared" si="124"/>
        <v>name@company/org</v>
      </c>
      <c r="Y862" t="str">
        <f t="shared" si="125"/>
        <v>name@company.org</v>
      </c>
      <c r="Z862" t="str">
        <f t="shared" si="117"/>
        <v>555-555-5555</v>
      </c>
    </row>
    <row r="863" spans="1:26" x14ac:dyDescent="0.25">
      <c r="A863" t="s">
        <v>22</v>
      </c>
      <c r="B863">
        <v>40</v>
      </c>
      <c r="C863">
        <v>55000</v>
      </c>
      <c r="D863" t="s">
        <v>17</v>
      </c>
      <c r="E863" t="s">
        <v>33</v>
      </c>
      <c r="F863" t="s">
        <v>37</v>
      </c>
      <c r="G863" s="2">
        <v>43881</v>
      </c>
      <c r="H863" t="s">
        <v>36</v>
      </c>
      <c r="J863" t="s">
        <v>15</v>
      </c>
      <c r="M863" t="str">
        <f t="shared" si="118"/>
        <v>Hannah</v>
      </c>
      <c r="N863">
        <v>40</v>
      </c>
      <c r="O863">
        <f t="shared" si="119"/>
        <v>40</v>
      </c>
      <c r="P863">
        <v>55000</v>
      </c>
      <c r="Q863">
        <f t="shared" si="120"/>
        <v>55000</v>
      </c>
      <c r="R863" t="str">
        <f t="shared" si="121"/>
        <v>Female</v>
      </c>
      <c r="S863" t="str">
        <f t="shared" si="122"/>
        <v>Marketing</v>
      </c>
      <c r="T863" t="str">
        <f t="shared" si="123"/>
        <v>Assistant</v>
      </c>
      <c r="U863" s="2">
        <v>43881</v>
      </c>
      <c r="V863" t="s">
        <v>36</v>
      </c>
      <c r="X863" t="str">
        <f t="shared" si="124"/>
        <v>Email not provided</v>
      </c>
      <c r="Y863" t="str">
        <f t="shared" si="125"/>
        <v>Email not provided</v>
      </c>
      <c r="Z863" t="str">
        <f t="shared" si="117"/>
        <v>Phone not provided</v>
      </c>
    </row>
    <row r="864" spans="1:26" x14ac:dyDescent="0.25">
      <c r="A864" t="s">
        <v>31</v>
      </c>
      <c r="B864" t="s">
        <v>15</v>
      </c>
      <c r="C864">
        <v>60000</v>
      </c>
      <c r="D864" t="s">
        <v>32</v>
      </c>
      <c r="E864" t="s">
        <v>23</v>
      </c>
      <c r="F864" t="s">
        <v>38</v>
      </c>
      <c r="G864" s="1">
        <v>43195</v>
      </c>
      <c r="H864" t="s">
        <v>20</v>
      </c>
      <c r="J864" t="s">
        <v>21</v>
      </c>
      <c r="M864" t="str">
        <f t="shared" si="118"/>
        <v>Jack</v>
      </c>
      <c r="N864" t="s">
        <v>15</v>
      </c>
      <c r="O864">
        <f t="shared" si="119"/>
        <v>35</v>
      </c>
      <c r="P864">
        <v>60000</v>
      </c>
      <c r="Q864">
        <f t="shared" si="120"/>
        <v>60000</v>
      </c>
      <c r="R864" t="str">
        <f t="shared" si="121"/>
        <v>Other</v>
      </c>
      <c r="S864" t="str">
        <f t="shared" si="122"/>
        <v>Sales</v>
      </c>
      <c r="T864" t="str">
        <f t="shared" si="123"/>
        <v>Analyst</v>
      </c>
      <c r="U864" s="2">
        <v>43195</v>
      </c>
      <c r="V864" t="s">
        <v>20</v>
      </c>
      <c r="X864" t="str">
        <f t="shared" si="124"/>
        <v>Email not provided</v>
      </c>
      <c r="Y864" t="str">
        <f t="shared" si="125"/>
        <v>Email not provided</v>
      </c>
      <c r="Z864" t="str">
        <f t="shared" si="117"/>
        <v>123-456-7890</v>
      </c>
    </row>
    <row r="865" spans="1:26" x14ac:dyDescent="0.25">
      <c r="A865" t="s">
        <v>34</v>
      </c>
      <c r="B865">
        <v>35</v>
      </c>
      <c r="C865">
        <v>65000</v>
      </c>
      <c r="D865" t="s">
        <v>11</v>
      </c>
      <c r="E865" t="s">
        <v>12</v>
      </c>
      <c r="F865" t="s">
        <v>37</v>
      </c>
      <c r="G865" s="2">
        <v>43549</v>
      </c>
      <c r="H865" t="s">
        <v>20</v>
      </c>
      <c r="I865" t="s">
        <v>51</v>
      </c>
      <c r="J865" t="s">
        <v>29</v>
      </c>
      <c r="M865" t="str">
        <f t="shared" si="118"/>
        <v>Charlie</v>
      </c>
      <c r="N865">
        <v>35</v>
      </c>
      <c r="O865">
        <f t="shared" si="119"/>
        <v>35</v>
      </c>
      <c r="P865">
        <v>65000</v>
      </c>
      <c r="Q865">
        <f t="shared" si="120"/>
        <v>65000</v>
      </c>
      <c r="R865" t="str">
        <f t="shared" si="121"/>
        <v>Male</v>
      </c>
      <c r="S865" t="str">
        <f t="shared" si="122"/>
        <v>HR</v>
      </c>
      <c r="T865" t="str">
        <f t="shared" si="123"/>
        <v>Assistant</v>
      </c>
      <c r="U865" s="2">
        <v>43549</v>
      </c>
      <c r="V865" t="s">
        <v>20</v>
      </c>
      <c r="W865" t="s">
        <v>51</v>
      </c>
      <c r="X865" t="str">
        <f t="shared" si="124"/>
        <v>email@example/com</v>
      </c>
      <c r="Y865" t="str">
        <f t="shared" si="125"/>
        <v>email@example.com</v>
      </c>
      <c r="Z865" t="str">
        <f t="shared" si="117"/>
        <v>Phone not provided</v>
      </c>
    </row>
    <row r="866" spans="1:26" x14ac:dyDescent="0.25">
      <c r="A866" t="s">
        <v>26</v>
      </c>
      <c r="B866">
        <v>40</v>
      </c>
      <c r="C866">
        <v>70000</v>
      </c>
      <c r="D866" t="s">
        <v>32</v>
      </c>
      <c r="E866" t="s">
        <v>18</v>
      </c>
      <c r="F866" t="s">
        <v>35</v>
      </c>
      <c r="G866" s="2">
        <v>43549</v>
      </c>
      <c r="H866" t="s">
        <v>14</v>
      </c>
      <c r="I866" t="s">
        <v>52</v>
      </c>
      <c r="J866" t="s">
        <v>21</v>
      </c>
      <c r="M866" t="str">
        <f t="shared" si="118"/>
        <v>Eve</v>
      </c>
      <c r="N866">
        <v>40</v>
      </c>
      <c r="O866">
        <f t="shared" si="119"/>
        <v>40</v>
      </c>
      <c r="P866">
        <v>70000</v>
      </c>
      <c r="Q866">
        <f t="shared" si="120"/>
        <v>70000</v>
      </c>
      <c r="R866" t="str">
        <f t="shared" si="121"/>
        <v>Other</v>
      </c>
      <c r="S866" t="str">
        <f t="shared" si="122"/>
        <v>Finance</v>
      </c>
      <c r="T866" t="str">
        <f t="shared" si="123"/>
        <v>Clerk</v>
      </c>
      <c r="U866" s="2">
        <v>43549</v>
      </c>
      <c r="V866" t="s">
        <v>14</v>
      </c>
      <c r="W866" t="s">
        <v>52</v>
      </c>
      <c r="X866" t="str">
        <f t="shared" si="124"/>
        <v>user@domain/com</v>
      </c>
      <c r="Y866" t="str">
        <f t="shared" si="125"/>
        <v>user@domain.com</v>
      </c>
      <c r="Z866" t="str">
        <f t="shared" si="117"/>
        <v>123-456-7890</v>
      </c>
    </row>
    <row r="867" spans="1:26" x14ac:dyDescent="0.25">
      <c r="A867" t="s">
        <v>40</v>
      </c>
      <c r="B867">
        <v>30</v>
      </c>
      <c r="C867">
        <v>55000</v>
      </c>
      <c r="D867" t="s">
        <v>32</v>
      </c>
      <c r="E867" t="s">
        <v>12</v>
      </c>
      <c r="F867" t="s">
        <v>35</v>
      </c>
      <c r="G867" s="2">
        <v>43881</v>
      </c>
      <c r="H867" t="s">
        <v>28</v>
      </c>
      <c r="I867" t="s">
        <v>52</v>
      </c>
      <c r="J867" t="s">
        <v>15</v>
      </c>
      <c r="M867" t="str">
        <f t="shared" si="118"/>
        <v>Frank</v>
      </c>
      <c r="N867">
        <v>30</v>
      </c>
      <c r="O867">
        <f t="shared" si="119"/>
        <v>30</v>
      </c>
      <c r="P867">
        <v>55000</v>
      </c>
      <c r="Q867">
        <f t="shared" si="120"/>
        <v>55000</v>
      </c>
      <c r="R867" t="str">
        <f t="shared" si="121"/>
        <v>Other</v>
      </c>
      <c r="S867" t="str">
        <f t="shared" si="122"/>
        <v>HR</v>
      </c>
      <c r="T867" t="str">
        <f t="shared" si="123"/>
        <v>Clerk</v>
      </c>
      <c r="U867" s="2">
        <v>43881</v>
      </c>
      <c r="V867" t="s">
        <v>28</v>
      </c>
      <c r="W867" t="s">
        <v>52</v>
      </c>
      <c r="X867" t="str">
        <f t="shared" si="124"/>
        <v>user@domain/com</v>
      </c>
      <c r="Y867" t="str">
        <f t="shared" si="125"/>
        <v>user@domain.com</v>
      </c>
      <c r="Z867" t="str">
        <f t="shared" si="117"/>
        <v>Phone not provided</v>
      </c>
    </row>
    <row r="868" spans="1:26" x14ac:dyDescent="0.25">
      <c r="A868" t="s">
        <v>31</v>
      </c>
      <c r="B868">
        <v>40</v>
      </c>
      <c r="C868">
        <v>55000</v>
      </c>
      <c r="D868" t="s">
        <v>17</v>
      </c>
      <c r="E868" t="s">
        <v>12</v>
      </c>
      <c r="F868" t="s">
        <v>35</v>
      </c>
      <c r="G868" s="2">
        <v>43800</v>
      </c>
      <c r="H868" t="s">
        <v>24</v>
      </c>
      <c r="I868" t="s">
        <v>15</v>
      </c>
      <c r="J868" t="s">
        <v>39</v>
      </c>
      <c r="M868" t="str">
        <f t="shared" si="118"/>
        <v>Jack</v>
      </c>
      <c r="N868">
        <v>40</v>
      </c>
      <c r="O868">
        <f t="shared" si="119"/>
        <v>40</v>
      </c>
      <c r="P868">
        <v>55000</v>
      </c>
      <c r="Q868">
        <f t="shared" si="120"/>
        <v>55000</v>
      </c>
      <c r="R868" t="str">
        <f t="shared" si="121"/>
        <v>Female</v>
      </c>
      <c r="S868" t="str">
        <f t="shared" si="122"/>
        <v>HR</v>
      </c>
      <c r="T868" t="str">
        <f t="shared" si="123"/>
        <v>Clerk</v>
      </c>
      <c r="U868" s="2">
        <v>43800</v>
      </c>
      <c r="V868" t="s">
        <v>24</v>
      </c>
      <c r="W868" t="s">
        <v>15</v>
      </c>
      <c r="X868" t="str">
        <f t="shared" si="124"/>
        <v>Email not provided</v>
      </c>
      <c r="Y868" t="str">
        <f t="shared" si="125"/>
        <v>Email not provided</v>
      </c>
      <c r="Z868" t="str">
        <f t="shared" si="117"/>
        <v>555-555-5555</v>
      </c>
    </row>
    <row r="869" spans="1:26" x14ac:dyDescent="0.25">
      <c r="A869" t="s">
        <v>40</v>
      </c>
      <c r="B869">
        <v>25</v>
      </c>
      <c r="C869">
        <v>65000</v>
      </c>
      <c r="D869" t="s">
        <v>11</v>
      </c>
      <c r="E869" t="s">
        <v>27</v>
      </c>
      <c r="F869" t="s">
        <v>13</v>
      </c>
      <c r="G869" s="2">
        <v>43881</v>
      </c>
      <c r="H869" t="s">
        <v>28</v>
      </c>
      <c r="J869" t="s">
        <v>21</v>
      </c>
      <c r="M869" t="str">
        <f t="shared" si="118"/>
        <v>Frank</v>
      </c>
      <c r="N869">
        <v>25</v>
      </c>
      <c r="O869">
        <f t="shared" si="119"/>
        <v>25</v>
      </c>
      <c r="P869">
        <v>65000</v>
      </c>
      <c r="Q869">
        <f t="shared" si="120"/>
        <v>65000</v>
      </c>
      <c r="R869" t="str">
        <f t="shared" si="121"/>
        <v>Male</v>
      </c>
      <c r="S869" t="str">
        <f t="shared" si="122"/>
        <v>IT</v>
      </c>
      <c r="T869" t="str">
        <f t="shared" si="123"/>
        <v>Manager</v>
      </c>
      <c r="U869" s="2">
        <v>43881</v>
      </c>
      <c r="V869" t="s">
        <v>28</v>
      </c>
      <c r="X869" t="str">
        <f t="shared" si="124"/>
        <v>Email not provided</v>
      </c>
      <c r="Y869" t="str">
        <f t="shared" si="125"/>
        <v>Email not provided</v>
      </c>
      <c r="Z869" t="str">
        <f t="shared" si="117"/>
        <v>123-456-7890</v>
      </c>
    </row>
    <row r="870" spans="1:26" x14ac:dyDescent="0.25">
      <c r="A870" t="s">
        <v>16</v>
      </c>
      <c r="B870">
        <v>35</v>
      </c>
      <c r="C870" t="s">
        <v>30</v>
      </c>
      <c r="D870" t="s">
        <v>17</v>
      </c>
      <c r="E870" t="s">
        <v>18</v>
      </c>
      <c r="F870" t="s">
        <v>38</v>
      </c>
      <c r="G870" s="2">
        <v>43800</v>
      </c>
      <c r="H870" t="s">
        <v>24</v>
      </c>
      <c r="I870" t="s">
        <v>53</v>
      </c>
      <c r="J870" t="s">
        <v>21</v>
      </c>
      <c r="M870" t="str">
        <f t="shared" si="118"/>
        <v>David</v>
      </c>
      <c r="N870">
        <v>35</v>
      </c>
      <c r="O870">
        <f t="shared" si="119"/>
        <v>35</v>
      </c>
      <c r="P870" t="s">
        <v>30</v>
      </c>
      <c r="Q870">
        <f t="shared" si="120"/>
        <v>60000</v>
      </c>
      <c r="R870" t="str">
        <f t="shared" si="121"/>
        <v>Female</v>
      </c>
      <c r="S870" t="str">
        <f t="shared" si="122"/>
        <v>Finance</v>
      </c>
      <c r="T870" t="str">
        <f t="shared" si="123"/>
        <v>Analyst</v>
      </c>
      <c r="U870" s="2">
        <v>43800</v>
      </c>
      <c r="V870" t="s">
        <v>24</v>
      </c>
      <c r="W870" t="s">
        <v>53</v>
      </c>
      <c r="X870" t="str">
        <f t="shared" si="124"/>
        <v>name@company/org</v>
      </c>
      <c r="Y870" t="str">
        <f t="shared" si="125"/>
        <v>name@company.org</v>
      </c>
      <c r="Z870" t="str">
        <f t="shared" si="117"/>
        <v>123-456-7890</v>
      </c>
    </row>
    <row r="871" spans="1:26" x14ac:dyDescent="0.25">
      <c r="A871" t="s">
        <v>34</v>
      </c>
      <c r="B871">
        <v>30</v>
      </c>
      <c r="C871">
        <v>50000</v>
      </c>
      <c r="D871" t="s">
        <v>11</v>
      </c>
      <c r="E871" t="s">
        <v>12</v>
      </c>
      <c r="F871" t="s">
        <v>37</v>
      </c>
      <c r="G871" s="1">
        <v>43195</v>
      </c>
      <c r="H871" t="s">
        <v>36</v>
      </c>
      <c r="I871" t="s">
        <v>53</v>
      </c>
      <c r="J871" t="s">
        <v>29</v>
      </c>
      <c r="M871" t="str">
        <f t="shared" si="118"/>
        <v>Charlie</v>
      </c>
      <c r="N871">
        <v>30</v>
      </c>
      <c r="O871">
        <f t="shared" si="119"/>
        <v>30</v>
      </c>
      <c r="P871">
        <v>50000</v>
      </c>
      <c r="Q871">
        <f t="shared" si="120"/>
        <v>50000</v>
      </c>
      <c r="R871" t="str">
        <f t="shared" si="121"/>
        <v>Male</v>
      </c>
      <c r="S871" t="str">
        <f t="shared" si="122"/>
        <v>HR</v>
      </c>
      <c r="T871" t="str">
        <f t="shared" si="123"/>
        <v>Assistant</v>
      </c>
      <c r="U871" s="2">
        <v>43195</v>
      </c>
      <c r="V871" t="s">
        <v>36</v>
      </c>
      <c r="W871" t="s">
        <v>53</v>
      </c>
      <c r="X871" t="str">
        <f t="shared" si="124"/>
        <v>name@company/org</v>
      </c>
      <c r="Y871" t="str">
        <f t="shared" si="125"/>
        <v>name@company.org</v>
      </c>
      <c r="Z871" t="str">
        <f t="shared" si="117"/>
        <v>Phone not provided</v>
      </c>
    </row>
    <row r="872" spans="1:26" x14ac:dyDescent="0.25">
      <c r="A872" t="s">
        <v>16</v>
      </c>
      <c r="B872" t="s">
        <v>15</v>
      </c>
      <c r="C872">
        <v>70000</v>
      </c>
      <c r="D872" t="s">
        <v>32</v>
      </c>
      <c r="E872" t="s">
        <v>33</v>
      </c>
      <c r="F872" t="s">
        <v>37</v>
      </c>
      <c r="G872" s="2">
        <v>43800</v>
      </c>
      <c r="H872" t="s">
        <v>36</v>
      </c>
      <c r="I872" t="s">
        <v>15</v>
      </c>
      <c r="J872" t="s">
        <v>29</v>
      </c>
      <c r="M872" t="str">
        <f t="shared" si="118"/>
        <v>David</v>
      </c>
      <c r="N872" t="s">
        <v>15</v>
      </c>
      <c r="O872">
        <f t="shared" si="119"/>
        <v>35</v>
      </c>
      <c r="P872">
        <v>70000</v>
      </c>
      <c r="Q872">
        <f t="shared" si="120"/>
        <v>70000</v>
      </c>
      <c r="R872" t="str">
        <f t="shared" si="121"/>
        <v>Other</v>
      </c>
      <c r="S872" t="str">
        <f t="shared" si="122"/>
        <v>Marketing</v>
      </c>
      <c r="T872" t="str">
        <f t="shared" si="123"/>
        <v>Assistant</v>
      </c>
      <c r="U872" s="2">
        <v>43800</v>
      </c>
      <c r="V872" t="s">
        <v>36</v>
      </c>
      <c r="W872" t="s">
        <v>15</v>
      </c>
      <c r="X872" t="str">
        <f t="shared" si="124"/>
        <v>Email not provided</v>
      </c>
      <c r="Y872" t="str">
        <f t="shared" si="125"/>
        <v>Email not provided</v>
      </c>
      <c r="Z872" t="str">
        <f t="shared" si="117"/>
        <v>Phone not provided</v>
      </c>
    </row>
    <row r="873" spans="1:26" x14ac:dyDescent="0.25">
      <c r="A873" t="s">
        <v>42</v>
      </c>
      <c r="B873">
        <v>50</v>
      </c>
      <c r="C873">
        <v>55000</v>
      </c>
      <c r="D873" t="s">
        <v>11</v>
      </c>
      <c r="E873" t="s">
        <v>12</v>
      </c>
      <c r="F873" t="s">
        <v>19</v>
      </c>
      <c r="G873" s="2">
        <v>43881</v>
      </c>
      <c r="H873" t="s">
        <v>20</v>
      </c>
      <c r="I873" t="s">
        <v>52</v>
      </c>
      <c r="J873" t="s">
        <v>21</v>
      </c>
      <c r="M873" t="str">
        <f t="shared" si="118"/>
        <v>Alice</v>
      </c>
      <c r="N873">
        <v>50</v>
      </c>
      <c r="O873">
        <f t="shared" si="119"/>
        <v>50</v>
      </c>
      <c r="P873">
        <v>55000</v>
      </c>
      <c r="Q873">
        <f t="shared" si="120"/>
        <v>55000</v>
      </c>
      <c r="R873" t="str">
        <f t="shared" si="121"/>
        <v>Male</v>
      </c>
      <c r="S873" t="str">
        <f t="shared" si="122"/>
        <v>HR</v>
      </c>
      <c r="T873" t="str">
        <f t="shared" si="123"/>
        <v>Director</v>
      </c>
      <c r="U873" s="2">
        <v>43881</v>
      </c>
      <c r="V873" t="s">
        <v>20</v>
      </c>
      <c r="W873" t="s">
        <v>52</v>
      </c>
      <c r="X873" t="str">
        <f t="shared" si="124"/>
        <v>user@domain/com</v>
      </c>
      <c r="Y873" t="str">
        <f t="shared" si="125"/>
        <v>user@domain.com</v>
      </c>
      <c r="Z873" t="str">
        <f t="shared" si="117"/>
        <v>123-456-7890</v>
      </c>
    </row>
    <row r="874" spans="1:26" x14ac:dyDescent="0.25">
      <c r="A874" t="s">
        <v>16</v>
      </c>
      <c r="B874">
        <v>30</v>
      </c>
      <c r="C874">
        <v>70000</v>
      </c>
      <c r="D874" t="s">
        <v>17</v>
      </c>
      <c r="E874" t="s">
        <v>33</v>
      </c>
      <c r="F874" t="s">
        <v>35</v>
      </c>
      <c r="G874" s="1">
        <v>43195</v>
      </c>
      <c r="H874" t="s">
        <v>36</v>
      </c>
      <c r="I874" t="s">
        <v>53</v>
      </c>
      <c r="J874" t="s">
        <v>21</v>
      </c>
      <c r="M874" t="str">
        <f t="shared" si="118"/>
        <v>David</v>
      </c>
      <c r="N874">
        <v>30</v>
      </c>
      <c r="O874">
        <f t="shared" si="119"/>
        <v>30</v>
      </c>
      <c r="P874">
        <v>70000</v>
      </c>
      <c r="Q874">
        <f t="shared" si="120"/>
        <v>70000</v>
      </c>
      <c r="R874" t="str">
        <f t="shared" si="121"/>
        <v>Female</v>
      </c>
      <c r="S874" t="str">
        <f t="shared" si="122"/>
        <v>Marketing</v>
      </c>
      <c r="T874" t="str">
        <f t="shared" si="123"/>
        <v>Clerk</v>
      </c>
      <c r="U874" s="2">
        <v>43195</v>
      </c>
      <c r="V874" t="s">
        <v>36</v>
      </c>
      <c r="W874" t="s">
        <v>53</v>
      </c>
      <c r="X874" t="str">
        <f t="shared" si="124"/>
        <v>name@company/org</v>
      </c>
      <c r="Y874" t="str">
        <f t="shared" si="125"/>
        <v>name@company.org</v>
      </c>
      <c r="Z874" t="str">
        <f t="shared" si="117"/>
        <v>123-456-7890</v>
      </c>
    </row>
    <row r="875" spans="1:26" x14ac:dyDescent="0.25">
      <c r="A875" t="s">
        <v>42</v>
      </c>
      <c r="B875" t="s">
        <v>15</v>
      </c>
      <c r="C875">
        <v>55000</v>
      </c>
      <c r="D875" t="s">
        <v>17</v>
      </c>
      <c r="E875" t="s">
        <v>27</v>
      </c>
      <c r="F875" t="s">
        <v>35</v>
      </c>
      <c r="G875" s="2">
        <v>43845</v>
      </c>
      <c r="H875" t="s">
        <v>20</v>
      </c>
      <c r="I875" t="s">
        <v>52</v>
      </c>
      <c r="J875" t="s">
        <v>29</v>
      </c>
      <c r="M875" t="str">
        <f t="shared" si="118"/>
        <v>Alice</v>
      </c>
      <c r="N875" t="s">
        <v>15</v>
      </c>
      <c r="O875">
        <f t="shared" si="119"/>
        <v>35</v>
      </c>
      <c r="P875">
        <v>55000</v>
      </c>
      <c r="Q875">
        <f t="shared" si="120"/>
        <v>55000</v>
      </c>
      <c r="R875" t="str">
        <f t="shared" si="121"/>
        <v>Female</v>
      </c>
      <c r="S875" t="str">
        <f t="shared" si="122"/>
        <v>IT</v>
      </c>
      <c r="T875" t="str">
        <f t="shared" si="123"/>
        <v>Clerk</v>
      </c>
      <c r="U875" s="2">
        <v>43845</v>
      </c>
      <c r="V875" t="s">
        <v>20</v>
      </c>
      <c r="W875" t="s">
        <v>52</v>
      </c>
      <c r="X875" t="str">
        <f t="shared" si="124"/>
        <v>user@domain/com</v>
      </c>
      <c r="Y875" t="str">
        <f t="shared" si="125"/>
        <v>user@domain.com</v>
      </c>
      <c r="Z875" t="str">
        <f t="shared" si="117"/>
        <v>Phone not provided</v>
      </c>
    </row>
    <row r="876" spans="1:26" x14ac:dyDescent="0.25">
      <c r="A876" t="s">
        <v>42</v>
      </c>
      <c r="B876">
        <v>50</v>
      </c>
      <c r="C876">
        <v>70000</v>
      </c>
      <c r="D876" t="s">
        <v>17</v>
      </c>
      <c r="E876" t="s">
        <v>12</v>
      </c>
      <c r="F876" t="s">
        <v>35</v>
      </c>
      <c r="G876" s="2">
        <v>43549</v>
      </c>
      <c r="H876" t="s">
        <v>28</v>
      </c>
      <c r="I876" t="s">
        <v>15</v>
      </c>
      <c r="J876" t="s">
        <v>15</v>
      </c>
      <c r="M876" t="str">
        <f t="shared" si="118"/>
        <v>Alice</v>
      </c>
      <c r="N876">
        <v>50</v>
      </c>
      <c r="O876">
        <f t="shared" si="119"/>
        <v>50</v>
      </c>
      <c r="P876">
        <v>70000</v>
      </c>
      <c r="Q876">
        <f t="shared" si="120"/>
        <v>70000</v>
      </c>
      <c r="R876" t="str">
        <f t="shared" si="121"/>
        <v>Female</v>
      </c>
      <c r="S876" t="str">
        <f t="shared" si="122"/>
        <v>HR</v>
      </c>
      <c r="T876" t="str">
        <f t="shared" si="123"/>
        <v>Clerk</v>
      </c>
      <c r="U876" s="2">
        <v>43549</v>
      </c>
      <c r="V876" t="s">
        <v>28</v>
      </c>
      <c r="W876" t="s">
        <v>15</v>
      </c>
      <c r="X876" t="str">
        <f t="shared" si="124"/>
        <v>Email not provided</v>
      </c>
      <c r="Y876" t="str">
        <f t="shared" si="125"/>
        <v>Email not provided</v>
      </c>
      <c r="Z876" t="str">
        <f t="shared" si="117"/>
        <v>Phone not provided</v>
      </c>
    </row>
    <row r="877" spans="1:26" x14ac:dyDescent="0.25">
      <c r="A877" t="s">
        <v>31</v>
      </c>
      <c r="B877">
        <v>50</v>
      </c>
      <c r="C877">
        <v>60000</v>
      </c>
      <c r="D877" t="s">
        <v>11</v>
      </c>
      <c r="E877" t="s">
        <v>23</v>
      </c>
      <c r="F877" t="s">
        <v>37</v>
      </c>
      <c r="G877" s="2">
        <v>43881</v>
      </c>
      <c r="H877" t="s">
        <v>36</v>
      </c>
      <c r="I877" t="s">
        <v>52</v>
      </c>
      <c r="J877" t="s">
        <v>25</v>
      </c>
      <c r="M877" t="str">
        <f t="shared" si="118"/>
        <v>Jack</v>
      </c>
      <c r="N877">
        <v>50</v>
      </c>
      <c r="O877">
        <f t="shared" si="119"/>
        <v>50</v>
      </c>
      <c r="P877">
        <v>60000</v>
      </c>
      <c r="Q877">
        <f t="shared" si="120"/>
        <v>60000</v>
      </c>
      <c r="R877" t="str">
        <f t="shared" si="121"/>
        <v>Male</v>
      </c>
      <c r="S877" t="str">
        <f t="shared" si="122"/>
        <v>Sales</v>
      </c>
      <c r="T877" t="str">
        <f t="shared" si="123"/>
        <v>Assistant</v>
      </c>
      <c r="U877" s="2">
        <v>43881</v>
      </c>
      <c r="V877" t="s">
        <v>36</v>
      </c>
      <c r="W877" t="s">
        <v>52</v>
      </c>
      <c r="X877" t="str">
        <f t="shared" si="124"/>
        <v>user@domain/com</v>
      </c>
      <c r="Y877" t="str">
        <f t="shared" si="125"/>
        <v>user@domain.com</v>
      </c>
      <c r="Z877" t="str">
        <f t="shared" si="117"/>
        <v>098-765-4321</v>
      </c>
    </row>
    <row r="878" spans="1:26" x14ac:dyDescent="0.25">
      <c r="A878" t="s">
        <v>40</v>
      </c>
      <c r="B878">
        <v>30</v>
      </c>
      <c r="C878">
        <v>55000</v>
      </c>
      <c r="D878" t="s">
        <v>32</v>
      </c>
      <c r="E878" t="s">
        <v>27</v>
      </c>
      <c r="F878" t="s">
        <v>19</v>
      </c>
      <c r="G878" s="2">
        <v>43881</v>
      </c>
      <c r="H878" t="s">
        <v>28</v>
      </c>
      <c r="I878" t="s">
        <v>52</v>
      </c>
      <c r="J878" t="s">
        <v>25</v>
      </c>
      <c r="M878" t="str">
        <f t="shared" si="118"/>
        <v>Frank</v>
      </c>
      <c r="N878">
        <v>30</v>
      </c>
      <c r="O878">
        <f t="shared" si="119"/>
        <v>30</v>
      </c>
      <c r="P878">
        <v>55000</v>
      </c>
      <c r="Q878">
        <f t="shared" si="120"/>
        <v>55000</v>
      </c>
      <c r="R878" t="str">
        <f t="shared" si="121"/>
        <v>Other</v>
      </c>
      <c r="S878" t="str">
        <f t="shared" si="122"/>
        <v>IT</v>
      </c>
      <c r="T878" t="str">
        <f t="shared" si="123"/>
        <v>Director</v>
      </c>
      <c r="U878" s="2">
        <v>43881</v>
      </c>
      <c r="V878" t="s">
        <v>28</v>
      </c>
      <c r="W878" t="s">
        <v>52</v>
      </c>
      <c r="X878" t="str">
        <f t="shared" si="124"/>
        <v>user@domain/com</v>
      </c>
      <c r="Y878" t="str">
        <f t="shared" si="125"/>
        <v>user@domain.com</v>
      </c>
      <c r="Z878" t="str">
        <f t="shared" si="117"/>
        <v>098-765-4321</v>
      </c>
    </row>
    <row r="879" spans="1:26" x14ac:dyDescent="0.25">
      <c r="A879" t="s">
        <v>26</v>
      </c>
      <c r="B879">
        <v>40</v>
      </c>
      <c r="C879">
        <v>70000</v>
      </c>
      <c r="D879" t="s">
        <v>32</v>
      </c>
      <c r="E879" t="s">
        <v>33</v>
      </c>
      <c r="F879" t="s">
        <v>13</v>
      </c>
      <c r="G879" s="2">
        <v>43881</v>
      </c>
      <c r="H879" t="s">
        <v>28</v>
      </c>
      <c r="I879" t="s">
        <v>52</v>
      </c>
      <c r="J879" t="s">
        <v>21</v>
      </c>
      <c r="M879" t="str">
        <f t="shared" si="118"/>
        <v>Eve</v>
      </c>
      <c r="N879">
        <v>40</v>
      </c>
      <c r="O879">
        <f t="shared" si="119"/>
        <v>40</v>
      </c>
      <c r="P879">
        <v>70000</v>
      </c>
      <c r="Q879">
        <f t="shared" si="120"/>
        <v>70000</v>
      </c>
      <c r="R879" t="str">
        <f t="shared" si="121"/>
        <v>Other</v>
      </c>
      <c r="S879" t="str">
        <f t="shared" si="122"/>
        <v>Marketing</v>
      </c>
      <c r="T879" t="str">
        <f t="shared" si="123"/>
        <v>Manager</v>
      </c>
      <c r="U879" s="2">
        <v>43881</v>
      </c>
      <c r="V879" t="s">
        <v>28</v>
      </c>
      <c r="W879" t="s">
        <v>52</v>
      </c>
      <c r="X879" t="str">
        <f t="shared" si="124"/>
        <v>user@domain/com</v>
      </c>
      <c r="Y879" t="str">
        <f t="shared" si="125"/>
        <v>user@domain.com</v>
      </c>
      <c r="Z879" t="str">
        <f t="shared" si="117"/>
        <v>123-456-7890</v>
      </c>
    </row>
    <row r="880" spans="1:26" x14ac:dyDescent="0.25">
      <c r="A880" t="s">
        <v>16</v>
      </c>
      <c r="B880">
        <v>40</v>
      </c>
      <c r="C880">
        <v>50000</v>
      </c>
      <c r="D880" t="s">
        <v>11</v>
      </c>
      <c r="E880" t="s">
        <v>27</v>
      </c>
      <c r="F880" t="s">
        <v>38</v>
      </c>
      <c r="G880" s="1">
        <v>43195</v>
      </c>
      <c r="H880" t="s">
        <v>36</v>
      </c>
      <c r="I880" t="s">
        <v>53</v>
      </c>
      <c r="J880" t="s">
        <v>29</v>
      </c>
      <c r="M880" t="str">
        <f t="shared" si="118"/>
        <v>David</v>
      </c>
      <c r="N880">
        <v>40</v>
      </c>
      <c r="O880">
        <f t="shared" si="119"/>
        <v>40</v>
      </c>
      <c r="P880">
        <v>50000</v>
      </c>
      <c r="Q880">
        <f t="shared" si="120"/>
        <v>50000</v>
      </c>
      <c r="R880" t="str">
        <f t="shared" si="121"/>
        <v>Male</v>
      </c>
      <c r="S880" t="str">
        <f t="shared" si="122"/>
        <v>IT</v>
      </c>
      <c r="T880" t="str">
        <f t="shared" si="123"/>
        <v>Analyst</v>
      </c>
      <c r="U880" s="2">
        <v>43195</v>
      </c>
      <c r="V880" t="s">
        <v>36</v>
      </c>
      <c r="W880" t="s">
        <v>53</v>
      </c>
      <c r="X880" t="str">
        <f t="shared" si="124"/>
        <v>name@company/org</v>
      </c>
      <c r="Y880" t="str">
        <f t="shared" si="125"/>
        <v>name@company.org</v>
      </c>
      <c r="Z880" t="str">
        <f t="shared" si="117"/>
        <v>Phone not provided</v>
      </c>
    </row>
    <row r="881" spans="1:26" x14ac:dyDescent="0.25">
      <c r="A881" t="s">
        <v>34</v>
      </c>
      <c r="B881">
        <v>50</v>
      </c>
      <c r="C881">
        <v>60000</v>
      </c>
      <c r="D881" t="s">
        <v>17</v>
      </c>
      <c r="E881" t="s">
        <v>12</v>
      </c>
      <c r="F881" t="s">
        <v>13</v>
      </c>
      <c r="G881" s="2">
        <v>43845</v>
      </c>
      <c r="H881" t="s">
        <v>28</v>
      </c>
      <c r="I881" t="s">
        <v>51</v>
      </c>
      <c r="J881" t="s">
        <v>39</v>
      </c>
      <c r="M881" t="str">
        <f t="shared" si="118"/>
        <v>Charlie</v>
      </c>
      <c r="N881">
        <v>50</v>
      </c>
      <c r="O881">
        <f t="shared" si="119"/>
        <v>50</v>
      </c>
      <c r="P881">
        <v>60000</v>
      </c>
      <c r="Q881">
        <f t="shared" si="120"/>
        <v>60000</v>
      </c>
      <c r="R881" t="str">
        <f t="shared" si="121"/>
        <v>Female</v>
      </c>
      <c r="S881" t="str">
        <f t="shared" si="122"/>
        <v>HR</v>
      </c>
      <c r="T881" t="str">
        <f t="shared" si="123"/>
        <v>Manager</v>
      </c>
      <c r="U881" s="2">
        <v>43845</v>
      </c>
      <c r="V881" t="s">
        <v>28</v>
      </c>
      <c r="W881" t="s">
        <v>51</v>
      </c>
      <c r="X881" t="str">
        <f t="shared" si="124"/>
        <v>email@example/com</v>
      </c>
      <c r="Y881" t="str">
        <f t="shared" si="125"/>
        <v>email@example.com</v>
      </c>
      <c r="Z881" t="str">
        <f t="shared" si="117"/>
        <v>555-555-5555</v>
      </c>
    </row>
    <row r="882" spans="1:26" x14ac:dyDescent="0.25">
      <c r="A882" t="s">
        <v>42</v>
      </c>
      <c r="B882">
        <v>40</v>
      </c>
      <c r="C882">
        <v>60000</v>
      </c>
      <c r="D882" t="s">
        <v>32</v>
      </c>
      <c r="E882" t="s">
        <v>18</v>
      </c>
      <c r="F882" t="s">
        <v>37</v>
      </c>
      <c r="G882" s="2">
        <v>43800</v>
      </c>
      <c r="H882" t="s">
        <v>36</v>
      </c>
      <c r="J882" t="s">
        <v>39</v>
      </c>
      <c r="M882" t="str">
        <f t="shared" si="118"/>
        <v>Alice</v>
      </c>
      <c r="N882">
        <v>40</v>
      </c>
      <c r="O882">
        <f t="shared" si="119"/>
        <v>40</v>
      </c>
      <c r="P882">
        <v>60000</v>
      </c>
      <c r="Q882">
        <f t="shared" si="120"/>
        <v>60000</v>
      </c>
      <c r="R882" t="str">
        <f t="shared" si="121"/>
        <v>Other</v>
      </c>
      <c r="S882" t="str">
        <f t="shared" si="122"/>
        <v>Finance</v>
      </c>
      <c r="T882" t="str">
        <f t="shared" si="123"/>
        <v>Assistant</v>
      </c>
      <c r="U882" s="2">
        <v>43800</v>
      </c>
      <c r="V882" t="s">
        <v>36</v>
      </c>
      <c r="X882" t="str">
        <f t="shared" si="124"/>
        <v>Email not provided</v>
      </c>
      <c r="Y882" t="str">
        <f t="shared" si="125"/>
        <v>Email not provided</v>
      </c>
      <c r="Z882" t="str">
        <f t="shared" si="117"/>
        <v>555-555-5555</v>
      </c>
    </row>
    <row r="883" spans="1:26" x14ac:dyDescent="0.25">
      <c r="A883" t="s">
        <v>40</v>
      </c>
      <c r="B883">
        <v>25</v>
      </c>
      <c r="C883">
        <v>50000</v>
      </c>
      <c r="D883" t="s">
        <v>17</v>
      </c>
      <c r="E883" t="s">
        <v>18</v>
      </c>
      <c r="F883" t="s">
        <v>35</v>
      </c>
      <c r="G883" s="2">
        <v>43845</v>
      </c>
      <c r="H883" t="s">
        <v>36</v>
      </c>
      <c r="I883" t="s">
        <v>52</v>
      </c>
      <c r="J883" t="s">
        <v>25</v>
      </c>
      <c r="M883" t="str">
        <f t="shared" si="118"/>
        <v>Frank</v>
      </c>
      <c r="N883">
        <v>25</v>
      </c>
      <c r="O883">
        <f t="shared" si="119"/>
        <v>25</v>
      </c>
      <c r="P883">
        <v>50000</v>
      </c>
      <c r="Q883">
        <f t="shared" si="120"/>
        <v>50000</v>
      </c>
      <c r="R883" t="str">
        <f t="shared" si="121"/>
        <v>Female</v>
      </c>
      <c r="S883" t="str">
        <f t="shared" si="122"/>
        <v>Finance</v>
      </c>
      <c r="T883" t="str">
        <f t="shared" si="123"/>
        <v>Clerk</v>
      </c>
      <c r="U883" s="2">
        <v>43845</v>
      </c>
      <c r="V883" t="s">
        <v>36</v>
      </c>
      <c r="W883" t="s">
        <v>52</v>
      </c>
      <c r="X883" t="str">
        <f t="shared" si="124"/>
        <v>user@domain/com</v>
      </c>
      <c r="Y883" t="str">
        <f t="shared" si="125"/>
        <v>user@domain.com</v>
      </c>
      <c r="Z883" t="str">
        <f t="shared" si="117"/>
        <v>098-765-4321</v>
      </c>
    </row>
    <row r="884" spans="1:26" x14ac:dyDescent="0.25">
      <c r="A884" t="s">
        <v>41</v>
      </c>
      <c r="B884">
        <v>50</v>
      </c>
      <c r="C884">
        <v>70000</v>
      </c>
      <c r="D884" t="s">
        <v>11</v>
      </c>
      <c r="E884" t="s">
        <v>33</v>
      </c>
      <c r="F884" t="s">
        <v>38</v>
      </c>
      <c r="G884" s="1">
        <v>43195</v>
      </c>
      <c r="H884" t="s">
        <v>36</v>
      </c>
      <c r="I884" t="s">
        <v>52</v>
      </c>
      <c r="J884" t="s">
        <v>15</v>
      </c>
      <c r="M884" t="str">
        <f t="shared" si="118"/>
        <v>Bob</v>
      </c>
      <c r="N884">
        <v>50</v>
      </c>
      <c r="O884">
        <f t="shared" si="119"/>
        <v>50</v>
      </c>
      <c r="P884">
        <v>70000</v>
      </c>
      <c r="Q884">
        <f t="shared" si="120"/>
        <v>70000</v>
      </c>
      <c r="R884" t="str">
        <f t="shared" si="121"/>
        <v>Male</v>
      </c>
      <c r="S884" t="str">
        <f t="shared" si="122"/>
        <v>Marketing</v>
      </c>
      <c r="T884" t="str">
        <f t="shared" si="123"/>
        <v>Analyst</v>
      </c>
      <c r="U884" s="2">
        <v>43195</v>
      </c>
      <c r="V884" t="s">
        <v>36</v>
      </c>
      <c r="W884" t="s">
        <v>52</v>
      </c>
      <c r="X884" t="str">
        <f t="shared" si="124"/>
        <v>user@domain/com</v>
      </c>
      <c r="Y884" t="str">
        <f t="shared" si="125"/>
        <v>user@domain.com</v>
      </c>
      <c r="Z884" t="str">
        <f t="shared" si="117"/>
        <v>Phone not provided</v>
      </c>
    </row>
    <row r="885" spans="1:26" x14ac:dyDescent="0.25">
      <c r="A885" t="s">
        <v>22</v>
      </c>
      <c r="B885">
        <v>50</v>
      </c>
      <c r="C885">
        <v>65000</v>
      </c>
      <c r="D885" t="s">
        <v>17</v>
      </c>
      <c r="E885" t="s">
        <v>33</v>
      </c>
      <c r="F885" t="s">
        <v>37</v>
      </c>
      <c r="G885" s="2">
        <v>43881</v>
      </c>
      <c r="H885" t="s">
        <v>24</v>
      </c>
      <c r="I885" t="s">
        <v>52</v>
      </c>
      <c r="J885" t="s">
        <v>25</v>
      </c>
      <c r="M885" t="str">
        <f t="shared" si="118"/>
        <v>Hannah</v>
      </c>
      <c r="N885">
        <v>50</v>
      </c>
      <c r="O885">
        <f t="shared" si="119"/>
        <v>50</v>
      </c>
      <c r="P885">
        <v>65000</v>
      </c>
      <c r="Q885">
        <f t="shared" si="120"/>
        <v>65000</v>
      </c>
      <c r="R885" t="str">
        <f t="shared" si="121"/>
        <v>Female</v>
      </c>
      <c r="S885" t="str">
        <f t="shared" si="122"/>
        <v>Marketing</v>
      </c>
      <c r="T885" t="str">
        <f t="shared" si="123"/>
        <v>Assistant</v>
      </c>
      <c r="U885" s="2">
        <v>43881</v>
      </c>
      <c r="V885" t="s">
        <v>24</v>
      </c>
      <c r="W885" t="s">
        <v>52</v>
      </c>
      <c r="X885" t="str">
        <f t="shared" si="124"/>
        <v>user@domain/com</v>
      </c>
      <c r="Y885" t="str">
        <f t="shared" si="125"/>
        <v>user@domain.com</v>
      </c>
      <c r="Z885" t="str">
        <f t="shared" si="117"/>
        <v>098-765-4321</v>
      </c>
    </row>
    <row r="886" spans="1:26" x14ac:dyDescent="0.25">
      <c r="A886" t="s">
        <v>31</v>
      </c>
      <c r="B886" t="s">
        <v>15</v>
      </c>
      <c r="C886">
        <v>50000</v>
      </c>
      <c r="D886" t="s">
        <v>32</v>
      </c>
      <c r="E886" t="s">
        <v>18</v>
      </c>
      <c r="F886" t="s">
        <v>37</v>
      </c>
      <c r="G886" s="2">
        <v>43549</v>
      </c>
      <c r="H886" t="s">
        <v>28</v>
      </c>
      <c r="I886" t="s">
        <v>51</v>
      </c>
      <c r="J886" t="s">
        <v>21</v>
      </c>
      <c r="M886" t="str">
        <f t="shared" si="118"/>
        <v>Jack</v>
      </c>
      <c r="N886" t="s">
        <v>15</v>
      </c>
      <c r="O886">
        <f t="shared" si="119"/>
        <v>35</v>
      </c>
      <c r="P886">
        <v>50000</v>
      </c>
      <c r="Q886">
        <f t="shared" si="120"/>
        <v>50000</v>
      </c>
      <c r="R886" t="str">
        <f t="shared" si="121"/>
        <v>Other</v>
      </c>
      <c r="S886" t="str">
        <f t="shared" si="122"/>
        <v>Finance</v>
      </c>
      <c r="T886" t="str">
        <f t="shared" si="123"/>
        <v>Assistant</v>
      </c>
      <c r="U886" s="2">
        <v>43549</v>
      </c>
      <c r="V886" t="s">
        <v>28</v>
      </c>
      <c r="W886" t="s">
        <v>51</v>
      </c>
      <c r="X886" t="str">
        <f t="shared" si="124"/>
        <v>email@example/com</v>
      </c>
      <c r="Y886" t="str">
        <f t="shared" si="125"/>
        <v>email@example.com</v>
      </c>
      <c r="Z886" t="str">
        <f t="shared" si="117"/>
        <v>123-456-7890</v>
      </c>
    </row>
    <row r="887" spans="1:26" x14ac:dyDescent="0.25">
      <c r="A887" t="s">
        <v>26</v>
      </c>
      <c r="B887">
        <v>40</v>
      </c>
      <c r="C887">
        <v>70000</v>
      </c>
      <c r="D887" t="s">
        <v>32</v>
      </c>
      <c r="E887" t="s">
        <v>33</v>
      </c>
      <c r="F887" t="s">
        <v>37</v>
      </c>
      <c r="G887" s="2">
        <v>43881</v>
      </c>
      <c r="H887" t="s">
        <v>14</v>
      </c>
      <c r="I887" t="s">
        <v>15</v>
      </c>
      <c r="J887" t="s">
        <v>15</v>
      </c>
      <c r="M887" t="str">
        <f t="shared" si="118"/>
        <v>Eve</v>
      </c>
      <c r="N887">
        <v>40</v>
      </c>
      <c r="O887">
        <f t="shared" si="119"/>
        <v>40</v>
      </c>
      <c r="P887">
        <v>70000</v>
      </c>
      <c r="Q887">
        <f t="shared" si="120"/>
        <v>70000</v>
      </c>
      <c r="R887" t="str">
        <f t="shared" si="121"/>
        <v>Other</v>
      </c>
      <c r="S887" t="str">
        <f t="shared" si="122"/>
        <v>Marketing</v>
      </c>
      <c r="T887" t="str">
        <f t="shared" si="123"/>
        <v>Assistant</v>
      </c>
      <c r="U887" s="2">
        <v>43881</v>
      </c>
      <c r="V887" t="s">
        <v>14</v>
      </c>
      <c r="W887" t="s">
        <v>15</v>
      </c>
      <c r="X887" t="str">
        <f t="shared" si="124"/>
        <v>Email not provided</v>
      </c>
      <c r="Y887" t="str">
        <f t="shared" si="125"/>
        <v>Email not provided</v>
      </c>
      <c r="Z887" t="str">
        <f t="shared" si="117"/>
        <v>Phone not provided</v>
      </c>
    </row>
    <row r="888" spans="1:26" x14ac:dyDescent="0.25">
      <c r="A888" t="s">
        <v>10</v>
      </c>
      <c r="B888">
        <v>50</v>
      </c>
      <c r="C888">
        <v>50000</v>
      </c>
      <c r="D888" t="s">
        <v>17</v>
      </c>
      <c r="E888" t="s">
        <v>27</v>
      </c>
      <c r="F888" t="s">
        <v>38</v>
      </c>
      <c r="G888" s="2">
        <v>43800</v>
      </c>
      <c r="H888" t="s">
        <v>36</v>
      </c>
      <c r="I888" t="s">
        <v>53</v>
      </c>
      <c r="J888" t="s">
        <v>39</v>
      </c>
      <c r="M888" t="str">
        <f t="shared" si="118"/>
        <v>Grace</v>
      </c>
      <c r="N888">
        <v>50</v>
      </c>
      <c r="O888">
        <f t="shared" si="119"/>
        <v>50</v>
      </c>
      <c r="P888">
        <v>50000</v>
      </c>
      <c r="Q888">
        <f t="shared" si="120"/>
        <v>50000</v>
      </c>
      <c r="R888" t="str">
        <f t="shared" si="121"/>
        <v>Female</v>
      </c>
      <c r="S888" t="str">
        <f t="shared" si="122"/>
        <v>IT</v>
      </c>
      <c r="T888" t="str">
        <f t="shared" si="123"/>
        <v>Analyst</v>
      </c>
      <c r="U888" s="2">
        <v>43800</v>
      </c>
      <c r="V888" t="s">
        <v>36</v>
      </c>
      <c r="W888" t="s">
        <v>53</v>
      </c>
      <c r="X888" t="str">
        <f t="shared" si="124"/>
        <v>name@company/org</v>
      </c>
      <c r="Y888" t="str">
        <f t="shared" si="125"/>
        <v>name@company.org</v>
      </c>
      <c r="Z888" t="str">
        <f t="shared" si="117"/>
        <v>555-555-5555</v>
      </c>
    </row>
    <row r="889" spans="1:26" x14ac:dyDescent="0.25">
      <c r="A889" t="s">
        <v>31</v>
      </c>
      <c r="B889">
        <v>25</v>
      </c>
      <c r="C889">
        <v>50000</v>
      </c>
      <c r="D889" t="s">
        <v>11</v>
      </c>
      <c r="E889" t="s">
        <v>23</v>
      </c>
      <c r="F889" t="s">
        <v>38</v>
      </c>
      <c r="G889" s="2">
        <v>43549</v>
      </c>
      <c r="H889" t="s">
        <v>28</v>
      </c>
      <c r="I889" t="s">
        <v>51</v>
      </c>
      <c r="J889" t="s">
        <v>29</v>
      </c>
      <c r="M889" t="str">
        <f t="shared" si="118"/>
        <v>Jack</v>
      </c>
      <c r="N889">
        <v>25</v>
      </c>
      <c r="O889">
        <f t="shared" si="119"/>
        <v>25</v>
      </c>
      <c r="P889">
        <v>50000</v>
      </c>
      <c r="Q889">
        <f t="shared" si="120"/>
        <v>50000</v>
      </c>
      <c r="R889" t="str">
        <f t="shared" si="121"/>
        <v>Male</v>
      </c>
      <c r="S889" t="str">
        <f t="shared" si="122"/>
        <v>Sales</v>
      </c>
      <c r="T889" t="str">
        <f t="shared" si="123"/>
        <v>Analyst</v>
      </c>
      <c r="U889" s="2">
        <v>43549</v>
      </c>
      <c r="V889" t="s">
        <v>28</v>
      </c>
      <c r="W889" t="s">
        <v>51</v>
      </c>
      <c r="X889" t="str">
        <f t="shared" si="124"/>
        <v>email@example/com</v>
      </c>
      <c r="Y889" t="str">
        <f t="shared" si="125"/>
        <v>email@example.com</v>
      </c>
      <c r="Z889" t="str">
        <f t="shared" si="117"/>
        <v>Phone not provided</v>
      </c>
    </row>
    <row r="890" spans="1:26" x14ac:dyDescent="0.25">
      <c r="A890" t="s">
        <v>41</v>
      </c>
      <c r="B890" t="s">
        <v>15</v>
      </c>
      <c r="C890">
        <v>55000</v>
      </c>
      <c r="D890" t="s">
        <v>17</v>
      </c>
      <c r="E890" t="s">
        <v>23</v>
      </c>
      <c r="F890" t="s">
        <v>19</v>
      </c>
      <c r="G890" s="2">
        <v>43881</v>
      </c>
      <c r="H890" t="s">
        <v>20</v>
      </c>
      <c r="I890" t="s">
        <v>52</v>
      </c>
      <c r="J890" t="s">
        <v>29</v>
      </c>
      <c r="M890" t="str">
        <f t="shared" si="118"/>
        <v>Bob</v>
      </c>
      <c r="N890" t="s">
        <v>15</v>
      </c>
      <c r="O890">
        <f t="shared" si="119"/>
        <v>35</v>
      </c>
      <c r="P890">
        <v>55000</v>
      </c>
      <c r="Q890">
        <f t="shared" si="120"/>
        <v>55000</v>
      </c>
      <c r="R890" t="str">
        <f t="shared" si="121"/>
        <v>Female</v>
      </c>
      <c r="S890" t="str">
        <f t="shared" si="122"/>
        <v>Sales</v>
      </c>
      <c r="T890" t="str">
        <f t="shared" si="123"/>
        <v>Director</v>
      </c>
      <c r="U890" s="2">
        <v>43881</v>
      </c>
      <c r="V890" t="s">
        <v>20</v>
      </c>
      <c r="W890" t="s">
        <v>52</v>
      </c>
      <c r="X890" t="str">
        <f t="shared" si="124"/>
        <v>user@domain/com</v>
      </c>
      <c r="Y890" t="str">
        <f t="shared" si="125"/>
        <v>user@domain.com</v>
      </c>
      <c r="Z890" t="str">
        <f t="shared" si="117"/>
        <v>Phone not provided</v>
      </c>
    </row>
    <row r="891" spans="1:26" x14ac:dyDescent="0.25">
      <c r="A891" t="s">
        <v>22</v>
      </c>
      <c r="B891">
        <v>30</v>
      </c>
      <c r="C891">
        <v>70000</v>
      </c>
      <c r="D891" t="s">
        <v>11</v>
      </c>
      <c r="E891" t="s">
        <v>27</v>
      </c>
      <c r="F891" t="s">
        <v>19</v>
      </c>
      <c r="G891" s="2">
        <v>43549</v>
      </c>
      <c r="H891" t="s">
        <v>36</v>
      </c>
      <c r="I891" t="s">
        <v>51</v>
      </c>
      <c r="J891" t="s">
        <v>21</v>
      </c>
      <c r="M891" t="str">
        <f t="shared" si="118"/>
        <v>Hannah</v>
      </c>
      <c r="N891">
        <v>30</v>
      </c>
      <c r="O891">
        <f t="shared" si="119"/>
        <v>30</v>
      </c>
      <c r="P891">
        <v>70000</v>
      </c>
      <c r="Q891">
        <f t="shared" si="120"/>
        <v>70000</v>
      </c>
      <c r="R891" t="str">
        <f t="shared" si="121"/>
        <v>Male</v>
      </c>
      <c r="S891" t="str">
        <f t="shared" si="122"/>
        <v>IT</v>
      </c>
      <c r="T891" t="str">
        <f t="shared" si="123"/>
        <v>Director</v>
      </c>
      <c r="U891" s="2">
        <v>43549</v>
      </c>
      <c r="V891" t="s">
        <v>36</v>
      </c>
      <c r="W891" t="s">
        <v>51</v>
      </c>
      <c r="X891" t="str">
        <f t="shared" si="124"/>
        <v>email@example/com</v>
      </c>
      <c r="Y891" t="str">
        <f t="shared" si="125"/>
        <v>email@example.com</v>
      </c>
      <c r="Z891" t="str">
        <f t="shared" si="117"/>
        <v>123-456-7890</v>
      </c>
    </row>
    <row r="892" spans="1:26" x14ac:dyDescent="0.25">
      <c r="A892" t="s">
        <v>41</v>
      </c>
      <c r="B892">
        <v>50</v>
      </c>
      <c r="C892">
        <v>65000</v>
      </c>
      <c r="D892" t="s">
        <v>17</v>
      </c>
      <c r="E892" t="s">
        <v>23</v>
      </c>
      <c r="F892" t="s">
        <v>13</v>
      </c>
      <c r="G892" s="2">
        <v>43845</v>
      </c>
      <c r="H892" t="s">
        <v>36</v>
      </c>
      <c r="I892" t="s">
        <v>51</v>
      </c>
      <c r="J892" t="s">
        <v>25</v>
      </c>
      <c r="M892" t="str">
        <f t="shared" si="118"/>
        <v>Bob</v>
      </c>
      <c r="N892">
        <v>50</v>
      </c>
      <c r="O892">
        <f t="shared" si="119"/>
        <v>50</v>
      </c>
      <c r="P892">
        <v>65000</v>
      </c>
      <c r="Q892">
        <f t="shared" si="120"/>
        <v>65000</v>
      </c>
      <c r="R892" t="str">
        <f t="shared" si="121"/>
        <v>Female</v>
      </c>
      <c r="S892" t="str">
        <f t="shared" si="122"/>
        <v>Sales</v>
      </c>
      <c r="T892" t="str">
        <f t="shared" si="123"/>
        <v>Manager</v>
      </c>
      <c r="U892" s="2">
        <v>43845</v>
      </c>
      <c r="V892" t="s">
        <v>36</v>
      </c>
      <c r="W892" t="s">
        <v>51</v>
      </c>
      <c r="X892" t="str">
        <f t="shared" si="124"/>
        <v>email@example/com</v>
      </c>
      <c r="Y892" t="str">
        <f t="shared" si="125"/>
        <v>email@example.com</v>
      </c>
      <c r="Z892" t="str">
        <f t="shared" si="117"/>
        <v>098-765-4321</v>
      </c>
    </row>
    <row r="893" spans="1:26" x14ac:dyDescent="0.25">
      <c r="A893" t="s">
        <v>16</v>
      </c>
      <c r="B893">
        <v>25</v>
      </c>
      <c r="C893">
        <v>55000</v>
      </c>
      <c r="D893" t="s">
        <v>32</v>
      </c>
      <c r="E893" t="s">
        <v>12</v>
      </c>
      <c r="F893" t="s">
        <v>38</v>
      </c>
      <c r="G893" s="1">
        <v>43195</v>
      </c>
      <c r="H893" t="s">
        <v>14</v>
      </c>
      <c r="I893" t="s">
        <v>51</v>
      </c>
      <c r="J893" t="s">
        <v>21</v>
      </c>
      <c r="M893" t="str">
        <f t="shared" si="118"/>
        <v>David</v>
      </c>
      <c r="N893">
        <v>25</v>
      </c>
      <c r="O893">
        <f t="shared" si="119"/>
        <v>25</v>
      </c>
      <c r="P893">
        <v>55000</v>
      </c>
      <c r="Q893">
        <f t="shared" si="120"/>
        <v>55000</v>
      </c>
      <c r="R893" t="str">
        <f t="shared" si="121"/>
        <v>Other</v>
      </c>
      <c r="S893" t="str">
        <f t="shared" si="122"/>
        <v>HR</v>
      </c>
      <c r="T893" t="str">
        <f t="shared" si="123"/>
        <v>Analyst</v>
      </c>
      <c r="U893" s="2">
        <v>43195</v>
      </c>
      <c r="V893" t="s">
        <v>14</v>
      </c>
      <c r="W893" t="s">
        <v>51</v>
      </c>
      <c r="X893" t="str">
        <f t="shared" si="124"/>
        <v>email@example/com</v>
      </c>
      <c r="Y893" t="str">
        <f t="shared" si="125"/>
        <v>email@example.com</v>
      </c>
      <c r="Z893" t="str">
        <f t="shared" si="117"/>
        <v>123-456-7890</v>
      </c>
    </row>
    <row r="894" spans="1:26" x14ac:dyDescent="0.25">
      <c r="A894" t="s">
        <v>42</v>
      </c>
      <c r="B894">
        <v>35</v>
      </c>
      <c r="C894">
        <v>50000</v>
      </c>
      <c r="D894" t="s">
        <v>11</v>
      </c>
      <c r="E894" t="s">
        <v>27</v>
      </c>
      <c r="F894" t="s">
        <v>38</v>
      </c>
      <c r="G894" s="2">
        <v>43881</v>
      </c>
      <c r="H894" t="s">
        <v>24</v>
      </c>
      <c r="I894" t="s">
        <v>15</v>
      </c>
      <c r="J894" t="s">
        <v>29</v>
      </c>
      <c r="M894" t="str">
        <f t="shared" si="118"/>
        <v>Alice</v>
      </c>
      <c r="N894">
        <v>35</v>
      </c>
      <c r="O894">
        <f t="shared" si="119"/>
        <v>35</v>
      </c>
      <c r="P894">
        <v>50000</v>
      </c>
      <c r="Q894">
        <f t="shared" si="120"/>
        <v>50000</v>
      </c>
      <c r="R894" t="str">
        <f t="shared" si="121"/>
        <v>Male</v>
      </c>
      <c r="S894" t="str">
        <f t="shared" si="122"/>
        <v>IT</v>
      </c>
      <c r="T894" t="str">
        <f t="shared" si="123"/>
        <v>Analyst</v>
      </c>
      <c r="U894" s="2">
        <v>43881</v>
      </c>
      <c r="V894" t="s">
        <v>24</v>
      </c>
      <c r="W894" t="s">
        <v>15</v>
      </c>
      <c r="X894" t="str">
        <f t="shared" si="124"/>
        <v>Email not provided</v>
      </c>
      <c r="Y894" t="str">
        <f t="shared" si="125"/>
        <v>Email not provided</v>
      </c>
      <c r="Z894" t="str">
        <f t="shared" si="117"/>
        <v>Phone not provided</v>
      </c>
    </row>
    <row r="895" spans="1:26" x14ac:dyDescent="0.25">
      <c r="A895" t="s">
        <v>26</v>
      </c>
      <c r="B895">
        <v>25</v>
      </c>
      <c r="C895" t="s">
        <v>30</v>
      </c>
      <c r="D895" t="s">
        <v>11</v>
      </c>
      <c r="E895" t="s">
        <v>33</v>
      </c>
      <c r="F895" t="s">
        <v>38</v>
      </c>
      <c r="G895" s="2">
        <v>43800</v>
      </c>
      <c r="H895" t="s">
        <v>24</v>
      </c>
      <c r="J895" t="s">
        <v>39</v>
      </c>
      <c r="M895" t="str">
        <f t="shared" si="118"/>
        <v>Eve</v>
      </c>
      <c r="N895">
        <v>25</v>
      </c>
      <c r="O895">
        <f t="shared" si="119"/>
        <v>25</v>
      </c>
      <c r="P895" t="s">
        <v>30</v>
      </c>
      <c r="Q895">
        <f t="shared" si="120"/>
        <v>60000</v>
      </c>
      <c r="R895" t="str">
        <f t="shared" si="121"/>
        <v>Male</v>
      </c>
      <c r="S895" t="str">
        <f t="shared" si="122"/>
        <v>Marketing</v>
      </c>
      <c r="T895" t="str">
        <f t="shared" si="123"/>
        <v>Analyst</v>
      </c>
      <c r="U895" s="2">
        <v>43800</v>
      </c>
      <c r="V895" t="s">
        <v>24</v>
      </c>
      <c r="X895" t="str">
        <f t="shared" si="124"/>
        <v>Email not provided</v>
      </c>
      <c r="Y895" t="str">
        <f t="shared" si="125"/>
        <v>Email not provided</v>
      </c>
      <c r="Z895" t="str">
        <f t="shared" si="117"/>
        <v>555-555-5555</v>
      </c>
    </row>
    <row r="896" spans="1:26" x14ac:dyDescent="0.25">
      <c r="A896" t="s">
        <v>43</v>
      </c>
      <c r="B896">
        <v>25</v>
      </c>
      <c r="C896">
        <v>50000</v>
      </c>
      <c r="D896" t="s">
        <v>11</v>
      </c>
      <c r="E896" t="s">
        <v>27</v>
      </c>
      <c r="F896" t="s">
        <v>19</v>
      </c>
      <c r="G896" s="2">
        <v>43845</v>
      </c>
      <c r="H896" t="s">
        <v>36</v>
      </c>
      <c r="I896" t="s">
        <v>53</v>
      </c>
      <c r="J896" t="s">
        <v>29</v>
      </c>
      <c r="M896" t="str">
        <f t="shared" si="118"/>
        <v>Ivy</v>
      </c>
      <c r="N896">
        <v>25</v>
      </c>
      <c r="O896">
        <f t="shared" si="119"/>
        <v>25</v>
      </c>
      <c r="P896">
        <v>50000</v>
      </c>
      <c r="Q896">
        <f t="shared" si="120"/>
        <v>50000</v>
      </c>
      <c r="R896" t="str">
        <f t="shared" si="121"/>
        <v>Male</v>
      </c>
      <c r="S896" t="str">
        <f t="shared" si="122"/>
        <v>IT</v>
      </c>
      <c r="T896" t="str">
        <f t="shared" si="123"/>
        <v>Director</v>
      </c>
      <c r="U896" s="2">
        <v>43845</v>
      </c>
      <c r="V896" t="s">
        <v>36</v>
      </c>
      <c r="W896" t="s">
        <v>53</v>
      </c>
      <c r="X896" t="str">
        <f t="shared" si="124"/>
        <v>name@company/org</v>
      </c>
      <c r="Y896" t="str">
        <f t="shared" si="125"/>
        <v>name@company.org</v>
      </c>
      <c r="Z896" t="str">
        <f t="shared" si="117"/>
        <v>Phone not provided</v>
      </c>
    </row>
    <row r="897" spans="1:26" x14ac:dyDescent="0.25">
      <c r="A897" t="s">
        <v>42</v>
      </c>
      <c r="B897" t="s">
        <v>15</v>
      </c>
      <c r="C897">
        <v>50000</v>
      </c>
      <c r="D897" t="s">
        <v>32</v>
      </c>
      <c r="E897" t="s">
        <v>18</v>
      </c>
      <c r="F897" t="s">
        <v>37</v>
      </c>
      <c r="G897" s="2">
        <v>43881</v>
      </c>
      <c r="H897" t="s">
        <v>28</v>
      </c>
      <c r="I897" t="s">
        <v>15</v>
      </c>
      <c r="J897" t="s">
        <v>15</v>
      </c>
      <c r="M897" t="str">
        <f t="shared" si="118"/>
        <v>Alice</v>
      </c>
      <c r="N897" t="s">
        <v>15</v>
      </c>
      <c r="O897">
        <f t="shared" si="119"/>
        <v>35</v>
      </c>
      <c r="P897">
        <v>50000</v>
      </c>
      <c r="Q897">
        <f t="shared" si="120"/>
        <v>50000</v>
      </c>
      <c r="R897" t="str">
        <f t="shared" si="121"/>
        <v>Other</v>
      </c>
      <c r="S897" t="str">
        <f t="shared" si="122"/>
        <v>Finance</v>
      </c>
      <c r="T897" t="str">
        <f t="shared" si="123"/>
        <v>Assistant</v>
      </c>
      <c r="U897" s="2">
        <v>43881</v>
      </c>
      <c r="V897" t="s">
        <v>28</v>
      </c>
      <c r="W897" t="s">
        <v>15</v>
      </c>
      <c r="X897" t="str">
        <f t="shared" si="124"/>
        <v>Email not provided</v>
      </c>
      <c r="Y897" t="str">
        <f t="shared" si="125"/>
        <v>Email not provided</v>
      </c>
      <c r="Z897" t="str">
        <f t="shared" si="117"/>
        <v>Phone not provided</v>
      </c>
    </row>
    <row r="898" spans="1:26" x14ac:dyDescent="0.25">
      <c r="A898" t="s">
        <v>43</v>
      </c>
      <c r="B898">
        <v>30</v>
      </c>
      <c r="C898">
        <v>70000</v>
      </c>
      <c r="D898" t="s">
        <v>17</v>
      </c>
      <c r="E898" t="s">
        <v>33</v>
      </c>
      <c r="F898" t="s">
        <v>35</v>
      </c>
      <c r="G898" s="2">
        <v>43845</v>
      </c>
      <c r="H898" t="s">
        <v>20</v>
      </c>
      <c r="I898" t="s">
        <v>15</v>
      </c>
      <c r="J898" t="s">
        <v>29</v>
      </c>
      <c r="M898" t="str">
        <f t="shared" si="118"/>
        <v>Ivy</v>
      </c>
      <c r="N898">
        <v>30</v>
      </c>
      <c r="O898">
        <f t="shared" si="119"/>
        <v>30</v>
      </c>
      <c r="P898">
        <v>70000</v>
      </c>
      <c r="Q898">
        <f t="shared" si="120"/>
        <v>70000</v>
      </c>
      <c r="R898" t="str">
        <f t="shared" si="121"/>
        <v>Female</v>
      </c>
      <c r="S898" t="str">
        <f t="shared" si="122"/>
        <v>Marketing</v>
      </c>
      <c r="T898" t="str">
        <f t="shared" si="123"/>
        <v>Clerk</v>
      </c>
      <c r="U898" s="2">
        <v>43845</v>
      </c>
      <c r="V898" t="s">
        <v>20</v>
      </c>
      <c r="W898" t="s">
        <v>15</v>
      </c>
      <c r="X898" t="str">
        <f t="shared" si="124"/>
        <v>Email not provided</v>
      </c>
      <c r="Y898" t="str">
        <f t="shared" si="125"/>
        <v>Email not provided</v>
      </c>
      <c r="Z898" t="str">
        <f t="shared" ref="Z898:Z961" si="126">IF(OR(TRIM(J898)="", LOWER(J898)="nan"), "Phone not provided", TRIM(J898))</f>
        <v>Phone not provided</v>
      </c>
    </row>
    <row r="899" spans="1:26" x14ac:dyDescent="0.25">
      <c r="A899" t="s">
        <v>22</v>
      </c>
      <c r="B899">
        <v>35</v>
      </c>
      <c r="C899">
        <v>70000</v>
      </c>
      <c r="D899" t="s">
        <v>32</v>
      </c>
      <c r="E899" t="s">
        <v>18</v>
      </c>
      <c r="F899" t="s">
        <v>19</v>
      </c>
      <c r="G899" s="2">
        <v>43800</v>
      </c>
      <c r="H899" t="s">
        <v>20</v>
      </c>
      <c r="J899" t="s">
        <v>29</v>
      </c>
      <c r="M899" t="str">
        <f t="shared" ref="M899:M962" si="127">PROPER(TRIM(CLEAN(A899:A1898)))</f>
        <v>Hannah</v>
      </c>
      <c r="N899">
        <v>35</v>
      </c>
      <c r="O899">
        <f t="shared" ref="O899:O962" si="128">IF(ISNUMBER(N899),N899,MEDIAN($N$2:$N$1001))</f>
        <v>35</v>
      </c>
      <c r="P899">
        <v>70000</v>
      </c>
      <c r="Q899">
        <f t="shared" ref="Q899:Q962" si="129">IF(ISNUMBER(P899),P899,MEDIAN(P899:P1898))</f>
        <v>70000</v>
      </c>
      <c r="R899" t="str">
        <f t="shared" ref="R899:R962" si="130">PROPER(TRIM(CLEAN(D899:D1898)))</f>
        <v>Other</v>
      </c>
      <c r="S899" t="str">
        <f t="shared" ref="S899:S962" si="131">TRIM(CLEAN(E899:E1898))</f>
        <v>Finance</v>
      </c>
      <c r="T899" t="str">
        <f t="shared" ref="T899:T962" si="132">TRIM(CLEAN(F899:F1898))</f>
        <v>Director</v>
      </c>
      <c r="U899" s="2">
        <v>43800</v>
      </c>
      <c r="V899" t="s">
        <v>20</v>
      </c>
      <c r="X899" t="str">
        <f t="shared" ref="X899:X962" si="133">IF(
   OR(TRIM(W899)="",LOWER(W899)="nan"),
   "Email not provided",
   W899
)</f>
        <v>Email not provided</v>
      </c>
      <c r="Y899" t="str">
        <f t="shared" ref="Y899:Y962" si="134">SUBSTITUTE(X899,"/",".")</f>
        <v>Email not provided</v>
      </c>
      <c r="Z899" t="str">
        <f t="shared" si="126"/>
        <v>Phone not provided</v>
      </c>
    </row>
    <row r="900" spans="1:26" x14ac:dyDescent="0.25">
      <c r="A900" t="s">
        <v>40</v>
      </c>
      <c r="B900">
        <v>40</v>
      </c>
      <c r="C900">
        <v>55000</v>
      </c>
      <c r="D900" t="s">
        <v>11</v>
      </c>
      <c r="E900" t="s">
        <v>33</v>
      </c>
      <c r="F900" t="s">
        <v>38</v>
      </c>
      <c r="G900" s="2">
        <v>43881</v>
      </c>
      <c r="H900" t="s">
        <v>28</v>
      </c>
      <c r="I900" t="s">
        <v>15</v>
      </c>
      <c r="J900" t="s">
        <v>15</v>
      </c>
      <c r="M900" t="str">
        <f t="shared" si="127"/>
        <v>Frank</v>
      </c>
      <c r="N900">
        <v>40</v>
      </c>
      <c r="O900">
        <f t="shared" si="128"/>
        <v>40</v>
      </c>
      <c r="P900">
        <v>55000</v>
      </c>
      <c r="Q900">
        <f t="shared" si="129"/>
        <v>55000</v>
      </c>
      <c r="R900" t="str">
        <f t="shared" si="130"/>
        <v>Male</v>
      </c>
      <c r="S900" t="str">
        <f t="shared" si="131"/>
        <v>Marketing</v>
      </c>
      <c r="T900" t="str">
        <f t="shared" si="132"/>
        <v>Analyst</v>
      </c>
      <c r="U900" s="2">
        <v>43881</v>
      </c>
      <c r="V900" t="s">
        <v>28</v>
      </c>
      <c r="W900" t="s">
        <v>15</v>
      </c>
      <c r="X900" t="str">
        <f t="shared" si="133"/>
        <v>Email not provided</v>
      </c>
      <c r="Y900" t="str">
        <f t="shared" si="134"/>
        <v>Email not provided</v>
      </c>
      <c r="Z900" t="str">
        <f t="shared" si="126"/>
        <v>Phone not provided</v>
      </c>
    </row>
    <row r="901" spans="1:26" x14ac:dyDescent="0.25">
      <c r="A901" t="s">
        <v>10</v>
      </c>
      <c r="B901">
        <v>40</v>
      </c>
      <c r="C901">
        <v>65000</v>
      </c>
      <c r="D901" t="s">
        <v>17</v>
      </c>
      <c r="E901" t="s">
        <v>23</v>
      </c>
      <c r="F901" t="s">
        <v>19</v>
      </c>
      <c r="G901" s="2">
        <v>43800</v>
      </c>
      <c r="H901" t="s">
        <v>36</v>
      </c>
      <c r="I901" t="s">
        <v>51</v>
      </c>
      <c r="J901" t="s">
        <v>25</v>
      </c>
      <c r="M901" t="str">
        <f t="shared" si="127"/>
        <v>Grace</v>
      </c>
      <c r="N901">
        <v>40</v>
      </c>
      <c r="O901">
        <f t="shared" si="128"/>
        <v>40</v>
      </c>
      <c r="P901">
        <v>65000</v>
      </c>
      <c r="Q901">
        <f t="shared" si="129"/>
        <v>65000</v>
      </c>
      <c r="R901" t="str">
        <f t="shared" si="130"/>
        <v>Female</v>
      </c>
      <c r="S901" t="str">
        <f t="shared" si="131"/>
        <v>Sales</v>
      </c>
      <c r="T901" t="str">
        <f t="shared" si="132"/>
        <v>Director</v>
      </c>
      <c r="U901" s="2">
        <v>43800</v>
      </c>
      <c r="V901" t="s">
        <v>36</v>
      </c>
      <c r="W901" t="s">
        <v>51</v>
      </c>
      <c r="X901" t="str">
        <f t="shared" si="133"/>
        <v>email@example/com</v>
      </c>
      <c r="Y901" t="str">
        <f t="shared" si="134"/>
        <v>email@example.com</v>
      </c>
      <c r="Z901" t="str">
        <f t="shared" si="126"/>
        <v>098-765-4321</v>
      </c>
    </row>
    <row r="902" spans="1:26" x14ac:dyDescent="0.25">
      <c r="A902" t="s">
        <v>34</v>
      </c>
      <c r="B902">
        <v>25</v>
      </c>
      <c r="C902">
        <v>55000</v>
      </c>
      <c r="D902" t="s">
        <v>32</v>
      </c>
      <c r="E902" t="s">
        <v>27</v>
      </c>
      <c r="F902" t="s">
        <v>13</v>
      </c>
      <c r="G902" s="2">
        <v>43549</v>
      </c>
      <c r="H902" t="s">
        <v>20</v>
      </c>
      <c r="I902" t="s">
        <v>51</v>
      </c>
      <c r="J902" t="s">
        <v>29</v>
      </c>
      <c r="M902" t="str">
        <f t="shared" si="127"/>
        <v>Charlie</v>
      </c>
      <c r="N902">
        <v>25</v>
      </c>
      <c r="O902">
        <f t="shared" si="128"/>
        <v>25</v>
      </c>
      <c r="P902">
        <v>55000</v>
      </c>
      <c r="Q902">
        <f t="shared" si="129"/>
        <v>55000</v>
      </c>
      <c r="R902" t="str">
        <f t="shared" si="130"/>
        <v>Other</v>
      </c>
      <c r="S902" t="str">
        <f t="shared" si="131"/>
        <v>IT</v>
      </c>
      <c r="T902" t="str">
        <f t="shared" si="132"/>
        <v>Manager</v>
      </c>
      <c r="U902" s="2">
        <v>43549</v>
      </c>
      <c r="V902" t="s">
        <v>20</v>
      </c>
      <c r="W902" t="s">
        <v>51</v>
      </c>
      <c r="X902" t="str">
        <f t="shared" si="133"/>
        <v>email@example/com</v>
      </c>
      <c r="Y902" t="str">
        <f t="shared" si="134"/>
        <v>email@example.com</v>
      </c>
      <c r="Z902" t="str">
        <f t="shared" si="126"/>
        <v>Phone not provided</v>
      </c>
    </row>
    <row r="903" spans="1:26" x14ac:dyDescent="0.25">
      <c r="A903" t="s">
        <v>42</v>
      </c>
      <c r="B903" t="s">
        <v>15</v>
      </c>
      <c r="C903">
        <v>60000</v>
      </c>
      <c r="D903" t="s">
        <v>11</v>
      </c>
      <c r="E903" t="s">
        <v>12</v>
      </c>
      <c r="F903" t="s">
        <v>38</v>
      </c>
      <c r="G903" s="2">
        <v>43800</v>
      </c>
      <c r="H903" t="s">
        <v>24</v>
      </c>
      <c r="I903" t="s">
        <v>52</v>
      </c>
      <c r="J903" t="s">
        <v>21</v>
      </c>
      <c r="M903" t="str">
        <f t="shared" si="127"/>
        <v>Alice</v>
      </c>
      <c r="N903" t="s">
        <v>15</v>
      </c>
      <c r="O903">
        <f t="shared" si="128"/>
        <v>35</v>
      </c>
      <c r="P903">
        <v>60000</v>
      </c>
      <c r="Q903">
        <f t="shared" si="129"/>
        <v>60000</v>
      </c>
      <c r="R903" t="str">
        <f t="shared" si="130"/>
        <v>Male</v>
      </c>
      <c r="S903" t="str">
        <f t="shared" si="131"/>
        <v>HR</v>
      </c>
      <c r="T903" t="str">
        <f t="shared" si="132"/>
        <v>Analyst</v>
      </c>
      <c r="U903" s="2">
        <v>43800</v>
      </c>
      <c r="V903" t="s">
        <v>24</v>
      </c>
      <c r="W903" t="s">
        <v>52</v>
      </c>
      <c r="X903" t="str">
        <f t="shared" si="133"/>
        <v>user@domain/com</v>
      </c>
      <c r="Y903" t="str">
        <f t="shared" si="134"/>
        <v>user@domain.com</v>
      </c>
      <c r="Z903" t="str">
        <f t="shared" si="126"/>
        <v>123-456-7890</v>
      </c>
    </row>
    <row r="904" spans="1:26" x14ac:dyDescent="0.25">
      <c r="A904" t="s">
        <v>26</v>
      </c>
      <c r="B904" t="s">
        <v>15</v>
      </c>
      <c r="C904">
        <v>50000</v>
      </c>
      <c r="D904" t="s">
        <v>11</v>
      </c>
      <c r="E904" t="s">
        <v>33</v>
      </c>
      <c r="F904" t="s">
        <v>13</v>
      </c>
      <c r="G904" s="2">
        <v>43549</v>
      </c>
      <c r="H904" t="s">
        <v>28</v>
      </c>
      <c r="I904" t="s">
        <v>15</v>
      </c>
      <c r="J904" t="s">
        <v>29</v>
      </c>
      <c r="M904" t="str">
        <f t="shared" si="127"/>
        <v>Eve</v>
      </c>
      <c r="N904" t="s">
        <v>15</v>
      </c>
      <c r="O904">
        <f t="shared" si="128"/>
        <v>35</v>
      </c>
      <c r="P904">
        <v>50000</v>
      </c>
      <c r="Q904">
        <f t="shared" si="129"/>
        <v>50000</v>
      </c>
      <c r="R904" t="str">
        <f t="shared" si="130"/>
        <v>Male</v>
      </c>
      <c r="S904" t="str">
        <f t="shared" si="131"/>
        <v>Marketing</v>
      </c>
      <c r="T904" t="str">
        <f t="shared" si="132"/>
        <v>Manager</v>
      </c>
      <c r="U904" s="2">
        <v>43549</v>
      </c>
      <c r="V904" t="s">
        <v>28</v>
      </c>
      <c r="W904" t="s">
        <v>15</v>
      </c>
      <c r="X904" t="str">
        <f t="shared" si="133"/>
        <v>Email not provided</v>
      </c>
      <c r="Y904" t="str">
        <f t="shared" si="134"/>
        <v>Email not provided</v>
      </c>
      <c r="Z904" t="str">
        <f t="shared" si="126"/>
        <v>Phone not provided</v>
      </c>
    </row>
    <row r="905" spans="1:26" x14ac:dyDescent="0.25">
      <c r="A905" t="s">
        <v>41</v>
      </c>
      <c r="B905">
        <v>40</v>
      </c>
      <c r="C905" t="s">
        <v>30</v>
      </c>
      <c r="D905" t="s">
        <v>32</v>
      </c>
      <c r="E905" t="s">
        <v>33</v>
      </c>
      <c r="F905" t="s">
        <v>38</v>
      </c>
      <c r="G905" s="2">
        <v>43881</v>
      </c>
      <c r="H905" t="s">
        <v>14</v>
      </c>
      <c r="I905" t="s">
        <v>52</v>
      </c>
      <c r="J905" t="s">
        <v>21</v>
      </c>
      <c r="M905" t="str">
        <f t="shared" si="127"/>
        <v>Bob</v>
      </c>
      <c r="N905">
        <v>40</v>
      </c>
      <c r="O905">
        <f t="shared" si="128"/>
        <v>40</v>
      </c>
      <c r="P905" t="s">
        <v>30</v>
      </c>
      <c r="Q905">
        <f t="shared" si="129"/>
        <v>60000</v>
      </c>
      <c r="R905" t="str">
        <f t="shared" si="130"/>
        <v>Other</v>
      </c>
      <c r="S905" t="str">
        <f t="shared" si="131"/>
        <v>Marketing</v>
      </c>
      <c r="T905" t="str">
        <f t="shared" si="132"/>
        <v>Analyst</v>
      </c>
      <c r="U905" s="2">
        <v>43881</v>
      </c>
      <c r="V905" t="s">
        <v>14</v>
      </c>
      <c r="W905" t="s">
        <v>52</v>
      </c>
      <c r="X905" t="str">
        <f t="shared" si="133"/>
        <v>user@domain/com</v>
      </c>
      <c r="Y905" t="str">
        <f t="shared" si="134"/>
        <v>user@domain.com</v>
      </c>
      <c r="Z905" t="str">
        <f t="shared" si="126"/>
        <v>123-456-7890</v>
      </c>
    </row>
    <row r="906" spans="1:26" x14ac:dyDescent="0.25">
      <c r="A906" t="s">
        <v>26</v>
      </c>
      <c r="B906">
        <v>35</v>
      </c>
      <c r="C906">
        <v>50000</v>
      </c>
      <c r="D906" t="s">
        <v>32</v>
      </c>
      <c r="E906" t="s">
        <v>18</v>
      </c>
      <c r="F906" t="s">
        <v>19</v>
      </c>
      <c r="G906" s="2">
        <v>43549</v>
      </c>
      <c r="H906" t="s">
        <v>36</v>
      </c>
      <c r="I906" t="s">
        <v>53</v>
      </c>
      <c r="J906" t="s">
        <v>15</v>
      </c>
      <c r="M906" t="str">
        <f t="shared" si="127"/>
        <v>Eve</v>
      </c>
      <c r="N906">
        <v>35</v>
      </c>
      <c r="O906">
        <f t="shared" si="128"/>
        <v>35</v>
      </c>
      <c r="P906">
        <v>50000</v>
      </c>
      <c r="Q906">
        <f t="shared" si="129"/>
        <v>50000</v>
      </c>
      <c r="R906" t="str">
        <f t="shared" si="130"/>
        <v>Other</v>
      </c>
      <c r="S906" t="str">
        <f t="shared" si="131"/>
        <v>Finance</v>
      </c>
      <c r="T906" t="str">
        <f t="shared" si="132"/>
        <v>Director</v>
      </c>
      <c r="U906" s="2">
        <v>43549</v>
      </c>
      <c r="V906" t="s">
        <v>36</v>
      </c>
      <c r="W906" t="s">
        <v>53</v>
      </c>
      <c r="X906" t="str">
        <f t="shared" si="133"/>
        <v>name@company/org</v>
      </c>
      <c r="Y906" t="str">
        <f t="shared" si="134"/>
        <v>name@company.org</v>
      </c>
      <c r="Z906" t="str">
        <f t="shared" si="126"/>
        <v>Phone not provided</v>
      </c>
    </row>
    <row r="907" spans="1:26" x14ac:dyDescent="0.25">
      <c r="A907" t="s">
        <v>22</v>
      </c>
      <c r="B907">
        <v>30</v>
      </c>
      <c r="C907">
        <v>50000</v>
      </c>
      <c r="D907" t="s">
        <v>32</v>
      </c>
      <c r="E907" t="s">
        <v>23</v>
      </c>
      <c r="F907" t="s">
        <v>37</v>
      </c>
      <c r="G907" s="2">
        <v>43881</v>
      </c>
      <c r="H907" t="s">
        <v>28</v>
      </c>
      <c r="I907" t="s">
        <v>51</v>
      </c>
      <c r="J907" t="s">
        <v>29</v>
      </c>
      <c r="M907" t="str">
        <f t="shared" si="127"/>
        <v>Hannah</v>
      </c>
      <c r="N907">
        <v>30</v>
      </c>
      <c r="O907">
        <f t="shared" si="128"/>
        <v>30</v>
      </c>
      <c r="P907">
        <v>50000</v>
      </c>
      <c r="Q907">
        <f t="shared" si="129"/>
        <v>50000</v>
      </c>
      <c r="R907" t="str">
        <f t="shared" si="130"/>
        <v>Other</v>
      </c>
      <c r="S907" t="str">
        <f t="shared" si="131"/>
        <v>Sales</v>
      </c>
      <c r="T907" t="str">
        <f t="shared" si="132"/>
        <v>Assistant</v>
      </c>
      <c r="U907" s="2">
        <v>43881</v>
      </c>
      <c r="V907" t="s">
        <v>28</v>
      </c>
      <c r="W907" t="s">
        <v>51</v>
      </c>
      <c r="X907" t="str">
        <f t="shared" si="133"/>
        <v>email@example/com</v>
      </c>
      <c r="Y907" t="str">
        <f t="shared" si="134"/>
        <v>email@example.com</v>
      </c>
      <c r="Z907" t="str">
        <f t="shared" si="126"/>
        <v>Phone not provided</v>
      </c>
    </row>
    <row r="908" spans="1:26" x14ac:dyDescent="0.25">
      <c r="A908" t="s">
        <v>43</v>
      </c>
      <c r="B908">
        <v>35</v>
      </c>
      <c r="C908">
        <v>55000</v>
      </c>
      <c r="D908" t="s">
        <v>11</v>
      </c>
      <c r="E908" t="s">
        <v>18</v>
      </c>
      <c r="F908" t="s">
        <v>35</v>
      </c>
      <c r="G908" s="2">
        <v>43881</v>
      </c>
      <c r="H908" t="s">
        <v>20</v>
      </c>
      <c r="I908" t="s">
        <v>53</v>
      </c>
      <c r="J908" t="s">
        <v>15</v>
      </c>
      <c r="M908" t="str">
        <f t="shared" si="127"/>
        <v>Ivy</v>
      </c>
      <c r="N908">
        <v>35</v>
      </c>
      <c r="O908">
        <f t="shared" si="128"/>
        <v>35</v>
      </c>
      <c r="P908">
        <v>55000</v>
      </c>
      <c r="Q908">
        <f t="shared" si="129"/>
        <v>55000</v>
      </c>
      <c r="R908" t="str">
        <f t="shared" si="130"/>
        <v>Male</v>
      </c>
      <c r="S908" t="str">
        <f t="shared" si="131"/>
        <v>Finance</v>
      </c>
      <c r="T908" t="str">
        <f t="shared" si="132"/>
        <v>Clerk</v>
      </c>
      <c r="U908" s="2">
        <v>43881</v>
      </c>
      <c r="V908" t="s">
        <v>20</v>
      </c>
      <c r="W908" t="s">
        <v>53</v>
      </c>
      <c r="X908" t="str">
        <f t="shared" si="133"/>
        <v>name@company/org</v>
      </c>
      <c r="Y908" t="str">
        <f t="shared" si="134"/>
        <v>name@company.org</v>
      </c>
      <c r="Z908" t="str">
        <f t="shared" si="126"/>
        <v>Phone not provided</v>
      </c>
    </row>
    <row r="909" spans="1:26" x14ac:dyDescent="0.25">
      <c r="A909" t="s">
        <v>41</v>
      </c>
      <c r="B909">
        <v>50</v>
      </c>
      <c r="C909" t="s">
        <v>30</v>
      </c>
      <c r="D909" t="s">
        <v>32</v>
      </c>
      <c r="E909" t="s">
        <v>18</v>
      </c>
      <c r="F909" t="s">
        <v>13</v>
      </c>
      <c r="G909" s="1">
        <v>43195</v>
      </c>
      <c r="H909" t="s">
        <v>36</v>
      </c>
      <c r="J909" t="s">
        <v>15</v>
      </c>
      <c r="M909" t="str">
        <f t="shared" si="127"/>
        <v>Bob</v>
      </c>
      <c r="N909">
        <v>50</v>
      </c>
      <c r="O909">
        <f t="shared" si="128"/>
        <v>50</v>
      </c>
      <c r="P909" t="s">
        <v>30</v>
      </c>
      <c r="Q909">
        <f t="shared" si="129"/>
        <v>60000</v>
      </c>
      <c r="R909" t="str">
        <f t="shared" si="130"/>
        <v>Other</v>
      </c>
      <c r="S909" t="str">
        <f t="shared" si="131"/>
        <v>Finance</v>
      </c>
      <c r="T909" t="str">
        <f t="shared" si="132"/>
        <v>Manager</v>
      </c>
      <c r="U909" s="2">
        <v>43195</v>
      </c>
      <c r="V909" t="s">
        <v>36</v>
      </c>
      <c r="X909" t="str">
        <f t="shared" si="133"/>
        <v>Email not provided</v>
      </c>
      <c r="Y909" t="str">
        <f t="shared" si="134"/>
        <v>Email not provided</v>
      </c>
      <c r="Z909" t="str">
        <f t="shared" si="126"/>
        <v>Phone not provided</v>
      </c>
    </row>
    <row r="910" spans="1:26" x14ac:dyDescent="0.25">
      <c r="A910" t="s">
        <v>34</v>
      </c>
      <c r="B910">
        <v>50</v>
      </c>
      <c r="C910" t="s">
        <v>30</v>
      </c>
      <c r="D910" t="s">
        <v>11</v>
      </c>
      <c r="E910" t="s">
        <v>23</v>
      </c>
      <c r="F910" t="s">
        <v>19</v>
      </c>
      <c r="G910" s="2">
        <v>43881</v>
      </c>
      <c r="H910" t="s">
        <v>24</v>
      </c>
      <c r="I910" t="s">
        <v>51</v>
      </c>
      <c r="J910" t="s">
        <v>25</v>
      </c>
      <c r="M910" t="str">
        <f t="shared" si="127"/>
        <v>Charlie</v>
      </c>
      <c r="N910">
        <v>50</v>
      </c>
      <c r="O910">
        <f t="shared" si="128"/>
        <v>50</v>
      </c>
      <c r="P910" t="s">
        <v>30</v>
      </c>
      <c r="Q910">
        <f t="shared" si="129"/>
        <v>60000</v>
      </c>
      <c r="R910" t="str">
        <f t="shared" si="130"/>
        <v>Male</v>
      </c>
      <c r="S910" t="str">
        <f t="shared" si="131"/>
        <v>Sales</v>
      </c>
      <c r="T910" t="str">
        <f t="shared" si="132"/>
        <v>Director</v>
      </c>
      <c r="U910" s="2">
        <v>43881</v>
      </c>
      <c r="V910" t="s">
        <v>24</v>
      </c>
      <c r="W910" t="s">
        <v>51</v>
      </c>
      <c r="X910" t="str">
        <f t="shared" si="133"/>
        <v>email@example/com</v>
      </c>
      <c r="Y910" t="str">
        <f t="shared" si="134"/>
        <v>email@example.com</v>
      </c>
      <c r="Z910" t="str">
        <f t="shared" si="126"/>
        <v>098-765-4321</v>
      </c>
    </row>
    <row r="911" spans="1:26" x14ac:dyDescent="0.25">
      <c r="A911" t="s">
        <v>34</v>
      </c>
      <c r="B911">
        <v>30</v>
      </c>
      <c r="C911" t="s">
        <v>30</v>
      </c>
      <c r="D911" t="s">
        <v>32</v>
      </c>
      <c r="E911" t="s">
        <v>12</v>
      </c>
      <c r="F911" t="s">
        <v>37</v>
      </c>
      <c r="G911" s="2">
        <v>43549</v>
      </c>
      <c r="H911" t="s">
        <v>36</v>
      </c>
      <c r="I911" t="s">
        <v>53</v>
      </c>
      <c r="J911" t="s">
        <v>29</v>
      </c>
      <c r="M911" t="str">
        <f t="shared" si="127"/>
        <v>Charlie</v>
      </c>
      <c r="N911">
        <v>30</v>
      </c>
      <c r="O911">
        <f t="shared" si="128"/>
        <v>30</v>
      </c>
      <c r="P911" t="s">
        <v>30</v>
      </c>
      <c r="Q911">
        <f t="shared" si="129"/>
        <v>60000</v>
      </c>
      <c r="R911" t="str">
        <f t="shared" si="130"/>
        <v>Other</v>
      </c>
      <c r="S911" t="str">
        <f t="shared" si="131"/>
        <v>HR</v>
      </c>
      <c r="T911" t="str">
        <f t="shared" si="132"/>
        <v>Assistant</v>
      </c>
      <c r="U911" s="2">
        <v>43549</v>
      </c>
      <c r="V911" t="s">
        <v>36</v>
      </c>
      <c r="W911" t="s">
        <v>53</v>
      </c>
      <c r="X911" t="str">
        <f t="shared" si="133"/>
        <v>name@company/org</v>
      </c>
      <c r="Y911" t="str">
        <f t="shared" si="134"/>
        <v>name@company.org</v>
      </c>
      <c r="Z911" t="str">
        <f t="shared" si="126"/>
        <v>Phone not provided</v>
      </c>
    </row>
    <row r="912" spans="1:26" x14ac:dyDescent="0.25">
      <c r="A912" t="s">
        <v>42</v>
      </c>
      <c r="B912">
        <v>40</v>
      </c>
      <c r="C912">
        <v>55000</v>
      </c>
      <c r="D912" t="s">
        <v>11</v>
      </c>
      <c r="E912" t="s">
        <v>18</v>
      </c>
      <c r="F912" t="s">
        <v>19</v>
      </c>
      <c r="G912" s="1">
        <v>43195</v>
      </c>
      <c r="H912" t="s">
        <v>36</v>
      </c>
      <c r="J912" t="s">
        <v>21</v>
      </c>
      <c r="M912" t="str">
        <f t="shared" si="127"/>
        <v>Alice</v>
      </c>
      <c r="N912">
        <v>40</v>
      </c>
      <c r="O912">
        <f t="shared" si="128"/>
        <v>40</v>
      </c>
      <c r="P912">
        <v>55000</v>
      </c>
      <c r="Q912">
        <f t="shared" si="129"/>
        <v>55000</v>
      </c>
      <c r="R912" t="str">
        <f t="shared" si="130"/>
        <v>Male</v>
      </c>
      <c r="S912" t="str">
        <f t="shared" si="131"/>
        <v>Finance</v>
      </c>
      <c r="T912" t="str">
        <f t="shared" si="132"/>
        <v>Director</v>
      </c>
      <c r="U912" s="2">
        <v>43195</v>
      </c>
      <c r="V912" t="s">
        <v>36</v>
      </c>
      <c r="X912" t="str">
        <f t="shared" si="133"/>
        <v>Email not provided</v>
      </c>
      <c r="Y912" t="str">
        <f t="shared" si="134"/>
        <v>Email not provided</v>
      </c>
      <c r="Z912" t="str">
        <f t="shared" si="126"/>
        <v>123-456-7890</v>
      </c>
    </row>
    <row r="913" spans="1:26" x14ac:dyDescent="0.25">
      <c r="A913" t="s">
        <v>22</v>
      </c>
      <c r="B913">
        <v>30</v>
      </c>
      <c r="C913">
        <v>50000</v>
      </c>
      <c r="D913" t="s">
        <v>11</v>
      </c>
      <c r="E913" t="s">
        <v>18</v>
      </c>
      <c r="F913" t="s">
        <v>13</v>
      </c>
      <c r="G913" s="1">
        <v>43195</v>
      </c>
      <c r="H913" t="s">
        <v>24</v>
      </c>
      <c r="I913" t="s">
        <v>53</v>
      </c>
      <c r="J913" t="s">
        <v>21</v>
      </c>
      <c r="M913" t="str">
        <f t="shared" si="127"/>
        <v>Hannah</v>
      </c>
      <c r="N913">
        <v>30</v>
      </c>
      <c r="O913">
        <f t="shared" si="128"/>
        <v>30</v>
      </c>
      <c r="P913">
        <v>50000</v>
      </c>
      <c r="Q913">
        <f t="shared" si="129"/>
        <v>50000</v>
      </c>
      <c r="R913" t="str">
        <f t="shared" si="130"/>
        <v>Male</v>
      </c>
      <c r="S913" t="str">
        <f t="shared" si="131"/>
        <v>Finance</v>
      </c>
      <c r="T913" t="str">
        <f t="shared" si="132"/>
        <v>Manager</v>
      </c>
      <c r="U913" s="2">
        <v>43195</v>
      </c>
      <c r="V913" t="s">
        <v>24</v>
      </c>
      <c r="W913" t="s">
        <v>53</v>
      </c>
      <c r="X913" t="str">
        <f t="shared" si="133"/>
        <v>name@company/org</v>
      </c>
      <c r="Y913" t="str">
        <f t="shared" si="134"/>
        <v>name@company.org</v>
      </c>
      <c r="Z913" t="str">
        <f t="shared" si="126"/>
        <v>123-456-7890</v>
      </c>
    </row>
    <row r="914" spans="1:26" x14ac:dyDescent="0.25">
      <c r="A914" t="s">
        <v>40</v>
      </c>
      <c r="B914" t="s">
        <v>15</v>
      </c>
      <c r="C914">
        <v>55000</v>
      </c>
      <c r="D914" t="s">
        <v>17</v>
      </c>
      <c r="E914" t="s">
        <v>33</v>
      </c>
      <c r="F914" t="s">
        <v>35</v>
      </c>
      <c r="G914" s="2">
        <v>43881</v>
      </c>
      <c r="H914" t="s">
        <v>24</v>
      </c>
      <c r="J914" t="s">
        <v>29</v>
      </c>
      <c r="M914" t="str">
        <f t="shared" si="127"/>
        <v>Frank</v>
      </c>
      <c r="N914" t="s">
        <v>15</v>
      </c>
      <c r="O914">
        <f t="shared" si="128"/>
        <v>35</v>
      </c>
      <c r="P914">
        <v>55000</v>
      </c>
      <c r="Q914">
        <f t="shared" si="129"/>
        <v>55000</v>
      </c>
      <c r="R914" t="str">
        <f t="shared" si="130"/>
        <v>Female</v>
      </c>
      <c r="S914" t="str">
        <f t="shared" si="131"/>
        <v>Marketing</v>
      </c>
      <c r="T914" t="str">
        <f t="shared" si="132"/>
        <v>Clerk</v>
      </c>
      <c r="U914" s="2">
        <v>43881</v>
      </c>
      <c r="V914" t="s">
        <v>24</v>
      </c>
      <c r="X914" t="str">
        <f t="shared" si="133"/>
        <v>Email not provided</v>
      </c>
      <c r="Y914" t="str">
        <f t="shared" si="134"/>
        <v>Email not provided</v>
      </c>
      <c r="Z914" t="str">
        <f t="shared" si="126"/>
        <v>Phone not provided</v>
      </c>
    </row>
    <row r="915" spans="1:26" x14ac:dyDescent="0.25">
      <c r="A915" t="s">
        <v>22</v>
      </c>
      <c r="B915">
        <v>50</v>
      </c>
      <c r="C915">
        <v>70000</v>
      </c>
      <c r="D915" t="s">
        <v>32</v>
      </c>
      <c r="E915" t="s">
        <v>23</v>
      </c>
      <c r="F915" t="s">
        <v>19</v>
      </c>
      <c r="G915" s="2">
        <v>43800</v>
      </c>
      <c r="H915" t="s">
        <v>36</v>
      </c>
      <c r="J915" t="s">
        <v>25</v>
      </c>
      <c r="M915" t="str">
        <f t="shared" si="127"/>
        <v>Hannah</v>
      </c>
      <c r="N915">
        <v>50</v>
      </c>
      <c r="O915">
        <f t="shared" si="128"/>
        <v>50</v>
      </c>
      <c r="P915">
        <v>70000</v>
      </c>
      <c r="Q915">
        <f t="shared" si="129"/>
        <v>70000</v>
      </c>
      <c r="R915" t="str">
        <f t="shared" si="130"/>
        <v>Other</v>
      </c>
      <c r="S915" t="str">
        <f t="shared" si="131"/>
        <v>Sales</v>
      </c>
      <c r="T915" t="str">
        <f t="shared" si="132"/>
        <v>Director</v>
      </c>
      <c r="U915" s="2">
        <v>43800</v>
      </c>
      <c r="V915" t="s">
        <v>36</v>
      </c>
      <c r="X915" t="str">
        <f t="shared" si="133"/>
        <v>Email not provided</v>
      </c>
      <c r="Y915" t="str">
        <f t="shared" si="134"/>
        <v>Email not provided</v>
      </c>
      <c r="Z915" t="str">
        <f t="shared" si="126"/>
        <v>098-765-4321</v>
      </c>
    </row>
    <row r="916" spans="1:26" x14ac:dyDescent="0.25">
      <c r="A916" t="s">
        <v>43</v>
      </c>
      <c r="B916">
        <v>25</v>
      </c>
      <c r="C916">
        <v>70000</v>
      </c>
      <c r="D916" t="s">
        <v>32</v>
      </c>
      <c r="E916" t="s">
        <v>27</v>
      </c>
      <c r="F916" t="s">
        <v>38</v>
      </c>
      <c r="G916" s="2">
        <v>43800</v>
      </c>
      <c r="H916" t="s">
        <v>24</v>
      </c>
      <c r="I916" t="s">
        <v>51</v>
      </c>
      <c r="J916" t="s">
        <v>25</v>
      </c>
      <c r="M916" t="str">
        <f t="shared" si="127"/>
        <v>Ivy</v>
      </c>
      <c r="N916">
        <v>25</v>
      </c>
      <c r="O916">
        <f t="shared" si="128"/>
        <v>25</v>
      </c>
      <c r="P916">
        <v>70000</v>
      </c>
      <c r="Q916">
        <f t="shared" si="129"/>
        <v>70000</v>
      </c>
      <c r="R916" t="str">
        <f t="shared" si="130"/>
        <v>Other</v>
      </c>
      <c r="S916" t="str">
        <f t="shared" si="131"/>
        <v>IT</v>
      </c>
      <c r="T916" t="str">
        <f t="shared" si="132"/>
        <v>Analyst</v>
      </c>
      <c r="U916" s="2">
        <v>43800</v>
      </c>
      <c r="V916" t="s">
        <v>24</v>
      </c>
      <c r="W916" t="s">
        <v>51</v>
      </c>
      <c r="X916" t="str">
        <f t="shared" si="133"/>
        <v>email@example/com</v>
      </c>
      <c r="Y916" t="str">
        <f t="shared" si="134"/>
        <v>email@example.com</v>
      </c>
      <c r="Z916" t="str">
        <f t="shared" si="126"/>
        <v>098-765-4321</v>
      </c>
    </row>
    <row r="917" spans="1:26" x14ac:dyDescent="0.25">
      <c r="A917" t="s">
        <v>26</v>
      </c>
      <c r="B917">
        <v>25</v>
      </c>
      <c r="C917">
        <v>55000</v>
      </c>
      <c r="D917" t="s">
        <v>11</v>
      </c>
      <c r="E917" t="s">
        <v>12</v>
      </c>
      <c r="F917" t="s">
        <v>37</v>
      </c>
      <c r="G917" s="1">
        <v>43195</v>
      </c>
      <c r="H917" t="s">
        <v>28</v>
      </c>
      <c r="I917" t="s">
        <v>52</v>
      </c>
      <c r="J917" t="s">
        <v>25</v>
      </c>
      <c r="M917" t="str">
        <f t="shared" si="127"/>
        <v>Eve</v>
      </c>
      <c r="N917">
        <v>25</v>
      </c>
      <c r="O917">
        <f t="shared" si="128"/>
        <v>25</v>
      </c>
      <c r="P917">
        <v>55000</v>
      </c>
      <c r="Q917">
        <f t="shared" si="129"/>
        <v>55000</v>
      </c>
      <c r="R917" t="str">
        <f t="shared" si="130"/>
        <v>Male</v>
      </c>
      <c r="S917" t="str">
        <f t="shared" si="131"/>
        <v>HR</v>
      </c>
      <c r="T917" t="str">
        <f t="shared" si="132"/>
        <v>Assistant</v>
      </c>
      <c r="U917" s="2">
        <v>43195</v>
      </c>
      <c r="V917" t="s">
        <v>28</v>
      </c>
      <c r="W917" t="s">
        <v>52</v>
      </c>
      <c r="X917" t="str">
        <f t="shared" si="133"/>
        <v>user@domain/com</v>
      </c>
      <c r="Y917" t="str">
        <f t="shared" si="134"/>
        <v>user@domain.com</v>
      </c>
      <c r="Z917" t="str">
        <f t="shared" si="126"/>
        <v>098-765-4321</v>
      </c>
    </row>
    <row r="918" spans="1:26" x14ac:dyDescent="0.25">
      <c r="A918" t="s">
        <v>34</v>
      </c>
      <c r="B918">
        <v>40</v>
      </c>
      <c r="C918" t="s">
        <v>30</v>
      </c>
      <c r="D918" t="s">
        <v>11</v>
      </c>
      <c r="E918" t="s">
        <v>12</v>
      </c>
      <c r="F918" t="s">
        <v>19</v>
      </c>
      <c r="G918" s="2">
        <v>43881</v>
      </c>
      <c r="H918" t="s">
        <v>24</v>
      </c>
      <c r="J918" t="s">
        <v>21</v>
      </c>
      <c r="M918" t="str">
        <f t="shared" si="127"/>
        <v>Charlie</v>
      </c>
      <c r="N918">
        <v>40</v>
      </c>
      <c r="O918">
        <f t="shared" si="128"/>
        <v>40</v>
      </c>
      <c r="P918" t="s">
        <v>30</v>
      </c>
      <c r="Q918">
        <f t="shared" si="129"/>
        <v>60000</v>
      </c>
      <c r="R918" t="str">
        <f t="shared" si="130"/>
        <v>Male</v>
      </c>
      <c r="S918" t="str">
        <f t="shared" si="131"/>
        <v>HR</v>
      </c>
      <c r="T918" t="str">
        <f t="shared" si="132"/>
        <v>Director</v>
      </c>
      <c r="U918" s="2">
        <v>43881</v>
      </c>
      <c r="V918" t="s">
        <v>24</v>
      </c>
      <c r="X918" t="str">
        <f t="shared" si="133"/>
        <v>Email not provided</v>
      </c>
      <c r="Y918" t="str">
        <f t="shared" si="134"/>
        <v>Email not provided</v>
      </c>
      <c r="Z918" t="str">
        <f t="shared" si="126"/>
        <v>123-456-7890</v>
      </c>
    </row>
    <row r="919" spans="1:26" x14ac:dyDescent="0.25">
      <c r="A919" t="s">
        <v>26</v>
      </c>
      <c r="B919" t="s">
        <v>15</v>
      </c>
      <c r="C919">
        <v>50000</v>
      </c>
      <c r="D919" t="s">
        <v>11</v>
      </c>
      <c r="E919" t="s">
        <v>23</v>
      </c>
      <c r="F919" t="s">
        <v>37</v>
      </c>
      <c r="G919" s="2">
        <v>43800</v>
      </c>
      <c r="H919" t="s">
        <v>24</v>
      </c>
      <c r="J919" t="s">
        <v>15</v>
      </c>
      <c r="M919" t="str">
        <f t="shared" si="127"/>
        <v>Eve</v>
      </c>
      <c r="N919" t="s">
        <v>15</v>
      </c>
      <c r="O919">
        <f t="shared" si="128"/>
        <v>35</v>
      </c>
      <c r="P919">
        <v>50000</v>
      </c>
      <c r="Q919">
        <f t="shared" si="129"/>
        <v>50000</v>
      </c>
      <c r="R919" t="str">
        <f t="shared" si="130"/>
        <v>Male</v>
      </c>
      <c r="S919" t="str">
        <f t="shared" si="131"/>
        <v>Sales</v>
      </c>
      <c r="T919" t="str">
        <f t="shared" si="132"/>
        <v>Assistant</v>
      </c>
      <c r="U919" s="2">
        <v>43800</v>
      </c>
      <c r="V919" t="s">
        <v>24</v>
      </c>
      <c r="X919" t="str">
        <f t="shared" si="133"/>
        <v>Email not provided</v>
      </c>
      <c r="Y919" t="str">
        <f t="shared" si="134"/>
        <v>Email not provided</v>
      </c>
      <c r="Z919" t="str">
        <f t="shared" si="126"/>
        <v>Phone not provided</v>
      </c>
    </row>
    <row r="920" spans="1:26" x14ac:dyDescent="0.25">
      <c r="A920" t="s">
        <v>26</v>
      </c>
      <c r="B920">
        <v>35</v>
      </c>
      <c r="C920">
        <v>55000</v>
      </c>
      <c r="D920" t="s">
        <v>17</v>
      </c>
      <c r="E920" t="s">
        <v>33</v>
      </c>
      <c r="F920" t="s">
        <v>38</v>
      </c>
      <c r="G920" s="2">
        <v>43881</v>
      </c>
      <c r="H920" t="s">
        <v>36</v>
      </c>
      <c r="I920" t="s">
        <v>51</v>
      </c>
      <c r="J920" t="s">
        <v>25</v>
      </c>
      <c r="M920" t="str">
        <f t="shared" si="127"/>
        <v>Eve</v>
      </c>
      <c r="N920">
        <v>35</v>
      </c>
      <c r="O920">
        <f t="shared" si="128"/>
        <v>35</v>
      </c>
      <c r="P920">
        <v>55000</v>
      </c>
      <c r="Q920">
        <f t="shared" si="129"/>
        <v>55000</v>
      </c>
      <c r="R920" t="str">
        <f t="shared" si="130"/>
        <v>Female</v>
      </c>
      <c r="S920" t="str">
        <f t="shared" si="131"/>
        <v>Marketing</v>
      </c>
      <c r="T920" t="str">
        <f t="shared" si="132"/>
        <v>Analyst</v>
      </c>
      <c r="U920" s="2">
        <v>43881</v>
      </c>
      <c r="V920" t="s">
        <v>36</v>
      </c>
      <c r="W920" t="s">
        <v>51</v>
      </c>
      <c r="X920" t="str">
        <f t="shared" si="133"/>
        <v>email@example/com</v>
      </c>
      <c r="Y920" t="str">
        <f t="shared" si="134"/>
        <v>email@example.com</v>
      </c>
      <c r="Z920" t="str">
        <f t="shared" si="126"/>
        <v>098-765-4321</v>
      </c>
    </row>
    <row r="921" spans="1:26" x14ac:dyDescent="0.25">
      <c r="A921" t="s">
        <v>26</v>
      </c>
      <c r="B921" t="s">
        <v>15</v>
      </c>
      <c r="C921">
        <v>55000</v>
      </c>
      <c r="D921" t="s">
        <v>17</v>
      </c>
      <c r="E921" t="s">
        <v>33</v>
      </c>
      <c r="F921" t="s">
        <v>35</v>
      </c>
      <c r="G921" s="2">
        <v>43881</v>
      </c>
      <c r="H921" t="s">
        <v>28</v>
      </c>
      <c r="I921" t="s">
        <v>52</v>
      </c>
      <c r="J921" t="s">
        <v>21</v>
      </c>
      <c r="M921" t="str">
        <f t="shared" si="127"/>
        <v>Eve</v>
      </c>
      <c r="N921" t="s">
        <v>15</v>
      </c>
      <c r="O921">
        <f t="shared" si="128"/>
        <v>35</v>
      </c>
      <c r="P921">
        <v>55000</v>
      </c>
      <c r="Q921">
        <f t="shared" si="129"/>
        <v>55000</v>
      </c>
      <c r="R921" t="str">
        <f t="shared" si="130"/>
        <v>Female</v>
      </c>
      <c r="S921" t="str">
        <f t="shared" si="131"/>
        <v>Marketing</v>
      </c>
      <c r="T921" t="str">
        <f t="shared" si="132"/>
        <v>Clerk</v>
      </c>
      <c r="U921" s="2">
        <v>43881</v>
      </c>
      <c r="V921" t="s">
        <v>28</v>
      </c>
      <c r="W921" t="s">
        <v>52</v>
      </c>
      <c r="X921" t="str">
        <f t="shared" si="133"/>
        <v>user@domain/com</v>
      </c>
      <c r="Y921" t="str">
        <f t="shared" si="134"/>
        <v>user@domain.com</v>
      </c>
      <c r="Z921" t="str">
        <f t="shared" si="126"/>
        <v>123-456-7890</v>
      </c>
    </row>
    <row r="922" spans="1:26" x14ac:dyDescent="0.25">
      <c r="A922" t="s">
        <v>34</v>
      </c>
      <c r="B922">
        <v>25</v>
      </c>
      <c r="C922">
        <v>55000</v>
      </c>
      <c r="D922" t="s">
        <v>11</v>
      </c>
      <c r="E922" t="s">
        <v>23</v>
      </c>
      <c r="F922" t="s">
        <v>35</v>
      </c>
      <c r="G922" s="1">
        <v>43195</v>
      </c>
      <c r="H922" t="s">
        <v>14</v>
      </c>
      <c r="I922" t="s">
        <v>15</v>
      </c>
      <c r="J922" t="s">
        <v>21</v>
      </c>
      <c r="M922" t="str">
        <f t="shared" si="127"/>
        <v>Charlie</v>
      </c>
      <c r="N922">
        <v>25</v>
      </c>
      <c r="O922">
        <f t="shared" si="128"/>
        <v>25</v>
      </c>
      <c r="P922">
        <v>55000</v>
      </c>
      <c r="Q922">
        <f t="shared" si="129"/>
        <v>55000</v>
      </c>
      <c r="R922" t="str">
        <f t="shared" si="130"/>
        <v>Male</v>
      </c>
      <c r="S922" t="str">
        <f t="shared" si="131"/>
        <v>Sales</v>
      </c>
      <c r="T922" t="str">
        <f t="shared" si="132"/>
        <v>Clerk</v>
      </c>
      <c r="U922" s="2">
        <v>43195</v>
      </c>
      <c r="V922" t="s">
        <v>14</v>
      </c>
      <c r="W922" t="s">
        <v>15</v>
      </c>
      <c r="X922" t="str">
        <f t="shared" si="133"/>
        <v>Email not provided</v>
      </c>
      <c r="Y922" t="str">
        <f t="shared" si="134"/>
        <v>Email not provided</v>
      </c>
      <c r="Z922" t="str">
        <f t="shared" si="126"/>
        <v>123-456-7890</v>
      </c>
    </row>
    <row r="923" spans="1:26" x14ac:dyDescent="0.25">
      <c r="A923" t="s">
        <v>31</v>
      </c>
      <c r="B923">
        <v>25</v>
      </c>
      <c r="C923">
        <v>60000</v>
      </c>
      <c r="D923" t="s">
        <v>32</v>
      </c>
      <c r="E923" t="s">
        <v>33</v>
      </c>
      <c r="F923" t="s">
        <v>38</v>
      </c>
      <c r="G923" s="1">
        <v>43195</v>
      </c>
      <c r="H923" t="s">
        <v>14</v>
      </c>
      <c r="I923" t="s">
        <v>15</v>
      </c>
      <c r="J923" t="s">
        <v>15</v>
      </c>
      <c r="M923" t="str">
        <f t="shared" si="127"/>
        <v>Jack</v>
      </c>
      <c r="N923">
        <v>25</v>
      </c>
      <c r="O923">
        <f t="shared" si="128"/>
        <v>25</v>
      </c>
      <c r="P923">
        <v>60000</v>
      </c>
      <c r="Q923">
        <f t="shared" si="129"/>
        <v>60000</v>
      </c>
      <c r="R923" t="str">
        <f t="shared" si="130"/>
        <v>Other</v>
      </c>
      <c r="S923" t="str">
        <f t="shared" si="131"/>
        <v>Marketing</v>
      </c>
      <c r="T923" t="str">
        <f t="shared" si="132"/>
        <v>Analyst</v>
      </c>
      <c r="U923" s="2">
        <v>43195</v>
      </c>
      <c r="V923" t="s">
        <v>14</v>
      </c>
      <c r="W923" t="s">
        <v>15</v>
      </c>
      <c r="X923" t="str">
        <f t="shared" si="133"/>
        <v>Email not provided</v>
      </c>
      <c r="Y923" t="str">
        <f t="shared" si="134"/>
        <v>Email not provided</v>
      </c>
      <c r="Z923" t="str">
        <f t="shared" si="126"/>
        <v>Phone not provided</v>
      </c>
    </row>
    <row r="924" spans="1:26" x14ac:dyDescent="0.25">
      <c r="A924" t="s">
        <v>16</v>
      </c>
      <c r="B924">
        <v>50</v>
      </c>
      <c r="C924">
        <v>70000</v>
      </c>
      <c r="D924" t="s">
        <v>32</v>
      </c>
      <c r="E924" t="s">
        <v>12</v>
      </c>
      <c r="F924" t="s">
        <v>37</v>
      </c>
      <c r="G924" s="2">
        <v>43845</v>
      </c>
      <c r="H924" t="s">
        <v>20</v>
      </c>
      <c r="I924" t="s">
        <v>52</v>
      </c>
      <c r="J924" t="s">
        <v>29</v>
      </c>
      <c r="M924" t="str">
        <f t="shared" si="127"/>
        <v>David</v>
      </c>
      <c r="N924">
        <v>50</v>
      </c>
      <c r="O924">
        <f t="shared" si="128"/>
        <v>50</v>
      </c>
      <c r="P924">
        <v>70000</v>
      </c>
      <c r="Q924">
        <f t="shared" si="129"/>
        <v>70000</v>
      </c>
      <c r="R924" t="str">
        <f t="shared" si="130"/>
        <v>Other</v>
      </c>
      <c r="S924" t="str">
        <f t="shared" si="131"/>
        <v>HR</v>
      </c>
      <c r="T924" t="str">
        <f t="shared" si="132"/>
        <v>Assistant</v>
      </c>
      <c r="U924" s="2">
        <v>43845</v>
      </c>
      <c r="V924" t="s">
        <v>20</v>
      </c>
      <c r="W924" t="s">
        <v>52</v>
      </c>
      <c r="X924" t="str">
        <f t="shared" si="133"/>
        <v>user@domain/com</v>
      </c>
      <c r="Y924" t="str">
        <f t="shared" si="134"/>
        <v>user@domain.com</v>
      </c>
      <c r="Z924" t="str">
        <f t="shared" si="126"/>
        <v>Phone not provided</v>
      </c>
    </row>
    <row r="925" spans="1:26" x14ac:dyDescent="0.25">
      <c r="A925" t="s">
        <v>43</v>
      </c>
      <c r="B925" t="s">
        <v>15</v>
      </c>
      <c r="C925" t="s">
        <v>30</v>
      </c>
      <c r="D925" t="s">
        <v>17</v>
      </c>
      <c r="E925" t="s">
        <v>12</v>
      </c>
      <c r="F925" t="s">
        <v>19</v>
      </c>
      <c r="G925" s="2">
        <v>43800</v>
      </c>
      <c r="H925" t="s">
        <v>24</v>
      </c>
      <c r="I925" t="s">
        <v>53</v>
      </c>
      <c r="J925" t="s">
        <v>29</v>
      </c>
      <c r="M925" t="str">
        <f t="shared" si="127"/>
        <v>Ivy</v>
      </c>
      <c r="N925" t="s">
        <v>15</v>
      </c>
      <c r="O925">
        <f t="shared" si="128"/>
        <v>35</v>
      </c>
      <c r="P925" t="s">
        <v>30</v>
      </c>
      <c r="Q925">
        <f t="shared" si="129"/>
        <v>60000</v>
      </c>
      <c r="R925" t="str">
        <f t="shared" si="130"/>
        <v>Female</v>
      </c>
      <c r="S925" t="str">
        <f t="shared" si="131"/>
        <v>HR</v>
      </c>
      <c r="T925" t="str">
        <f t="shared" si="132"/>
        <v>Director</v>
      </c>
      <c r="U925" s="2">
        <v>43800</v>
      </c>
      <c r="V925" t="s">
        <v>24</v>
      </c>
      <c r="W925" t="s">
        <v>53</v>
      </c>
      <c r="X925" t="str">
        <f t="shared" si="133"/>
        <v>name@company/org</v>
      </c>
      <c r="Y925" t="str">
        <f t="shared" si="134"/>
        <v>name@company.org</v>
      </c>
      <c r="Z925" t="str">
        <f t="shared" si="126"/>
        <v>Phone not provided</v>
      </c>
    </row>
    <row r="926" spans="1:26" x14ac:dyDescent="0.25">
      <c r="A926" t="s">
        <v>31</v>
      </c>
      <c r="B926" t="s">
        <v>15</v>
      </c>
      <c r="C926">
        <v>65000</v>
      </c>
      <c r="D926" t="s">
        <v>17</v>
      </c>
      <c r="E926" t="s">
        <v>27</v>
      </c>
      <c r="F926" t="s">
        <v>38</v>
      </c>
      <c r="G926" s="2">
        <v>43800</v>
      </c>
      <c r="H926" t="s">
        <v>24</v>
      </c>
      <c r="I926" t="s">
        <v>51</v>
      </c>
      <c r="J926" t="s">
        <v>25</v>
      </c>
      <c r="M926" t="str">
        <f t="shared" si="127"/>
        <v>Jack</v>
      </c>
      <c r="N926" t="s">
        <v>15</v>
      </c>
      <c r="O926">
        <f t="shared" si="128"/>
        <v>35</v>
      </c>
      <c r="P926">
        <v>65000</v>
      </c>
      <c r="Q926">
        <f t="shared" si="129"/>
        <v>65000</v>
      </c>
      <c r="R926" t="str">
        <f t="shared" si="130"/>
        <v>Female</v>
      </c>
      <c r="S926" t="str">
        <f t="shared" si="131"/>
        <v>IT</v>
      </c>
      <c r="T926" t="str">
        <f t="shared" si="132"/>
        <v>Analyst</v>
      </c>
      <c r="U926" s="2">
        <v>43800</v>
      </c>
      <c r="V926" t="s">
        <v>24</v>
      </c>
      <c r="W926" t="s">
        <v>51</v>
      </c>
      <c r="X926" t="str">
        <f t="shared" si="133"/>
        <v>email@example/com</v>
      </c>
      <c r="Y926" t="str">
        <f t="shared" si="134"/>
        <v>email@example.com</v>
      </c>
      <c r="Z926" t="str">
        <f t="shared" si="126"/>
        <v>098-765-4321</v>
      </c>
    </row>
    <row r="927" spans="1:26" x14ac:dyDescent="0.25">
      <c r="A927" t="s">
        <v>43</v>
      </c>
      <c r="B927">
        <v>25</v>
      </c>
      <c r="C927" t="s">
        <v>30</v>
      </c>
      <c r="D927" t="s">
        <v>11</v>
      </c>
      <c r="E927" t="s">
        <v>23</v>
      </c>
      <c r="F927" t="s">
        <v>13</v>
      </c>
      <c r="G927" s="2">
        <v>43800</v>
      </c>
      <c r="H927" t="s">
        <v>28</v>
      </c>
      <c r="I927" t="s">
        <v>52</v>
      </c>
      <c r="J927" t="s">
        <v>25</v>
      </c>
      <c r="M927" t="str">
        <f t="shared" si="127"/>
        <v>Ivy</v>
      </c>
      <c r="N927">
        <v>25</v>
      </c>
      <c r="O927">
        <f t="shared" si="128"/>
        <v>25</v>
      </c>
      <c r="P927" t="s">
        <v>30</v>
      </c>
      <c r="Q927">
        <f t="shared" si="129"/>
        <v>60000</v>
      </c>
      <c r="R927" t="str">
        <f t="shared" si="130"/>
        <v>Male</v>
      </c>
      <c r="S927" t="str">
        <f t="shared" si="131"/>
        <v>Sales</v>
      </c>
      <c r="T927" t="str">
        <f t="shared" si="132"/>
        <v>Manager</v>
      </c>
      <c r="U927" s="2">
        <v>43800</v>
      </c>
      <c r="V927" t="s">
        <v>28</v>
      </c>
      <c r="W927" t="s">
        <v>52</v>
      </c>
      <c r="X927" t="str">
        <f t="shared" si="133"/>
        <v>user@domain/com</v>
      </c>
      <c r="Y927" t="str">
        <f t="shared" si="134"/>
        <v>user@domain.com</v>
      </c>
      <c r="Z927" t="str">
        <f t="shared" si="126"/>
        <v>098-765-4321</v>
      </c>
    </row>
    <row r="928" spans="1:26" x14ac:dyDescent="0.25">
      <c r="A928" t="s">
        <v>41</v>
      </c>
      <c r="B928">
        <v>35</v>
      </c>
      <c r="C928">
        <v>65000</v>
      </c>
      <c r="D928" t="s">
        <v>32</v>
      </c>
      <c r="E928" t="s">
        <v>18</v>
      </c>
      <c r="F928" t="s">
        <v>37</v>
      </c>
      <c r="G928" s="2">
        <v>43549</v>
      </c>
      <c r="H928" t="s">
        <v>14</v>
      </c>
      <c r="I928" t="s">
        <v>15</v>
      </c>
      <c r="J928" t="s">
        <v>15</v>
      </c>
      <c r="M928" t="str">
        <f t="shared" si="127"/>
        <v>Bob</v>
      </c>
      <c r="N928">
        <v>35</v>
      </c>
      <c r="O928">
        <f t="shared" si="128"/>
        <v>35</v>
      </c>
      <c r="P928">
        <v>65000</v>
      </c>
      <c r="Q928">
        <f t="shared" si="129"/>
        <v>65000</v>
      </c>
      <c r="R928" t="str">
        <f t="shared" si="130"/>
        <v>Other</v>
      </c>
      <c r="S928" t="str">
        <f t="shared" si="131"/>
        <v>Finance</v>
      </c>
      <c r="T928" t="str">
        <f t="shared" si="132"/>
        <v>Assistant</v>
      </c>
      <c r="U928" s="2">
        <v>43549</v>
      </c>
      <c r="V928" t="s">
        <v>14</v>
      </c>
      <c r="W928" t="s">
        <v>15</v>
      </c>
      <c r="X928" t="str">
        <f t="shared" si="133"/>
        <v>Email not provided</v>
      </c>
      <c r="Y928" t="str">
        <f t="shared" si="134"/>
        <v>Email not provided</v>
      </c>
      <c r="Z928" t="str">
        <f t="shared" si="126"/>
        <v>Phone not provided</v>
      </c>
    </row>
    <row r="929" spans="1:26" x14ac:dyDescent="0.25">
      <c r="A929" t="s">
        <v>22</v>
      </c>
      <c r="B929">
        <v>40</v>
      </c>
      <c r="C929">
        <v>60000</v>
      </c>
      <c r="D929" t="s">
        <v>11</v>
      </c>
      <c r="E929" t="s">
        <v>18</v>
      </c>
      <c r="F929" t="s">
        <v>35</v>
      </c>
      <c r="G929" s="2">
        <v>43881</v>
      </c>
      <c r="H929" t="s">
        <v>20</v>
      </c>
      <c r="J929" t="s">
        <v>25</v>
      </c>
      <c r="M929" t="str">
        <f t="shared" si="127"/>
        <v>Hannah</v>
      </c>
      <c r="N929">
        <v>40</v>
      </c>
      <c r="O929">
        <f t="shared" si="128"/>
        <v>40</v>
      </c>
      <c r="P929">
        <v>60000</v>
      </c>
      <c r="Q929">
        <f t="shared" si="129"/>
        <v>60000</v>
      </c>
      <c r="R929" t="str">
        <f t="shared" si="130"/>
        <v>Male</v>
      </c>
      <c r="S929" t="str">
        <f t="shared" si="131"/>
        <v>Finance</v>
      </c>
      <c r="T929" t="str">
        <f t="shared" si="132"/>
        <v>Clerk</v>
      </c>
      <c r="U929" s="2">
        <v>43881</v>
      </c>
      <c r="V929" t="s">
        <v>20</v>
      </c>
      <c r="X929" t="str">
        <f t="shared" si="133"/>
        <v>Email not provided</v>
      </c>
      <c r="Y929" t="str">
        <f t="shared" si="134"/>
        <v>Email not provided</v>
      </c>
      <c r="Z929" t="str">
        <f t="shared" si="126"/>
        <v>098-765-4321</v>
      </c>
    </row>
    <row r="930" spans="1:26" x14ac:dyDescent="0.25">
      <c r="A930" t="s">
        <v>22</v>
      </c>
      <c r="B930">
        <v>40</v>
      </c>
      <c r="C930">
        <v>55000</v>
      </c>
      <c r="D930" t="s">
        <v>17</v>
      </c>
      <c r="E930" t="s">
        <v>27</v>
      </c>
      <c r="F930" t="s">
        <v>38</v>
      </c>
      <c r="G930" s="1">
        <v>43195</v>
      </c>
      <c r="H930" t="s">
        <v>28</v>
      </c>
      <c r="I930" t="s">
        <v>15</v>
      </c>
      <c r="J930" t="s">
        <v>15</v>
      </c>
      <c r="M930" t="str">
        <f t="shared" si="127"/>
        <v>Hannah</v>
      </c>
      <c r="N930">
        <v>40</v>
      </c>
      <c r="O930">
        <f t="shared" si="128"/>
        <v>40</v>
      </c>
      <c r="P930">
        <v>55000</v>
      </c>
      <c r="Q930">
        <f t="shared" si="129"/>
        <v>55000</v>
      </c>
      <c r="R930" t="str">
        <f t="shared" si="130"/>
        <v>Female</v>
      </c>
      <c r="S930" t="str">
        <f t="shared" si="131"/>
        <v>IT</v>
      </c>
      <c r="T930" t="str">
        <f t="shared" si="132"/>
        <v>Analyst</v>
      </c>
      <c r="U930" s="2">
        <v>43195</v>
      </c>
      <c r="V930" t="s">
        <v>28</v>
      </c>
      <c r="W930" t="s">
        <v>15</v>
      </c>
      <c r="X930" t="str">
        <f t="shared" si="133"/>
        <v>Email not provided</v>
      </c>
      <c r="Y930" t="str">
        <f t="shared" si="134"/>
        <v>Email not provided</v>
      </c>
      <c r="Z930" t="str">
        <f t="shared" si="126"/>
        <v>Phone not provided</v>
      </c>
    </row>
    <row r="931" spans="1:26" x14ac:dyDescent="0.25">
      <c r="A931" t="s">
        <v>10</v>
      </c>
      <c r="B931" t="s">
        <v>15</v>
      </c>
      <c r="C931">
        <v>60000</v>
      </c>
      <c r="D931" t="s">
        <v>32</v>
      </c>
      <c r="E931" t="s">
        <v>27</v>
      </c>
      <c r="F931" t="s">
        <v>35</v>
      </c>
      <c r="G931" s="2">
        <v>43800</v>
      </c>
      <c r="H931" t="s">
        <v>24</v>
      </c>
      <c r="J931" t="s">
        <v>21</v>
      </c>
      <c r="M931" t="str">
        <f t="shared" si="127"/>
        <v>Grace</v>
      </c>
      <c r="N931" t="s">
        <v>15</v>
      </c>
      <c r="O931">
        <f t="shared" si="128"/>
        <v>35</v>
      </c>
      <c r="P931">
        <v>60000</v>
      </c>
      <c r="Q931">
        <f t="shared" si="129"/>
        <v>60000</v>
      </c>
      <c r="R931" t="str">
        <f t="shared" si="130"/>
        <v>Other</v>
      </c>
      <c r="S931" t="str">
        <f t="shared" si="131"/>
        <v>IT</v>
      </c>
      <c r="T931" t="str">
        <f t="shared" si="132"/>
        <v>Clerk</v>
      </c>
      <c r="U931" s="2">
        <v>43800</v>
      </c>
      <c r="V931" t="s">
        <v>24</v>
      </c>
      <c r="X931" t="str">
        <f t="shared" si="133"/>
        <v>Email not provided</v>
      </c>
      <c r="Y931" t="str">
        <f t="shared" si="134"/>
        <v>Email not provided</v>
      </c>
      <c r="Z931" t="str">
        <f t="shared" si="126"/>
        <v>123-456-7890</v>
      </c>
    </row>
    <row r="932" spans="1:26" x14ac:dyDescent="0.25">
      <c r="A932" t="s">
        <v>22</v>
      </c>
      <c r="B932">
        <v>40</v>
      </c>
      <c r="C932">
        <v>60000</v>
      </c>
      <c r="D932" t="s">
        <v>32</v>
      </c>
      <c r="E932" t="s">
        <v>33</v>
      </c>
      <c r="F932" t="s">
        <v>37</v>
      </c>
      <c r="G932" s="2">
        <v>43845</v>
      </c>
      <c r="H932" t="s">
        <v>14</v>
      </c>
      <c r="I932" t="s">
        <v>51</v>
      </c>
      <c r="J932" t="s">
        <v>25</v>
      </c>
      <c r="M932" t="str">
        <f t="shared" si="127"/>
        <v>Hannah</v>
      </c>
      <c r="N932">
        <v>40</v>
      </c>
      <c r="O932">
        <f t="shared" si="128"/>
        <v>40</v>
      </c>
      <c r="P932">
        <v>60000</v>
      </c>
      <c r="Q932">
        <f t="shared" si="129"/>
        <v>60000</v>
      </c>
      <c r="R932" t="str">
        <f t="shared" si="130"/>
        <v>Other</v>
      </c>
      <c r="S932" t="str">
        <f t="shared" si="131"/>
        <v>Marketing</v>
      </c>
      <c r="T932" t="str">
        <f t="shared" si="132"/>
        <v>Assistant</v>
      </c>
      <c r="U932" s="2">
        <v>43845</v>
      </c>
      <c r="V932" t="s">
        <v>14</v>
      </c>
      <c r="W932" t="s">
        <v>51</v>
      </c>
      <c r="X932" t="str">
        <f t="shared" si="133"/>
        <v>email@example/com</v>
      </c>
      <c r="Y932" t="str">
        <f t="shared" si="134"/>
        <v>email@example.com</v>
      </c>
      <c r="Z932" t="str">
        <f t="shared" si="126"/>
        <v>098-765-4321</v>
      </c>
    </row>
    <row r="933" spans="1:26" x14ac:dyDescent="0.25">
      <c r="A933" t="s">
        <v>34</v>
      </c>
      <c r="B933">
        <v>25</v>
      </c>
      <c r="C933">
        <v>50000</v>
      </c>
      <c r="D933" t="s">
        <v>17</v>
      </c>
      <c r="E933" t="s">
        <v>27</v>
      </c>
      <c r="F933" t="s">
        <v>35</v>
      </c>
      <c r="G933" s="2">
        <v>43800</v>
      </c>
      <c r="H933" t="s">
        <v>20</v>
      </c>
      <c r="J933" t="s">
        <v>21</v>
      </c>
      <c r="M933" t="str">
        <f t="shared" si="127"/>
        <v>Charlie</v>
      </c>
      <c r="N933">
        <v>25</v>
      </c>
      <c r="O933">
        <f t="shared" si="128"/>
        <v>25</v>
      </c>
      <c r="P933">
        <v>50000</v>
      </c>
      <c r="Q933">
        <f t="shared" si="129"/>
        <v>50000</v>
      </c>
      <c r="R933" t="str">
        <f t="shared" si="130"/>
        <v>Female</v>
      </c>
      <c r="S933" t="str">
        <f t="shared" si="131"/>
        <v>IT</v>
      </c>
      <c r="T933" t="str">
        <f t="shared" si="132"/>
        <v>Clerk</v>
      </c>
      <c r="U933" s="2">
        <v>43800</v>
      </c>
      <c r="V933" t="s">
        <v>20</v>
      </c>
      <c r="X933" t="str">
        <f t="shared" si="133"/>
        <v>Email not provided</v>
      </c>
      <c r="Y933" t="str">
        <f t="shared" si="134"/>
        <v>Email not provided</v>
      </c>
      <c r="Z933" t="str">
        <f t="shared" si="126"/>
        <v>123-456-7890</v>
      </c>
    </row>
    <row r="934" spans="1:26" x14ac:dyDescent="0.25">
      <c r="A934" t="s">
        <v>40</v>
      </c>
      <c r="B934">
        <v>25</v>
      </c>
      <c r="C934">
        <v>70000</v>
      </c>
      <c r="D934" t="s">
        <v>11</v>
      </c>
      <c r="E934" t="s">
        <v>27</v>
      </c>
      <c r="F934" t="s">
        <v>38</v>
      </c>
      <c r="G934" s="2">
        <v>43881</v>
      </c>
      <c r="H934" t="s">
        <v>36</v>
      </c>
      <c r="I934" t="s">
        <v>52</v>
      </c>
      <c r="J934" t="s">
        <v>39</v>
      </c>
      <c r="M934" t="str">
        <f t="shared" si="127"/>
        <v>Frank</v>
      </c>
      <c r="N934">
        <v>25</v>
      </c>
      <c r="O934">
        <f t="shared" si="128"/>
        <v>25</v>
      </c>
      <c r="P934">
        <v>70000</v>
      </c>
      <c r="Q934">
        <f t="shared" si="129"/>
        <v>70000</v>
      </c>
      <c r="R934" t="str">
        <f t="shared" si="130"/>
        <v>Male</v>
      </c>
      <c r="S934" t="str">
        <f t="shared" si="131"/>
        <v>IT</v>
      </c>
      <c r="T934" t="str">
        <f t="shared" si="132"/>
        <v>Analyst</v>
      </c>
      <c r="U934" s="2">
        <v>43881</v>
      </c>
      <c r="V934" t="s">
        <v>36</v>
      </c>
      <c r="W934" t="s">
        <v>52</v>
      </c>
      <c r="X934" t="str">
        <f t="shared" si="133"/>
        <v>user@domain/com</v>
      </c>
      <c r="Y934" t="str">
        <f t="shared" si="134"/>
        <v>user@domain.com</v>
      </c>
      <c r="Z934" t="str">
        <f t="shared" si="126"/>
        <v>555-555-5555</v>
      </c>
    </row>
    <row r="935" spans="1:26" x14ac:dyDescent="0.25">
      <c r="A935" t="s">
        <v>42</v>
      </c>
      <c r="B935" t="s">
        <v>15</v>
      </c>
      <c r="C935">
        <v>65000</v>
      </c>
      <c r="D935" t="s">
        <v>11</v>
      </c>
      <c r="E935" t="s">
        <v>18</v>
      </c>
      <c r="F935" t="s">
        <v>37</v>
      </c>
      <c r="G935" s="2">
        <v>43881</v>
      </c>
      <c r="H935" t="s">
        <v>14</v>
      </c>
      <c r="J935" t="s">
        <v>15</v>
      </c>
      <c r="M935" t="str">
        <f t="shared" si="127"/>
        <v>Alice</v>
      </c>
      <c r="N935" t="s">
        <v>15</v>
      </c>
      <c r="O935">
        <f t="shared" si="128"/>
        <v>35</v>
      </c>
      <c r="P935">
        <v>65000</v>
      </c>
      <c r="Q935">
        <f t="shared" si="129"/>
        <v>65000</v>
      </c>
      <c r="R935" t="str">
        <f t="shared" si="130"/>
        <v>Male</v>
      </c>
      <c r="S935" t="str">
        <f t="shared" si="131"/>
        <v>Finance</v>
      </c>
      <c r="T935" t="str">
        <f t="shared" si="132"/>
        <v>Assistant</v>
      </c>
      <c r="U935" s="2">
        <v>43881</v>
      </c>
      <c r="V935" t="s">
        <v>14</v>
      </c>
      <c r="X935" t="str">
        <f t="shared" si="133"/>
        <v>Email not provided</v>
      </c>
      <c r="Y935" t="str">
        <f t="shared" si="134"/>
        <v>Email not provided</v>
      </c>
      <c r="Z935" t="str">
        <f t="shared" si="126"/>
        <v>Phone not provided</v>
      </c>
    </row>
    <row r="936" spans="1:26" x14ac:dyDescent="0.25">
      <c r="A936" t="s">
        <v>10</v>
      </c>
      <c r="B936" t="s">
        <v>15</v>
      </c>
      <c r="C936">
        <v>55000</v>
      </c>
      <c r="D936" t="s">
        <v>32</v>
      </c>
      <c r="E936" t="s">
        <v>33</v>
      </c>
      <c r="F936" t="s">
        <v>13</v>
      </c>
      <c r="G936" s="1">
        <v>43195</v>
      </c>
      <c r="H936" t="s">
        <v>20</v>
      </c>
      <c r="I936" t="s">
        <v>53</v>
      </c>
      <c r="J936" t="s">
        <v>39</v>
      </c>
      <c r="M936" t="str">
        <f t="shared" si="127"/>
        <v>Grace</v>
      </c>
      <c r="N936" t="s">
        <v>15</v>
      </c>
      <c r="O936">
        <f t="shared" si="128"/>
        <v>35</v>
      </c>
      <c r="P936">
        <v>55000</v>
      </c>
      <c r="Q936">
        <f t="shared" si="129"/>
        <v>55000</v>
      </c>
      <c r="R936" t="str">
        <f t="shared" si="130"/>
        <v>Other</v>
      </c>
      <c r="S936" t="str">
        <f t="shared" si="131"/>
        <v>Marketing</v>
      </c>
      <c r="T936" t="str">
        <f t="shared" si="132"/>
        <v>Manager</v>
      </c>
      <c r="U936" s="2">
        <v>43195</v>
      </c>
      <c r="V936" t="s">
        <v>20</v>
      </c>
      <c r="W936" t="s">
        <v>53</v>
      </c>
      <c r="X936" t="str">
        <f t="shared" si="133"/>
        <v>name@company/org</v>
      </c>
      <c r="Y936" t="str">
        <f t="shared" si="134"/>
        <v>name@company.org</v>
      </c>
      <c r="Z936" t="str">
        <f t="shared" si="126"/>
        <v>555-555-5555</v>
      </c>
    </row>
    <row r="937" spans="1:26" x14ac:dyDescent="0.25">
      <c r="A937" t="s">
        <v>42</v>
      </c>
      <c r="B937">
        <v>50</v>
      </c>
      <c r="C937">
        <v>65000</v>
      </c>
      <c r="D937" t="s">
        <v>17</v>
      </c>
      <c r="E937" t="s">
        <v>27</v>
      </c>
      <c r="F937" t="s">
        <v>38</v>
      </c>
      <c r="G937" s="2">
        <v>43549</v>
      </c>
      <c r="H937" t="s">
        <v>28</v>
      </c>
      <c r="I937" t="s">
        <v>52</v>
      </c>
      <c r="J937" t="s">
        <v>25</v>
      </c>
      <c r="M937" t="str">
        <f t="shared" si="127"/>
        <v>Alice</v>
      </c>
      <c r="N937">
        <v>50</v>
      </c>
      <c r="O937">
        <f t="shared" si="128"/>
        <v>50</v>
      </c>
      <c r="P937">
        <v>65000</v>
      </c>
      <c r="Q937">
        <f t="shared" si="129"/>
        <v>65000</v>
      </c>
      <c r="R937" t="str">
        <f t="shared" si="130"/>
        <v>Female</v>
      </c>
      <c r="S937" t="str">
        <f t="shared" si="131"/>
        <v>IT</v>
      </c>
      <c r="T937" t="str">
        <f t="shared" si="132"/>
        <v>Analyst</v>
      </c>
      <c r="U937" s="2">
        <v>43549</v>
      </c>
      <c r="V937" t="s">
        <v>28</v>
      </c>
      <c r="W937" t="s">
        <v>52</v>
      </c>
      <c r="X937" t="str">
        <f t="shared" si="133"/>
        <v>user@domain/com</v>
      </c>
      <c r="Y937" t="str">
        <f t="shared" si="134"/>
        <v>user@domain.com</v>
      </c>
      <c r="Z937" t="str">
        <f t="shared" si="126"/>
        <v>098-765-4321</v>
      </c>
    </row>
    <row r="938" spans="1:26" x14ac:dyDescent="0.25">
      <c r="A938" t="s">
        <v>43</v>
      </c>
      <c r="B938" t="s">
        <v>15</v>
      </c>
      <c r="C938" t="s">
        <v>30</v>
      </c>
      <c r="D938" t="s">
        <v>32</v>
      </c>
      <c r="E938" t="s">
        <v>27</v>
      </c>
      <c r="F938" t="s">
        <v>19</v>
      </c>
      <c r="G938" s="1">
        <v>43195</v>
      </c>
      <c r="H938" t="s">
        <v>36</v>
      </c>
      <c r="I938" t="s">
        <v>51</v>
      </c>
      <c r="J938" t="s">
        <v>21</v>
      </c>
      <c r="M938" t="str">
        <f t="shared" si="127"/>
        <v>Ivy</v>
      </c>
      <c r="N938" t="s">
        <v>15</v>
      </c>
      <c r="O938">
        <f t="shared" si="128"/>
        <v>35</v>
      </c>
      <c r="P938" t="s">
        <v>30</v>
      </c>
      <c r="Q938">
        <f t="shared" si="129"/>
        <v>60000</v>
      </c>
      <c r="R938" t="str">
        <f t="shared" si="130"/>
        <v>Other</v>
      </c>
      <c r="S938" t="str">
        <f t="shared" si="131"/>
        <v>IT</v>
      </c>
      <c r="T938" t="str">
        <f t="shared" si="132"/>
        <v>Director</v>
      </c>
      <c r="U938" s="2">
        <v>43195</v>
      </c>
      <c r="V938" t="s">
        <v>36</v>
      </c>
      <c r="W938" t="s">
        <v>51</v>
      </c>
      <c r="X938" t="str">
        <f t="shared" si="133"/>
        <v>email@example/com</v>
      </c>
      <c r="Y938" t="str">
        <f t="shared" si="134"/>
        <v>email@example.com</v>
      </c>
      <c r="Z938" t="str">
        <f t="shared" si="126"/>
        <v>123-456-7890</v>
      </c>
    </row>
    <row r="939" spans="1:26" x14ac:dyDescent="0.25">
      <c r="A939" t="s">
        <v>42</v>
      </c>
      <c r="B939">
        <v>35</v>
      </c>
      <c r="C939">
        <v>65000</v>
      </c>
      <c r="D939" t="s">
        <v>17</v>
      </c>
      <c r="E939" t="s">
        <v>33</v>
      </c>
      <c r="F939" t="s">
        <v>38</v>
      </c>
      <c r="G939" s="2">
        <v>43800</v>
      </c>
      <c r="H939" t="s">
        <v>20</v>
      </c>
      <c r="I939" t="s">
        <v>52</v>
      </c>
      <c r="J939" t="s">
        <v>25</v>
      </c>
      <c r="M939" t="str">
        <f t="shared" si="127"/>
        <v>Alice</v>
      </c>
      <c r="N939">
        <v>35</v>
      </c>
      <c r="O939">
        <f t="shared" si="128"/>
        <v>35</v>
      </c>
      <c r="P939">
        <v>65000</v>
      </c>
      <c r="Q939">
        <f t="shared" si="129"/>
        <v>65000</v>
      </c>
      <c r="R939" t="str">
        <f t="shared" si="130"/>
        <v>Female</v>
      </c>
      <c r="S939" t="str">
        <f t="shared" si="131"/>
        <v>Marketing</v>
      </c>
      <c r="T939" t="str">
        <f t="shared" si="132"/>
        <v>Analyst</v>
      </c>
      <c r="U939" s="2">
        <v>43800</v>
      </c>
      <c r="V939" t="s">
        <v>20</v>
      </c>
      <c r="W939" t="s">
        <v>52</v>
      </c>
      <c r="X939" t="str">
        <f t="shared" si="133"/>
        <v>user@domain/com</v>
      </c>
      <c r="Y939" t="str">
        <f t="shared" si="134"/>
        <v>user@domain.com</v>
      </c>
      <c r="Z939" t="str">
        <f t="shared" si="126"/>
        <v>098-765-4321</v>
      </c>
    </row>
    <row r="940" spans="1:26" x14ac:dyDescent="0.25">
      <c r="A940" t="s">
        <v>42</v>
      </c>
      <c r="B940">
        <v>40</v>
      </c>
      <c r="C940" t="s">
        <v>30</v>
      </c>
      <c r="D940" t="s">
        <v>11</v>
      </c>
      <c r="E940" t="s">
        <v>23</v>
      </c>
      <c r="F940" t="s">
        <v>37</v>
      </c>
      <c r="G940" s="2">
        <v>43845</v>
      </c>
      <c r="H940" t="s">
        <v>20</v>
      </c>
      <c r="I940" t="s">
        <v>53</v>
      </c>
      <c r="J940" t="s">
        <v>39</v>
      </c>
      <c r="M940" t="str">
        <f t="shared" si="127"/>
        <v>Alice</v>
      </c>
      <c r="N940">
        <v>40</v>
      </c>
      <c r="O940">
        <f t="shared" si="128"/>
        <v>40</v>
      </c>
      <c r="P940" t="s">
        <v>30</v>
      </c>
      <c r="Q940">
        <f t="shared" si="129"/>
        <v>60000</v>
      </c>
      <c r="R940" t="str">
        <f t="shared" si="130"/>
        <v>Male</v>
      </c>
      <c r="S940" t="str">
        <f t="shared" si="131"/>
        <v>Sales</v>
      </c>
      <c r="T940" t="str">
        <f t="shared" si="132"/>
        <v>Assistant</v>
      </c>
      <c r="U940" s="2">
        <v>43845</v>
      </c>
      <c r="V940" t="s">
        <v>20</v>
      </c>
      <c r="W940" t="s">
        <v>53</v>
      </c>
      <c r="X940" t="str">
        <f t="shared" si="133"/>
        <v>name@company/org</v>
      </c>
      <c r="Y940" t="str">
        <f t="shared" si="134"/>
        <v>name@company.org</v>
      </c>
      <c r="Z940" t="str">
        <f t="shared" si="126"/>
        <v>555-555-5555</v>
      </c>
    </row>
    <row r="941" spans="1:26" x14ac:dyDescent="0.25">
      <c r="A941" t="s">
        <v>10</v>
      </c>
      <c r="B941" t="s">
        <v>15</v>
      </c>
      <c r="C941">
        <v>70000</v>
      </c>
      <c r="D941" t="s">
        <v>17</v>
      </c>
      <c r="E941" t="s">
        <v>33</v>
      </c>
      <c r="F941" t="s">
        <v>38</v>
      </c>
      <c r="G941" s="1">
        <v>43195</v>
      </c>
      <c r="H941" t="s">
        <v>24</v>
      </c>
      <c r="I941" t="s">
        <v>51</v>
      </c>
      <c r="J941" t="s">
        <v>25</v>
      </c>
      <c r="M941" t="str">
        <f t="shared" si="127"/>
        <v>Grace</v>
      </c>
      <c r="N941" t="s">
        <v>15</v>
      </c>
      <c r="O941">
        <f t="shared" si="128"/>
        <v>35</v>
      </c>
      <c r="P941">
        <v>70000</v>
      </c>
      <c r="Q941">
        <f t="shared" si="129"/>
        <v>70000</v>
      </c>
      <c r="R941" t="str">
        <f t="shared" si="130"/>
        <v>Female</v>
      </c>
      <c r="S941" t="str">
        <f t="shared" si="131"/>
        <v>Marketing</v>
      </c>
      <c r="T941" t="str">
        <f t="shared" si="132"/>
        <v>Analyst</v>
      </c>
      <c r="U941" s="2">
        <v>43195</v>
      </c>
      <c r="V941" t="s">
        <v>24</v>
      </c>
      <c r="W941" t="s">
        <v>51</v>
      </c>
      <c r="X941" t="str">
        <f t="shared" si="133"/>
        <v>email@example/com</v>
      </c>
      <c r="Y941" t="str">
        <f t="shared" si="134"/>
        <v>email@example.com</v>
      </c>
      <c r="Z941" t="str">
        <f t="shared" si="126"/>
        <v>098-765-4321</v>
      </c>
    </row>
    <row r="942" spans="1:26" x14ac:dyDescent="0.25">
      <c r="A942" t="s">
        <v>41</v>
      </c>
      <c r="B942">
        <v>30</v>
      </c>
      <c r="C942" t="s">
        <v>30</v>
      </c>
      <c r="D942" t="s">
        <v>11</v>
      </c>
      <c r="E942" t="s">
        <v>18</v>
      </c>
      <c r="F942" t="s">
        <v>13</v>
      </c>
      <c r="G942" s="2">
        <v>43549</v>
      </c>
      <c r="H942" t="s">
        <v>14</v>
      </c>
      <c r="I942" t="s">
        <v>15</v>
      </c>
      <c r="J942" t="s">
        <v>29</v>
      </c>
      <c r="M942" t="str">
        <f t="shared" si="127"/>
        <v>Bob</v>
      </c>
      <c r="N942">
        <v>30</v>
      </c>
      <c r="O942">
        <f t="shared" si="128"/>
        <v>30</v>
      </c>
      <c r="P942" t="s">
        <v>30</v>
      </c>
      <c r="Q942">
        <f t="shared" si="129"/>
        <v>60000</v>
      </c>
      <c r="R942" t="str">
        <f t="shared" si="130"/>
        <v>Male</v>
      </c>
      <c r="S942" t="str">
        <f t="shared" si="131"/>
        <v>Finance</v>
      </c>
      <c r="T942" t="str">
        <f t="shared" si="132"/>
        <v>Manager</v>
      </c>
      <c r="U942" s="2">
        <v>43549</v>
      </c>
      <c r="V942" t="s">
        <v>14</v>
      </c>
      <c r="W942" t="s">
        <v>15</v>
      </c>
      <c r="X942" t="str">
        <f t="shared" si="133"/>
        <v>Email not provided</v>
      </c>
      <c r="Y942" t="str">
        <f t="shared" si="134"/>
        <v>Email not provided</v>
      </c>
      <c r="Z942" t="str">
        <f t="shared" si="126"/>
        <v>Phone not provided</v>
      </c>
    </row>
    <row r="943" spans="1:26" x14ac:dyDescent="0.25">
      <c r="A943" t="s">
        <v>26</v>
      </c>
      <c r="B943">
        <v>50</v>
      </c>
      <c r="C943">
        <v>65000</v>
      </c>
      <c r="D943" t="s">
        <v>17</v>
      </c>
      <c r="E943" t="s">
        <v>23</v>
      </c>
      <c r="F943" t="s">
        <v>13</v>
      </c>
      <c r="G943" s="1">
        <v>43195</v>
      </c>
      <c r="H943" t="s">
        <v>24</v>
      </c>
      <c r="I943" t="s">
        <v>53</v>
      </c>
      <c r="J943" t="s">
        <v>39</v>
      </c>
      <c r="M943" t="str">
        <f t="shared" si="127"/>
        <v>Eve</v>
      </c>
      <c r="N943">
        <v>50</v>
      </c>
      <c r="O943">
        <f t="shared" si="128"/>
        <v>50</v>
      </c>
      <c r="P943">
        <v>65000</v>
      </c>
      <c r="Q943">
        <f t="shared" si="129"/>
        <v>65000</v>
      </c>
      <c r="R943" t="str">
        <f t="shared" si="130"/>
        <v>Female</v>
      </c>
      <c r="S943" t="str">
        <f t="shared" si="131"/>
        <v>Sales</v>
      </c>
      <c r="T943" t="str">
        <f t="shared" si="132"/>
        <v>Manager</v>
      </c>
      <c r="U943" s="2">
        <v>43195</v>
      </c>
      <c r="V943" t="s">
        <v>24</v>
      </c>
      <c r="W943" t="s">
        <v>53</v>
      </c>
      <c r="X943" t="str">
        <f t="shared" si="133"/>
        <v>name@company/org</v>
      </c>
      <c r="Y943" t="str">
        <f t="shared" si="134"/>
        <v>name@company.org</v>
      </c>
      <c r="Z943" t="str">
        <f t="shared" si="126"/>
        <v>555-555-5555</v>
      </c>
    </row>
    <row r="944" spans="1:26" x14ac:dyDescent="0.25">
      <c r="A944" t="s">
        <v>22</v>
      </c>
      <c r="B944">
        <v>30</v>
      </c>
      <c r="C944">
        <v>65000</v>
      </c>
      <c r="D944" t="s">
        <v>32</v>
      </c>
      <c r="E944" t="s">
        <v>12</v>
      </c>
      <c r="F944" t="s">
        <v>19</v>
      </c>
      <c r="G944" s="2">
        <v>43881</v>
      </c>
      <c r="H944" t="s">
        <v>36</v>
      </c>
      <c r="I944" t="s">
        <v>51</v>
      </c>
      <c r="J944" t="s">
        <v>25</v>
      </c>
      <c r="M944" t="str">
        <f t="shared" si="127"/>
        <v>Hannah</v>
      </c>
      <c r="N944">
        <v>30</v>
      </c>
      <c r="O944">
        <f t="shared" si="128"/>
        <v>30</v>
      </c>
      <c r="P944">
        <v>65000</v>
      </c>
      <c r="Q944">
        <f t="shared" si="129"/>
        <v>65000</v>
      </c>
      <c r="R944" t="str">
        <f t="shared" si="130"/>
        <v>Other</v>
      </c>
      <c r="S944" t="str">
        <f t="shared" si="131"/>
        <v>HR</v>
      </c>
      <c r="T944" t="str">
        <f t="shared" si="132"/>
        <v>Director</v>
      </c>
      <c r="U944" s="2">
        <v>43881</v>
      </c>
      <c r="V944" t="s">
        <v>36</v>
      </c>
      <c r="W944" t="s">
        <v>51</v>
      </c>
      <c r="X944" t="str">
        <f t="shared" si="133"/>
        <v>email@example/com</v>
      </c>
      <c r="Y944" t="str">
        <f t="shared" si="134"/>
        <v>email@example.com</v>
      </c>
      <c r="Z944" t="str">
        <f t="shared" si="126"/>
        <v>098-765-4321</v>
      </c>
    </row>
    <row r="945" spans="1:26" x14ac:dyDescent="0.25">
      <c r="A945" t="s">
        <v>22</v>
      </c>
      <c r="B945">
        <v>25</v>
      </c>
      <c r="C945" t="s">
        <v>30</v>
      </c>
      <c r="D945" t="s">
        <v>11</v>
      </c>
      <c r="E945" t="s">
        <v>33</v>
      </c>
      <c r="F945" t="s">
        <v>35</v>
      </c>
      <c r="G945" s="2">
        <v>43800</v>
      </c>
      <c r="H945" t="s">
        <v>20</v>
      </c>
      <c r="J945" t="s">
        <v>21</v>
      </c>
      <c r="M945" t="str">
        <f t="shared" si="127"/>
        <v>Hannah</v>
      </c>
      <c r="N945">
        <v>25</v>
      </c>
      <c r="O945">
        <f t="shared" si="128"/>
        <v>25</v>
      </c>
      <c r="P945" t="s">
        <v>30</v>
      </c>
      <c r="Q945">
        <f t="shared" si="129"/>
        <v>60000</v>
      </c>
      <c r="R945" t="str">
        <f t="shared" si="130"/>
        <v>Male</v>
      </c>
      <c r="S945" t="str">
        <f t="shared" si="131"/>
        <v>Marketing</v>
      </c>
      <c r="T945" t="str">
        <f t="shared" si="132"/>
        <v>Clerk</v>
      </c>
      <c r="U945" s="2">
        <v>43800</v>
      </c>
      <c r="V945" t="s">
        <v>20</v>
      </c>
      <c r="X945" t="str">
        <f t="shared" si="133"/>
        <v>Email not provided</v>
      </c>
      <c r="Y945" t="str">
        <f t="shared" si="134"/>
        <v>Email not provided</v>
      </c>
      <c r="Z945" t="str">
        <f t="shared" si="126"/>
        <v>123-456-7890</v>
      </c>
    </row>
    <row r="946" spans="1:26" x14ac:dyDescent="0.25">
      <c r="A946" t="s">
        <v>34</v>
      </c>
      <c r="B946">
        <v>40</v>
      </c>
      <c r="C946">
        <v>60000</v>
      </c>
      <c r="D946" t="s">
        <v>32</v>
      </c>
      <c r="E946" t="s">
        <v>18</v>
      </c>
      <c r="F946" t="s">
        <v>37</v>
      </c>
      <c r="G946" s="2">
        <v>43800</v>
      </c>
      <c r="H946" t="s">
        <v>24</v>
      </c>
      <c r="I946" t="s">
        <v>52</v>
      </c>
      <c r="J946" t="s">
        <v>25</v>
      </c>
      <c r="M946" t="str">
        <f t="shared" si="127"/>
        <v>Charlie</v>
      </c>
      <c r="N946">
        <v>40</v>
      </c>
      <c r="O946">
        <f t="shared" si="128"/>
        <v>40</v>
      </c>
      <c r="P946">
        <v>60000</v>
      </c>
      <c r="Q946">
        <f t="shared" si="129"/>
        <v>60000</v>
      </c>
      <c r="R946" t="str">
        <f t="shared" si="130"/>
        <v>Other</v>
      </c>
      <c r="S946" t="str">
        <f t="shared" si="131"/>
        <v>Finance</v>
      </c>
      <c r="T946" t="str">
        <f t="shared" si="132"/>
        <v>Assistant</v>
      </c>
      <c r="U946" s="2">
        <v>43800</v>
      </c>
      <c r="V946" t="s">
        <v>24</v>
      </c>
      <c r="W946" t="s">
        <v>52</v>
      </c>
      <c r="X946" t="str">
        <f t="shared" si="133"/>
        <v>user@domain/com</v>
      </c>
      <c r="Y946" t="str">
        <f t="shared" si="134"/>
        <v>user@domain.com</v>
      </c>
      <c r="Z946" t="str">
        <f t="shared" si="126"/>
        <v>098-765-4321</v>
      </c>
    </row>
    <row r="947" spans="1:26" x14ac:dyDescent="0.25">
      <c r="A947" t="s">
        <v>10</v>
      </c>
      <c r="B947" t="s">
        <v>15</v>
      </c>
      <c r="C947">
        <v>70000</v>
      </c>
      <c r="D947" t="s">
        <v>32</v>
      </c>
      <c r="E947" t="s">
        <v>23</v>
      </c>
      <c r="F947" t="s">
        <v>37</v>
      </c>
      <c r="G947" s="2">
        <v>43800</v>
      </c>
      <c r="H947" t="s">
        <v>14</v>
      </c>
      <c r="I947" t="s">
        <v>51</v>
      </c>
      <c r="J947" t="s">
        <v>21</v>
      </c>
      <c r="M947" t="str">
        <f t="shared" si="127"/>
        <v>Grace</v>
      </c>
      <c r="N947" t="s">
        <v>15</v>
      </c>
      <c r="O947">
        <f t="shared" si="128"/>
        <v>35</v>
      </c>
      <c r="P947">
        <v>70000</v>
      </c>
      <c r="Q947">
        <f t="shared" si="129"/>
        <v>70000</v>
      </c>
      <c r="R947" t="str">
        <f t="shared" si="130"/>
        <v>Other</v>
      </c>
      <c r="S947" t="str">
        <f t="shared" si="131"/>
        <v>Sales</v>
      </c>
      <c r="T947" t="str">
        <f t="shared" si="132"/>
        <v>Assistant</v>
      </c>
      <c r="U947" s="2">
        <v>43800</v>
      </c>
      <c r="V947" t="s">
        <v>14</v>
      </c>
      <c r="W947" t="s">
        <v>51</v>
      </c>
      <c r="X947" t="str">
        <f t="shared" si="133"/>
        <v>email@example/com</v>
      </c>
      <c r="Y947" t="str">
        <f t="shared" si="134"/>
        <v>email@example.com</v>
      </c>
      <c r="Z947" t="str">
        <f t="shared" si="126"/>
        <v>123-456-7890</v>
      </c>
    </row>
    <row r="948" spans="1:26" x14ac:dyDescent="0.25">
      <c r="A948" t="s">
        <v>34</v>
      </c>
      <c r="B948">
        <v>30</v>
      </c>
      <c r="C948">
        <v>50000</v>
      </c>
      <c r="D948" t="s">
        <v>11</v>
      </c>
      <c r="E948" t="s">
        <v>33</v>
      </c>
      <c r="F948" t="s">
        <v>35</v>
      </c>
      <c r="G948" s="2">
        <v>43800</v>
      </c>
      <c r="H948" t="s">
        <v>36</v>
      </c>
      <c r="I948" t="s">
        <v>52</v>
      </c>
      <c r="J948" t="s">
        <v>29</v>
      </c>
      <c r="M948" t="str">
        <f t="shared" si="127"/>
        <v>Charlie</v>
      </c>
      <c r="N948">
        <v>30</v>
      </c>
      <c r="O948">
        <f t="shared" si="128"/>
        <v>30</v>
      </c>
      <c r="P948">
        <v>50000</v>
      </c>
      <c r="Q948">
        <f t="shared" si="129"/>
        <v>50000</v>
      </c>
      <c r="R948" t="str">
        <f t="shared" si="130"/>
        <v>Male</v>
      </c>
      <c r="S948" t="str">
        <f t="shared" si="131"/>
        <v>Marketing</v>
      </c>
      <c r="T948" t="str">
        <f t="shared" si="132"/>
        <v>Clerk</v>
      </c>
      <c r="U948" s="2">
        <v>43800</v>
      </c>
      <c r="V948" t="s">
        <v>36</v>
      </c>
      <c r="W948" t="s">
        <v>52</v>
      </c>
      <c r="X948" t="str">
        <f t="shared" si="133"/>
        <v>user@domain/com</v>
      </c>
      <c r="Y948" t="str">
        <f t="shared" si="134"/>
        <v>user@domain.com</v>
      </c>
      <c r="Z948" t="str">
        <f t="shared" si="126"/>
        <v>Phone not provided</v>
      </c>
    </row>
    <row r="949" spans="1:26" x14ac:dyDescent="0.25">
      <c r="A949" t="s">
        <v>40</v>
      </c>
      <c r="B949">
        <v>40</v>
      </c>
      <c r="C949">
        <v>55000</v>
      </c>
      <c r="D949" t="s">
        <v>11</v>
      </c>
      <c r="E949" t="s">
        <v>27</v>
      </c>
      <c r="F949" t="s">
        <v>13</v>
      </c>
      <c r="G949" s="2">
        <v>43800</v>
      </c>
      <c r="H949" t="s">
        <v>28</v>
      </c>
      <c r="J949" t="s">
        <v>25</v>
      </c>
      <c r="M949" t="str">
        <f t="shared" si="127"/>
        <v>Frank</v>
      </c>
      <c r="N949">
        <v>40</v>
      </c>
      <c r="O949">
        <f t="shared" si="128"/>
        <v>40</v>
      </c>
      <c r="P949">
        <v>55000</v>
      </c>
      <c r="Q949">
        <f t="shared" si="129"/>
        <v>55000</v>
      </c>
      <c r="R949" t="str">
        <f t="shared" si="130"/>
        <v>Male</v>
      </c>
      <c r="S949" t="str">
        <f t="shared" si="131"/>
        <v>IT</v>
      </c>
      <c r="T949" t="str">
        <f t="shared" si="132"/>
        <v>Manager</v>
      </c>
      <c r="U949" s="2">
        <v>43800</v>
      </c>
      <c r="V949" t="s">
        <v>28</v>
      </c>
      <c r="X949" t="str">
        <f t="shared" si="133"/>
        <v>Email not provided</v>
      </c>
      <c r="Y949" t="str">
        <f t="shared" si="134"/>
        <v>Email not provided</v>
      </c>
      <c r="Z949" t="str">
        <f t="shared" si="126"/>
        <v>098-765-4321</v>
      </c>
    </row>
    <row r="950" spans="1:26" x14ac:dyDescent="0.25">
      <c r="A950" t="s">
        <v>40</v>
      </c>
      <c r="B950">
        <v>25</v>
      </c>
      <c r="C950">
        <v>65000</v>
      </c>
      <c r="D950" t="s">
        <v>32</v>
      </c>
      <c r="E950" t="s">
        <v>33</v>
      </c>
      <c r="F950" t="s">
        <v>13</v>
      </c>
      <c r="G950" s="2">
        <v>43800</v>
      </c>
      <c r="H950" t="s">
        <v>24</v>
      </c>
      <c r="I950" t="s">
        <v>51</v>
      </c>
      <c r="J950" t="s">
        <v>29</v>
      </c>
      <c r="M950" t="str">
        <f t="shared" si="127"/>
        <v>Frank</v>
      </c>
      <c r="N950">
        <v>25</v>
      </c>
      <c r="O950">
        <f t="shared" si="128"/>
        <v>25</v>
      </c>
      <c r="P950">
        <v>65000</v>
      </c>
      <c r="Q950">
        <f t="shared" si="129"/>
        <v>65000</v>
      </c>
      <c r="R950" t="str">
        <f t="shared" si="130"/>
        <v>Other</v>
      </c>
      <c r="S950" t="str">
        <f t="shared" si="131"/>
        <v>Marketing</v>
      </c>
      <c r="T950" t="str">
        <f t="shared" si="132"/>
        <v>Manager</v>
      </c>
      <c r="U950" s="2">
        <v>43800</v>
      </c>
      <c r="V950" t="s">
        <v>24</v>
      </c>
      <c r="W950" t="s">
        <v>51</v>
      </c>
      <c r="X950" t="str">
        <f t="shared" si="133"/>
        <v>email@example/com</v>
      </c>
      <c r="Y950" t="str">
        <f t="shared" si="134"/>
        <v>email@example.com</v>
      </c>
      <c r="Z950" t="str">
        <f t="shared" si="126"/>
        <v>Phone not provided</v>
      </c>
    </row>
    <row r="951" spans="1:26" x14ac:dyDescent="0.25">
      <c r="A951" t="s">
        <v>34</v>
      </c>
      <c r="B951">
        <v>35</v>
      </c>
      <c r="C951">
        <v>55000</v>
      </c>
      <c r="D951" t="s">
        <v>32</v>
      </c>
      <c r="E951" t="s">
        <v>12</v>
      </c>
      <c r="F951" t="s">
        <v>38</v>
      </c>
      <c r="G951" s="2">
        <v>43845</v>
      </c>
      <c r="H951" t="s">
        <v>36</v>
      </c>
      <c r="I951" t="s">
        <v>15</v>
      </c>
      <c r="J951" t="s">
        <v>39</v>
      </c>
      <c r="M951" t="str">
        <f t="shared" si="127"/>
        <v>Charlie</v>
      </c>
      <c r="N951">
        <v>35</v>
      </c>
      <c r="O951">
        <f t="shared" si="128"/>
        <v>35</v>
      </c>
      <c r="P951">
        <v>55000</v>
      </c>
      <c r="Q951">
        <f t="shared" si="129"/>
        <v>55000</v>
      </c>
      <c r="R951" t="str">
        <f t="shared" si="130"/>
        <v>Other</v>
      </c>
      <c r="S951" t="str">
        <f t="shared" si="131"/>
        <v>HR</v>
      </c>
      <c r="T951" t="str">
        <f t="shared" si="132"/>
        <v>Analyst</v>
      </c>
      <c r="U951" s="2">
        <v>43845</v>
      </c>
      <c r="V951" t="s">
        <v>36</v>
      </c>
      <c r="W951" t="s">
        <v>15</v>
      </c>
      <c r="X951" t="str">
        <f t="shared" si="133"/>
        <v>Email not provided</v>
      </c>
      <c r="Y951" t="str">
        <f t="shared" si="134"/>
        <v>Email not provided</v>
      </c>
      <c r="Z951" t="str">
        <f t="shared" si="126"/>
        <v>555-555-5555</v>
      </c>
    </row>
    <row r="952" spans="1:26" x14ac:dyDescent="0.25">
      <c r="A952" t="s">
        <v>10</v>
      </c>
      <c r="B952">
        <v>50</v>
      </c>
      <c r="C952">
        <v>50000</v>
      </c>
      <c r="D952" t="s">
        <v>32</v>
      </c>
      <c r="E952" t="s">
        <v>33</v>
      </c>
      <c r="F952" t="s">
        <v>19</v>
      </c>
      <c r="G952" s="2">
        <v>43549</v>
      </c>
      <c r="H952" t="s">
        <v>28</v>
      </c>
      <c r="I952" t="s">
        <v>53</v>
      </c>
      <c r="J952" t="s">
        <v>21</v>
      </c>
      <c r="M952" t="str">
        <f t="shared" si="127"/>
        <v>Grace</v>
      </c>
      <c r="N952">
        <v>50</v>
      </c>
      <c r="O952">
        <f t="shared" si="128"/>
        <v>50</v>
      </c>
      <c r="P952">
        <v>50000</v>
      </c>
      <c r="Q952">
        <f t="shared" si="129"/>
        <v>50000</v>
      </c>
      <c r="R952" t="str">
        <f t="shared" si="130"/>
        <v>Other</v>
      </c>
      <c r="S952" t="str">
        <f t="shared" si="131"/>
        <v>Marketing</v>
      </c>
      <c r="T952" t="str">
        <f t="shared" si="132"/>
        <v>Director</v>
      </c>
      <c r="U952" s="2">
        <v>43549</v>
      </c>
      <c r="V952" t="s">
        <v>28</v>
      </c>
      <c r="W952" t="s">
        <v>53</v>
      </c>
      <c r="X952" t="str">
        <f t="shared" si="133"/>
        <v>name@company/org</v>
      </c>
      <c r="Y952" t="str">
        <f t="shared" si="134"/>
        <v>name@company.org</v>
      </c>
      <c r="Z952" t="str">
        <f t="shared" si="126"/>
        <v>123-456-7890</v>
      </c>
    </row>
    <row r="953" spans="1:26" x14ac:dyDescent="0.25">
      <c r="A953" t="s">
        <v>34</v>
      </c>
      <c r="B953">
        <v>40</v>
      </c>
      <c r="C953">
        <v>55000</v>
      </c>
      <c r="D953" t="s">
        <v>32</v>
      </c>
      <c r="E953" t="s">
        <v>23</v>
      </c>
      <c r="F953" t="s">
        <v>19</v>
      </c>
      <c r="G953" s="2">
        <v>43800</v>
      </c>
      <c r="H953" t="s">
        <v>24</v>
      </c>
      <c r="I953" t="s">
        <v>51</v>
      </c>
      <c r="J953" t="s">
        <v>39</v>
      </c>
      <c r="M953" t="str">
        <f t="shared" si="127"/>
        <v>Charlie</v>
      </c>
      <c r="N953">
        <v>40</v>
      </c>
      <c r="O953">
        <f t="shared" si="128"/>
        <v>40</v>
      </c>
      <c r="P953">
        <v>55000</v>
      </c>
      <c r="Q953">
        <f t="shared" si="129"/>
        <v>55000</v>
      </c>
      <c r="R953" t="str">
        <f t="shared" si="130"/>
        <v>Other</v>
      </c>
      <c r="S953" t="str">
        <f t="shared" si="131"/>
        <v>Sales</v>
      </c>
      <c r="T953" t="str">
        <f t="shared" si="132"/>
        <v>Director</v>
      </c>
      <c r="U953" s="2">
        <v>43800</v>
      </c>
      <c r="V953" t="s">
        <v>24</v>
      </c>
      <c r="W953" t="s">
        <v>51</v>
      </c>
      <c r="X953" t="str">
        <f t="shared" si="133"/>
        <v>email@example/com</v>
      </c>
      <c r="Y953" t="str">
        <f t="shared" si="134"/>
        <v>email@example.com</v>
      </c>
      <c r="Z953" t="str">
        <f t="shared" si="126"/>
        <v>555-555-5555</v>
      </c>
    </row>
    <row r="954" spans="1:26" x14ac:dyDescent="0.25">
      <c r="A954" t="s">
        <v>22</v>
      </c>
      <c r="B954">
        <v>40</v>
      </c>
      <c r="C954">
        <v>50000</v>
      </c>
      <c r="D954" t="s">
        <v>11</v>
      </c>
      <c r="E954" t="s">
        <v>23</v>
      </c>
      <c r="F954" t="s">
        <v>19</v>
      </c>
      <c r="G954" s="2">
        <v>43549</v>
      </c>
      <c r="H954" t="s">
        <v>36</v>
      </c>
      <c r="J954" t="s">
        <v>21</v>
      </c>
      <c r="M954" t="str">
        <f t="shared" si="127"/>
        <v>Hannah</v>
      </c>
      <c r="N954">
        <v>40</v>
      </c>
      <c r="O954">
        <f t="shared" si="128"/>
        <v>40</v>
      </c>
      <c r="P954">
        <v>50000</v>
      </c>
      <c r="Q954">
        <f t="shared" si="129"/>
        <v>50000</v>
      </c>
      <c r="R954" t="str">
        <f t="shared" si="130"/>
        <v>Male</v>
      </c>
      <c r="S954" t="str">
        <f t="shared" si="131"/>
        <v>Sales</v>
      </c>
      <c r="T954" t="str">
        <f t="shared" si="132"/>
        <v>Director</v>
      </c>
      <c r="U954" s="2">
        <v>43549</v>
      </c>
      <c r="V954" t="s">
        <v>36</v>
      </c>
      <c r="X954" t="str">
        <f t="shared" si="133"/>
        <v>Email not provided</v>
      </c>
      <c r="Y954" t="str">
        <f t="shared" si="134"/>
        <v>Email not provided</v>
      </c>
      <c r="Z954" t="str">
        <f t="shared" si="126"/>
        <v>123-456-7890</v>
      </c>
    </row>
    <row r="955" spans="1:26" x14ac:dyDescent="0.25">
      <c r="A955" t="s">
        <v>31</v>
      </c>
      <c r="B955">
        <v>35</v>
      </c>
      <c r="C955" t="s">
        <v>30</v>
      </c>
      <c r="D955" t="s">
        <v>11</v>
      </c>
      <c r="E955" t="s">
        <v>33</v>
      </c>
      <c r="F955" t="s">
        <v>38</v>
      </c>
      <c r="G955" s="2">
        <v>43800</v>
      </c>
      <c r="H955" t="s">
        <v>36</v>
      </c>
      <c r="I955" t="s">
        <v>51</v>
      </c>
      <c r="J955" t="s">
        <v>29</v>
      </c>
      <c r="M955" t="str">
        <f t="shared" si="127"/>
        <v>Jack</v>
      </c>
      <c r="N955">
        <v>35</v>
      </c>
      <c r="O955">
        <f t="shared" si="128"/>
        <v>35</v>
      </c>
      <c r="P955" t="s">
        <v>30</v>
      </c>
      <c r="Q955">
        <f t="shared" si="129"/>
        <v>60000</v>
      </c>
      <c r="R955" t="str">
        <f t="shared" si="130"/>
        <v>Male</v>
      </c>
      <c r="S955" t="str">
        <f t="shared" si="131"/>
        <v>Marketing</v>
      </c>
      <c r="T955" t="str">
        <f t="shared" si="132"/>
        <v>Analyst</v>
      </c>
      <c r="U955" s="2">
        <v>43800</v>
      </c>
      <c r="V955" t="s">
        <v>36</v>
      </c>
      <c r="W955" t="s">
        <v>51</v>
      </c>
      <c r="X955" t="str">
        <f t="shared" si="133"/>
        <v>email@example/com</v>
      </c>
      <c r="Y955" t="str">
        <f t="shared" si="134"/>
        <v>email@example.com</v>
      </c>
      <c r="Z955" t="str">
        <f t="shared" si="126"/>
        <v>Phone not provided</v>
      </c>
    </row>
    <row r="956" spans="1:26" x14ac:dyDescent="0.25">
      <c r="A956" t="s">
        <v>16</v>
      </c>
      <c r="B956">
        <v>40</v>
      </c>
      <c r="C956">
        <v>60000</v>
      </c>
      <c r="D956" t="s">
        <v>32</v>
      </c>
      <c r="E956" t="s">
        <v>23</v>
      </c>
      <c r="F956" t="s">
        <v>19</v>
      </c>
      <c r="G956" s="1">
        <v>43195</v>
      </c>
      <c r="H956" t="s">
        <v>24</v>
      </c>
      <c r="I956" t="s">
        <v>52</v>
      </c>
      <c r="J956" t="s">
        <v>15</v>
      </c>
      <c r="M956" t="str">
        <f t="shared" si="127"/>
        <v>David</v>
      </c>
      <c r="N956">
        <v>40</v>
      </c>
      <c r="O956">
        <f t="shared" si="128"/>
        <v>40</v>
      </c>
      <c r="P956">
        <v>60000</v>
      </c>
      <c r="Q956">
        <f t="shared" si="129"/>
        <v>60000</v>
      </c>
      <c r="R956" t="str">
        <f t="shared" si="130"/>
        <v>Other</v>
      </c>
      <c r="S956" t="str">
        <f t="shared" si="131"/>
        <v>Sales</v>
      </c>
      <c r="T956" t="str">
        <f t="shared" si="132"/>
        <v>Director</v>
      </c>
      <c r="U956" s="2">
        <v>43195</v>
      </c>
      <c r="V956" t="s">
        <v>24</v>
      </c>
      <c r="W956" t="s">
        <v>52</v>
      </c>
      <c r="X956" t="str">
        <f t="shared" si="133"/>
        <v>user@domain/com</v>
      </c>
      <c r="Y956" t="str">
        <f t="shared" si="134"/>
        <v>user@domain.com</v>
      </c>
      <c r="Z956" t="str">
        <f t="shared" si="126"/>
        <v>Phone not provided</v>
      </c>
    </row>
    <row r="957" spans="1:26" x14ac:dyDescent="0.25">
      <c r="A957" t="s">
        <v>42</v>
      </c>
      <c r="B957">
        <v>25</v>
      </c>
      <c r="C957">
        <v>65000</v>
      </c>
      <c r="D957" t="s">
        <v>17</v>
      </c>
      <c r="E957" t="s">
        <v>27</v>
      </c>
      <c r="F957" t="s">
        <v>35</v>
      </c>
      <c r="G957" s="2">
        <v>43800</v>
      </c>
      <c r="H957" t="s">
        <v>36</v>
      </c>
      <c r="I957" t="s">
        <v>51</v>
      </c>
      <c r="J957" t="s">
        <v>25</v>
      </c>
      <c r="M957" t="str">
        <f t="shared" si="127"/>
        <v>Alice</v>
      </c>
      <c r="N957">
        <v>25</v>
      </c>
      <c r="O957">
        <f t="shared" si="128"/>
        <v>25</v>
      </c>
      <c r="P957">
        <v>65000</v>
      </c>
      <c r="Q957">
        <f t="shared" si="129"/>
        <v>65000</v>
      </c>
      <c r="R957" t="str">
        <f t="shared" si="130"/>
        <v>Female</v>
      </c>
      <c r="S957" t="str">
        <f t="shared" si="131"/>
        <v>IT</v>
      </c>
      <c r="T957" t="str">
        <f t="shared" si="132"/>
        <v>Clerk</v>
      </c>
      <c r="U957" s="2">
        <v>43800</v>
      </c>
      <c r="V957" t="s">
        <v>36</v>
      </c>
      <c r="W957" t="s">
        <v>51</v>
      </c>
      <c r="X957" t="str">
        <f t="shared" si="133"/>
        <v>email@example/com</v>
      </c>
      <c r="Y957" t="str">
        <f t="shared" si="134"/>
        <v>email@example.com</v>
      </c>
      <c r="Z957" t="str">
        <f t="shared" si="126"/>
        <v>098-765-4321</v>
      </c>
    </row>
    <row r="958" spans="1:26" x14ac:dyDescent="0.25">
      <c r="A958" t="s">
        <v>16</v>
      </c>
      <c r="B958">
        <v>25</v>
      </c>
      <c r="C958">
        <v>50000</v>
      </c>
      <c r="D958" t="s">
        <v>17</v>
      </c>
      <c r="E958" t="s">
        <v>33</v>
      </c>
      <c r="F958" t="s">
        <v>38</v>
      </c>
      <c r="G958" s="2">
        <v>43881</v>
      </c>
      <c r="H958" t="s">
        <v>20</v>
      </c>
      <c r="I958" t="s">
        <v>15</v>
      </c>
      <c r="J958" t="s">
        <v>29</v>
      </c>
      <c r="M958" t="str">
        <f t="shared" si="127"/>
        <v>David</v>
      </c>
      <c r="N958">
        <v>25</v>
      </c>
      <c r="O958">
        <f t="shared" si="128"/>
        <v>25</v>
      </c>
      <c r="P958">
        <v>50000</v>
      </c>
      <c r="Q958">
        <f t="shared" si="129"/>
        <v>50000</v>
      </c>
      <c r="R958" t="str">
        <f t="shared" si="130"/>
        <v>Female</v>
      </c>
      <c r="S958" t="str">
        <f t="shared" si="131"/>
        <v>Marketing</v>
      </c>
      <c r="T958" t="str">
        <f t="shared" si="132"/>
        <v>Analyst</v>
      </c>
      <c r="U958" s="2">
        <v>43881</v>
      </c>
      <c r="V958" t="s">
        <v>20</v>
      </c>
      <c r="W958" t="s">
        <v>15</v>
      </c>
      <c r="X958" t="str">
        <f t="shared" si="133"/>
        <v>Email not provided</v>
      </c>
      <c r="Y958" t="str">
        <f t="shared" si="134"/>
        <v>Email not provided</v>
      </c>
      <c r="Z958" t="str">
        <f t="shared" si="126"/>
        <v>Phone not provided</v>
      </c>
    </row>
    <row r="959" spans="1:26" x14ac:dyDescent="0.25">
      <c r="A959" t="s">
        <v>10</v>
      </c>
      <c r="B959">
        <v>35</v>
      </c>
      <c r="C959">
        <v>55000</v>
      </c>
      <c r="D959" t="s">
        <v>11</v>
      </c>
      <c r="E959" t="s">
        <v>27</v>
      </c>
      <c r="F959" t="s">
        <v>35</v>
      </c>
      <c r="G959" s="2">
        <v>43845</v>
      </c>
      <c r="H959" t="s">
        <v>24</v>
      </c>
      <c r="I959" t="s">
        <v>51</v>
      </c>
      <c r="J959" t="s">
        <v>21</v>
      </c>
      <c r="M959" t="str">
        <f t="shared" si="127"/>
        <v>Grace</v>
      </c>
      <c r="N959">
        <v>35</v>
      </c>
      <c r="O959">
        <f t="shared" si="128"/>
        <v>35</v>
      </c>
      <c r="P959">
        <v>55000</v>
      </c>
      <c r="Q959">
        <f t="shared" si="129"/>
        <v>55000</v>
      </c>
      <c r="R959" t="str">
        <f t="shared" si="130"/>
        <v>Male</v>
      </c>
      <c r="S959" t="str">
        <f t="shared" si="131"/>
        <v>IT</v>
      </c>
      <c r="T959" t="str">
        <f t="shared" si="132"/>
        <v>Clerk</v>
      </c>
      <c r="U959" s="2">
        <v>43845</v>
      </c>
      <c r="V959" t="s">
        <v>24</v>
      </c>
      <c r="W959" t="s">
        <v>51</v>
      </c>
      <c r="X959" t="str">
        <f t="shared" si="133"/>
        <v>email@example/com</v>
      </c>
      <c r="Y959" t="str">
        <f t="shared" si="134"/>
        <v>email@example.com</v>
      </c>
      <c r="Z959" t="str">
        <f t="shared" si="126"/>
        <v>123-456-7890</v>
      </c>
    </row>
    <row r="960" spans="1:26" x14ac:dyDescent="0.25">
      <c r="A960" t="s">
        <v>16</v>
      </c>
      <c r="B960">
        <v>50</v>
      </c>
      <c r="C960">
        <v>65000</v>
      </c>
      <c r="D960" t="s">
        <v>32</v>
      </c>
      <c r="E960" t="s">
        <v>27</v>
      </c>
      <c r="F960" t="s">
        <v>38</v>
      </c>
      <c r="G960" s="1">
        <v>43195</v>
      </c>
      <c r="H960" t="s">
        <v>36</v>
      </c>
      <c r="I960" t="s">
        <v>53</v>
      </c>
      <c r="J960" t="s">
        <v>21</v>
      </c>
      <c r="M960" t="str">
        <f t="shared" si="127"/>
        <v>David</v>
      </c>
      <c r="N960">
        <v>50</v>
      </c>
      <c r="O960">
        <f t="shared" si="128"/>
        <v>50</v>
      </c>
      <c r="P960">
        <v>65000</v>
      </c>
      <c r="Q960">
        <f t="shared" si="129"/>
        <v>65000</v>
      </c>
      <c r="R960" t="str">
        <f t="shared" si="130"/>
        <v>Other</v>
      </c>
      <c r="S960" t="str">
        <f t="shared" si="131"/>
        <v>IT</v>
      </c>
      <c r="T960" t="str">
        <f t="shared" si="132"/>
        <v>Analyst</v>
      </c>
      <c r="U960" s="2">
        <v>43195</v>
      </c>
      <c r="V960" t="s">
        <v>36</v>
      </c>
      <c r="W960" t="s">
        <v>53</v>
      </c>
      <c r="X960" t="str">
        <f t="shared" si="133"/>
        <v>name@company/org</v>
      </c>
      <c r="Y960" t="str">
        <f t="shared" si="134"/>
        <v>name@company.org</v>
      </c>
      <c r="Z960" t="str">
        <f t="shared" si="126"/>
        <v>123-456-7890</v>
      </c>
    </row>
    <row r="961" spans="1:26" x14ac:dyDescent="0.25">
      <c r="A961" t="s">
        <v>40</v>
      </c>
      <c r="B961" t="s">
        <v>15</v>
      </c>
      <c r="C961">
        <v>60000</v>
      </c>
      <c r="D961" t="s">
        <v>32</v>
      </c>
      <c r="E961" t="s">
        <v>18</v>
      </c>
      <c r="F961" t="s">
        <v>19</v>
      </c>
      <c r="G961" s="1">
        <v>43195</v>
      </c>
      <c r="H961" t="s">
        <v>28</v>
      </c>
      <c r="I961" t="s">
        <v>51</v>
      </c>
      <c r="J961" t="s">
        <v>21</v>
      </c>
      <c r="M961" t="str">
        <f t="shared" si="127"/>
        <v>Frank</v>
      </c>
      <c r="N961" t="s">
        <v>15</v>
      </c>
      <c r="O961">
        <f t="shared" si="128"/>
        <v>35</v>
      </c>
      <c r="P961">
        <v>60000</v>
      </c>
      <c r="Q961">
        <f t="shared" si="129"/>
        <v>60000</v>
      </c>
      <c r="R961" t="str">
        <f t="shared" si="130"/>
        <v>Other</v>
      </c>
      <c r="S961" t="str">
        <f t="shared" si="131"/>
        <v>Finance</v>
      </c>
      <c r="T961" t="str">
        <f t="shared" si="132"/>
        <v>Director</v>
      </c>
      <c r="U961" s="2">
        <v>43195</v>
      </c>
      <c r="V961" t="s">
        <v>28</v>
      </c>
      <c r="W961" t="s">
        <v>51</v>
      </c>
      <c r="X961" t="str">
        <f t="shared" si="133"/>
        <v>email@example/com</v>
      </c>
      <c r="Y961" t="str">
        <f t="shared" si="134"/>
        <v>email@example.com</v>
      </c>
      <c r="Z961" t="str">
        <f t="shared" si="126"/>
        <v>123-456-7890</v>
      </c>
    </row>
    <row r="962" spans="1:26" x14ac:dyDescent="0.25">
      <c r="A962" t="s">
        <v>43</v>
      </c>
      <c r="B962">
        <v>30</v>
      </c>
      <c r="C962" t="s">
        <v>30</v>
      </c>
      <c r="D962" t="s">
        <v>11</v>
      </c>
      <c r="E962" t="s">
        <v>33</v>
      </c>
      <c r="F962" t="s">
        <v>35</v>
      </c>
      <c r="G962" s="2">
        <v>43881</v>
      </c>
      <c r="H962" t="s">
        <v>28</v>
      </c>
      <c r="I962" t="s">
        <v>52</v>
      </c>
      <c r="J962" t="s">
        <v>21</v>
      </c>
      <c r="M962" t="str">
        <f t="shared" si="127"/>
        <v>Ivy</v>
      </c>
      <c r="N962">
        <v>30</v>
      </c>
      <c r="O962">
        <f t="shared" si="128"/>
        <v>30</v>
      </c>
      <c r="P962" t="s">
        <v>30</v>
      </c>
      <c r="Q962">
        <f t="shared" si="129"/>
        <v>60000</v>
      </c>
      <c r="R962" t="str">
        <f t="shared" si="130"/>
        <v>Male</v>
      </c>
      <c r="S962" t="str">
        <f t="shared" si="131"/>
        <v>Marketing</v>
      </c>
      <c r="T962" t="str">
        <f t="shared" si="132"/>
        <v>Clerk</v>
      </c>
      <c r="U962" s="2">
        <v>43881</v>
      </c>
      <c r="V962" t="s">
        <v>28</v>
      </c>
      <c r="W962" t="s">
        <v>52</v>
      </c>
      <c r="X962" t="str">
        <f t="shared" si="133"/>
        <v>user@domain/com</v>
      </c>
      <c r="Y962" t="str">
        <f t="shared" si="134"/>
        <v>user@domain.com</v>
      </c>
      <c r="Z962" t="str">
        <f t="shared" ref="Z962:Z1001" si="135">IF(OR(TRIM(J962)="", LOWER(J962)="nan"), "Phone not provided", TRIM(J962))</f>
        <v>123-456-7890</v>
      </c>
    </row>
    <row r="963" spans="1:26" x14ac:dyDescent="0.25">
      <c r="A963" t="s">
        <v>42</v>
      </c>
      <c r="B963" t="s">
        <v>15</v>
      </c>
      <c r="C963">
        <v>65000</v>
      </c>
      <c r="D963" t="s">
        <v>17</v>
      </c>
      <c r="E963" t="s">
        <v>23</v>
      </c>
      <c r="F963" t="s">
        <v>35</v>
      </c>
      <c r="G963" s="2">
        <v>43800</v>
      </c>
      <c r="H963" t="s">
        <v>20</v>
      </c>
      <c r="I963" t="s">
        <v>51</v>
      </c>
      <c r="J963" t="s">
        <v>25</v>
      </c>
      <c r="M963" t="str">
        <f t="shared" ref="M963:M1001" si="136">PROPER(TRIM(CLEAN(A963:A1962)))</f>
        <v>Alice</v>
      </c>
      <c r="N963" t="s">
        <v>15</v>
      </c>
      <c r="O963">
        <f t="shared" ref="O963:O1001" si="137">IF(ISNUMBER(N963),N963,MEDIAN($N$2:$N$1001))</f>
        <v>35</v>
      </c>
      <c r="P963">
        <v>65000</v>
      </c>
      <c r="Q963">
        <f t="shared" ref="Q963:Q1001" si="138">IF(ISNUMBER(P963),P963,MEDIAN(P963:P1962))</f>
        <v>65000</v>
      </c>
      <c r="R963" t="str">
        <f t="shared" ref="R963:R1001" si="139">PROPER(TRIM(CLEAN(D963:D1962)))</f>
        <v>Female</v>
      </c>
      <c r="S963" t="str">
        <f t="shared" ref="S963:S1001" si="140">TRIM(CLEAN(E963:E1962))</f>
        <v>Sales</v>
      </c>
      <c r="T963" t="str">
        <f t="shared" ref="T963:T1001" si="141">TRIM(CLEAN(F963:F1962))</f>
        <v>Clerk</v>
      </c>
      <c r="U963" s="2">
        <v>43800</v>
      </c>
      <c r="V963" t="s">
        <v>20</v>
      </c>
      <c r="W963" t="s">
        <v>51</v>
      </c>
      <c r="X963" t="str">
        <f t="shared" ref="X963:X1001" si="142">IF(
   OR(TRIM(W963)="",LOWER(W963)="nan"),
   "Email not provided",
   W963
)</f>
        <v>email@example/com</v>
      </c>
      <c r="Y963" t="str">
        <f t="shared" ref="Y963:Y1001" si="143">SUBSTITUTE(X963,"/",".")</f>
        <v>email@example.com</v>
      </c>
      <c r="Z963" t="str">
        <f t="shared" si="135"/>
        <v>098-765-4321</v>
      </c>
    </row>
    <row r="964" spans="1:26" x14ac:dyDescent="0.25">
      <c r="A964" t="s">
        <v>26</v>
      </c>
      <c r="B964">
        <v>40</v>
      </c>
      <c r="C964">
        <v>50000</v>
      </c>
      <c r="D964" t="s">
        <v>17</v>
      </c>
      <c r="E964" t="s">
        <v>27</v>
      </c>
      <c r="F964" t="s">
        <v>35</v>
      </c>
      <c r="G964" s="2">
        <v>43845</v>
      </c>
      <c r="H964" t="s">
        <v>24</v>
      </c>
      <c r="I964" t="s">
        <v>15</v>
      </c>
      <c r="J964" t="s">
        <v>39</v>
      </c>
      <c r="M964" t="str">
        <f t="shared" si="136"/>
        <v>Eve</v>
      </c>
      <c r="N964">
        <v>40</v>
      </c>
      <c r="O964">
        <f t="shared" si="137"/>
        <v>40</v>
      </c>
      <c r="P964">
        <v>50000</v>
      </c>
      <c r="Q964">
        <f t="shared" si="138"/>
        <v>50000</v>
      </c>
      <c r="R964" t="str">
        <f t="shared" si="139"/>
        <v>Female</v>
      </c>
      <c r="S964" t="str">
        <f t="shared" si="140"/>
        <v>IT</v>
      </c>
      <c r="T964" t="str">
        <f t="shared" si="141"/>
        <v>Clerk</v>
      </c>
      <c r="U964" s="2">
        <v>43845</v>
      </c>
      <c r="V964" t="s">
        <v>24</v>
      </c>
      <c r="W964" t="s">
        <v>15</v>
      </c>
      <c r="X964" t="str">
        <f t="shared" si="142"/>
        <v>Email not provided</v>
      </c>
      <c r="Y964" t="str">
        <f t="shared" si="143"/>
        <v>Email not provided</v>
      </c>
      <c r="Z964" t="str">
        <f t="shared" si="135"/>
        <v>555-555-5555</v>
      </c>
    </row>
    <row r="965" spans="1:26" x14ac:dyDescent="0.25">
      <c r="A965" t="s">
        <v>10</v>
      </c>
      <c r="B965">
        <v>30</v>
      </c>
      <c r="C965">
        <v>60000</v>
      </c>
      <c r="D965" t="s">
        <v>17</v>
      </c>
      <c r="E965" t="s">
        <v>18</v>
      </c>
      <c r="F965" t="s">
        <v>38</v>
      </c>
      <c r="G965" s="1">
        <v>43195</v>
      </c>
      <c r="H965" t="s">
        <v>36</v>
      </c>
      <c r="J965" t="s">
        <v>15</v>
      </c>
      <c r="M965" t="str">
        <f t="shared" si="136"/>
        <v>Grace</v>
      </c>
      <c r="N965">
        <v>30</v>
      </c>
      <c r="O965">
        <f t="shared" si="137"/>
        <v>30</v>
      </c>
      <c r="P965">
        <v>60000</v>
      </c>
      <c r="Q965">
        <f t="shared" si="138"/>
        <v>60000</v>
      </c>
      <c r="R965" t="str">
        <f t="shared" si="139"/>
        <v>Female</v>
      </c>
      <c r="S965" t="str">
        <f t="shared" si="140"/>
        <v>Finance</v>
      </c>
      <c r="T965" t="str">
        <f t="shared" si="141"/>
        <v>Analyst</v>
      </c>
      <c r="U965" s="2">
        <v>43195</v>
      </c>
      <c r="V965" t="s">
        <v>36</v>
      </c>
      <c r="X965" t="str">
        <f t="shared" si="142"/>
        <v>Email not provided</v>
      </c>
      <c r="Y965" t="str">
        <f t="shared" si="143"/>
        <v>Email not provided</v>
      </c>
      <c r="Z965" t="str">
        <f t="shared" si="135"/>
        <v>Phone not provided</v>
      </c>
    </row>
    <row r="966" spans="1:26" x14ac:dyDescent="0.25">
      <c r="A966" t="s">
        <v>42</v>
      </c>
      <c r="B966">
        <v>35</v>
      </c>
      <c r="C966">
        <v>55000</v>
      </c>
      <c r="D966" t="s">
        <v>11</v>
      </c>
      <c r="E966" t="s">
        <v>33</v>
      </c>
      <c r="F966" t="s">
        <v>37</v>
      </c>
      <c r="G966" s="2">
        <v>43845</v>
      </c>
      <c r="H966" t="s">
        <v>36</v>
      </c>
      <c r="I966" t="s">
        <v>51</v>
      </c>
      <c r="J966" t="s">
        <v>25</v>
      </c>
      <c r="M966" t="str">
        <f t="shared" si="136"/>
        <v>Alice</v>
      </c>
      <c r="N966">
        <v>35</v>
      </c>
      <c r="O966">
        <f t="shared" si="137"/>
        <v>35</v>
      </c>
      <c r="P966">
        <v>55000</v>
      </c>
      <c r="Q966">
        <f t="shared" si="138"/>
        <v>55000</v>
      </c>
      <c r="R966" t="str">
        <f t="shared" si="139"/>
        <v>Male</v>
      </c>
      <c r="S966" t="str">
        <f t="shared" si="140"/>
        <v>Marketing</v>
      </c>
      <c r="T966" t="str">
        <f t="shared" si="141"/>
        <v>Assistant</v>
      </c>
      <c r="U966" s="2">
        <v>43845</v>
      </c>
      <c r="V966" t="s">
        <v>36</v>
      </c>
      <c r="W966" t="s">
        <v>51</v>
      </c>
      <c r="X966" t="str">
        <f t="shared" si="142"/>
        <v>email@example/com</v>
      </c>
      <c r="Y966" t="str">
        <f t="shared" si="143"/>
        <v>email@example.com</v>
      </c>
      <c r="Z966" t="str">
        <f t="shared" si="135"/>
        <v>098-765-4321</v>
      </c>
    </row>
    <row r="967" spans="1:26" x14ac:dyDescent="0.25">
      <c r="A967" t="s">
        <v>16</v>
      </c>
      <c r="B967">
        <v>35</v>
      </c>
      <c r="C967">
        <v>60000</v>
      </c>
      <c r="D967" t="s">
        <v>17</v>
      </c>
      <c r="E967" t="s">
        <v>33</v>
      </c>
      <c r="F967" t="s">
        <v>19</v>
      </c>
      <c r="G967" s="1">
        <v>43195</v>
      </c>
      <c r="H967" t="s">
        <v>28</v>
      </c>
      <c r="I967" t="s">
        <v>51</v>
      </c>
      <c r="J967" t="s">
        <v>21</v>
      </c>
      <c r="M967" t="str">
        <f t="shared" si="136"/>
        <v>David</v>
      </c>
      <c r="N967">
        <v>35</v>
      </c>
      <c r="O967">
        <f t="shared" si="137"/>
        <v>35</v>
      </c>
      <c r="P967">
        <v>60000</v>
      </c>
      <c r="Q967">
        <f t="shared" si="138"/>
        <v>60000</v>
      </c>
      <c r="R967" t="str">
        <f t="shared" si="139"/>
        <v>Female</v>
      </c>
      <c r="S967" t="str">
        <f t="shared" si="140"/>
        <v>Marketing</v>
      </c>
      <c r="T967" t="str">
        <f t="shared" si="141"/>
        <v>Director</v>
      </c>
      <c r="U967" s="2">
        <v>43195</v>
      </c>
      <c r="V967" t="s">
        <v>28</v>
      </c>
      <c r="W967" t="s">
        <v>51</v>
      </c>
      <c r="X967" t="str">
        <f t="shared" si="142"/>
        <v>email@example/com</v>
      </c>
      <c r="Y967" t="str">
        <f t="shared" si="143"/>
        <v>email@example.com</v>
      </c>
      <c r="Z967" t="str">
        <f t="shared" si="135"/>
        <v>123-456-7890</v>
      </c>
    </row>
    <row r="968" spans="1:26" x14ac:dyDescent="0.25">
      <c r="A968" t="s">
        <v>40</v>
      </c>
      <c r="B968">
        <v>50</v>
      </c>
      <c r="C968">
        <v>60000</v>
      </c>
      <c r="D968" t="s">
        <v>11</v>
      </c>
      <c r="E968" t="s">
        <v>12</v>
      </c>
      <c r="F968" t="s">
        <v>35</v>
      </c>
      <c r="G968" s="2">
        <v>43800</v>
      </c>
      <c r="H968" t="s">
        <v>20</v>
      </c>
      <c r="I968" t="s">
        <v>53</v>
      </c>
      <c r="J968" t="s">
        <v>25</v>
      </c>
      <c r="M968" t="str">
        <f t="shared" si="136"/>
        <v>Frank</v>
      </c>
      <c r="N968">
        <v>50</v>
      </c>
      <c r="O968">
        <f t="shared" si="137"/>
        <v>50</v>
      </c>
      <c r="P968">
        <v>60000</v>
      </c>
      <c r="Q968">
        <f t="shared" si="138"/>
        <v>60000</v>
      </c>
      <c r="R968" t="str">
        <f t="shared" si="139"/>
        <v>Male</v>
      </c>
      <c r="S968" t="str">
        <f t="shared" si="140"/>
        <v>HR</v>
      </c>
      <c r="T968" t="str">
        <f t="shared" si="141"/>
        <v>Clerk</v>
      </c>
      <c r="U968" s="2">
        <v>43800</v>
      </c>
      <c r="V968" t="s">
        <v>20</v>
      </c>
      <c r="W968" t="s">
        <v>53</v>
      </c>
      <c r="X968" t="str">
        <f t="shared" si="142"/>
        <v>name@company/org</v>
      </c>
      <c r="Y968" t="str">
        <f t="shared" si="143"/>
        <v>name@company.org</v>
      </c>
      <c r="Z968" t="str">
        <f t="shared" si="135"/>
        <v>098-765-4321</v>
      </c>
    </row>
    <row r="969" spans="1:26" x14ac:dyDescent="0.25">
      <c r="A969" t="s">
        <v>41</v>
      </c>
      <c r="B969">
        <v>30</v>
      </c>
      <c r="C969">
        <v>70000</v>
      </c>
      <c r="D969" t="s">
        <v>11</v>
      </c>
      <c r="E969" t="s">
        <v>12</v>
      </c>
      <c r="F969" t="s">
        <v>37</v>
      </c>
      <c r="G969" s="1">
        <v>43195</v>
      </c>
      <c r="H969" t="s">
        <v>28</v>
      </c>
      <c r="I969" t="s">
        <v>15</v>
      </c>
      <c r="J969" t="s">
        <v>29</v>
      </c>
      <c r="M969" t="str">
        <f t="shared" si="136"/>
        <v>Bob</v>
      </c>
      <c r="N969">
        <v>30</v>
      </c>
      <c r="O969">
        <f t="shared" si="137"/>
        <v>30</v>
      </c>
      <c r="P969">
        <v>70000</v>
      </c>
      <c r="Q969">
        <f t="shared" si="138"/>
        <v>70000</v>
      </c>
      <c r="R969" t="str">
        <f t="shared" si="139"/>
        <v>Male</v>
      </c>
      <c r="S969" t="str">
        <f t="shared" si="140"/>
        <v>HR</v>
      </c>
      <c r="T969" t="str">
        <f t="shared" si="141"/>
        <v>Assistant</v>
      </c>
      <c r="U969" s="2">
        <v>43195</v>
      </c>
      <c r="V969" t="s">
        <v>28</v>
      </c>
      <c r="W969" t="s">
        <v>15</v>
      </c>
      <c r="X969" t="str">
        <f t="shared" si="142"/>
        <v>Email not provided</v>
      </c>
      <c r="Y969" t="str">
        <f t="shared" si="143"/>
        <v>Email not provided</v>
      </c>
      <c r="Z969" t="str">
        <f t="shared" si="135"/>
        <v>Phone not provided</v>
      </c>
    </row>
    <row r="970" spans="1:26" x14ac:dyDescent="0.25">
      <c r="A970" t="s">
        <v>31</v>
      </c>
      <c r="B970">
        <v>25</v>
      </c>
      <c r="C970">
        <v>60000</v>
      </c>
      <c r="D970" t="s">
        <v>32</v>
      </c>
      <c r="E970" t="s">
        <v>27</v>
      </c>
      <c r="F970" t="s">
        <v>19</v>
      </c>
      <c r="G970" s="1">
        <v>43195</v>
      </c>
      <c r="H970" t="s">
        <v>28</v>
      </c>
      <c r="J970" t="s">
        <v>21</v>
      </c>
      <c r="M970" t="str">
        <f t="shared" si="136"/>
        <v>Jack</v>
      </c>
      <c r="N970">
        <v>25</v>
      </c>
      <c r="O970">
        <f t="shared" si="137"/>
        <v>25</v>
      </c>
      <c r="P970">
        <v>60000</v>
      </c>
      <c r="Q970">
        <f t="shared" si="138"/>
        <v>60000</v>
      </c>
      <c r="R970" t="str">
        <f t="shared" si="139"/>
        <v>Other</v>
      </c>
      <c r="S970" t="str">
        <f t="shared" si="140"/>
        <v>IT</v>
      </c>
      <c r="T970" t="str">
        <f t="shared" si="141"/>
        <v>Director</v>
      </c>
      <c r="U970" s="2">
        <v>43195</v>
      </c>
      <c r="V970" t="s">
        <v>28</v>
      </c>
      <c r="X970" t="str">
        <f t="shared" si="142"/>
        <v>Email not provided</v>
      </c>
      <c r="Y970" t="str">
        <f t="shared" si="143"/>
        <v>Email not provided</v>
      </c>
      <c r="Z970" t="str">
        <f t="shared" si="135"/>
        <v>123-456-7890</v>
      </c>
    </row>
    <row r="971" spans="1:26" x14ac:dyDescent="0.25">
      <c r="A971" t="s">
        <v>26</v>
      </c>
      <c r="B971">
        <v>30</v>
      </c>
      <c r="C971">
        <v>60000</v>
      </c>
      <c r="D971" t="s">
        <v>17</v>
      </c>
      <c r="E971" t="s">
        <v>12</v>
      </c>
      <c r="F971" t="s">
        <v>19</v>
      </c>
      <c r="G971" s="2">
        <v>43549</v>
      </c>
      <c r="H971" t="s">
        <v>20</v>
      </c>
      <c r="I971" t="s">
        <v>52</v>
      </c>
      <c r="J971" t="s">
        <v>15</v>
      </c>
      <c r="M971" t="str">
        <f t="shared" si="136"/>
        <v>Eve</v>
      </c>
      <c r="N971">
        <v>30</v>
      </c>
      <c r="O971">
        <f t="shared" si="137"/>
        <v>30</v>
      </c>
      <c r="P971">
        <v>60000</v>
      </c>
      <c r="Q971">
        <f t="shared" si="138"/>
        <v>60000</v>
      </c>
      <c r="R971" t="str">
        <f t="shared" si="139"/>
        <v>Female</v>
      </c>
      <c r="S971" t="str">
        <f t="shared" si="140"/>
        <v>HR</v>
      </c>
      <c r="T971" t="str">
        <f t="shared" si="141"/>
        <v>Director</v>
      </c>
      <c r="U971" s="2">
        <v>43549</v>
      </c>
      <c r="V971" t="s">
        <v>20</v>
      </c>
      <c r="W971" t="s">
        <v>52</v>
      </c>
      <c r="X971" t="str">
        <f t="shared" si="142"/>
        <v>user@domain/com</v>
      </c>
      <c r="Y971" t="str">
        <f t="shared" si="143"/>
        <v>user@domain.com</v>
      </c>
      <c r="Z971" t="str">
        <f t="shared" si="135"/>
        <v>Phone not provided</v>
      </c>
    </row>
    <row r="972" spans="1:26" x14ac:dyDescent="0.25">
      <c r="A972" t="s">
        <v>31</v>
      </c>
      <c r="B972">
        <v>40</v>
      </c>
      <c r="C972">
        <v>65000</v>
      </c>
      <c r="D972" t="s">
        <v>11</v>
      </c>
      <c r="E972" t="s">
        <v>27</v>
      </c>
      <c r="F972" t="s">
        <v>35</v>
      </c>
      <c r="G972" s="2">
        <v>43800</v>
      </c>
      <c r="H972" t="s">
        <v>24</v>
      </c>
      <c r="I972" t="s">
        <v>51</v>
      </c>
      <c r="J972" t="s">
        <v>21</v>
      </c>
      <c r="M972" t="str">
        <f t="shared" si="136"/>
        <v>Jack</v>
      </c>
      <c r="N972">
        <v>40</v>
      </c>
      <c r="O972">
        <f t="shared" si="137"/>
        <v>40</v>
      </c>
      <c r="P972">
        <v>65000</v>
      </c>
      <c r="Q972">
        <f t="shared" si="138"/>
        <v>65000</v>
      </c>
      <c r="R972" t="str">
        <f t="shared" si="139"/>
        <v>Male</v>
      </c>
      <c r="S972" t="str">
        <f t="shared" si="140"/>
        <v>IT</v>
      </c>
      <c r="T972" t="str">
        <f t="shared" si="141"/>
        <v>Clerk</v>
      </c>
      <c r="U972" s="2">
        <v>43800</v>
      </c>
      <c r="V972" t="s">
        <v>24</v>
      </c>
      <c r="W972" t="s">
        <v>51</v>
      </c>
      <c r="X972" t="str">
        <f t="shared" si="142"/>
        <v>email@example/com</v>
      </c>
      <c r="Y972" t="str">
        <f t="shared" si="143"/>
        <v>email@example.com</v>
      </c>
      <c r="Z972" t="str">
        <f t="shared" si="135"/>
        <v>123-456-7890</v>
      </c>
    </row>
    <row r="973" spans="1:26" x14ac:dyDescent="0.25">
      <c r="A973" t="s">
        <v>42</v>
      </c>
      <c r="B973">
        <v>25</v>
      </c>
      <c r="C973">
        <v>55000</v>
      </c>
      <c r="D973" t="s">
        <v>17</v>
      </c>
      <c r="E973" t="s">
        <v>23</v>
      </c>
      <c r="F973" t="s">
        <v>35</v>
      </c>
      <c r="G973" s="2">
        <v>43881</v>
      </c>
      <c r="H973" t="s">
        <v>36</v>
      </c>
      <c r="J973" t="s">
        <v>15</v>
      </c>
      <c r="M973" t="str">
        <f t="shared" si="136"/>
        <v>Alice</v>
      </c>
      <c r="N973">
        <v>25</v>
      </c>
      <c r="O973">
        <f t="shared" si="137"/>
        <v>25</v>
      </c>
      <c r="P973">
        <v>55000</v>
      </c>
      <c r="Q973">
        <f t="shared" si="138"/>
        <v>55000</v>
      </c>
      <c r="R973" t="str">
        <f t="shared" si="139"/>
        <v>Female</v>
      </c>
      <c r="S973" t="str">
        <f t="shared" si="140"/>
        <v>Sales</v>
      </c>
      <c r="T973" t="str">
        <f t="shared" si="141"/>
        <v>Clerk</v>
      </c>
      <c r="U973" s="2">
        <v>43881</v>
      </c>
      <c r="V973" t="s">
        <v>36</v>
      </c>
      <c r="X973" t="str">
        <f t="shared" si="142"/>
        <v>Email not provided</v>
      </c>
      <c r="Y973" t="str">
        <f t="shared" si="143"/>
        <v>Email not provided</v>
      </c>
      <c r="Z973" t="str">
        <f t="shared" si="135"/>
        <v>Phone not provided</v>
      </c>
    </row>
    <row r="974" spans="1:26" x14ac:dyDescent="0.25">
      <c r="A974" t="s">
        <v>40</v>
      </c>
      <c r="B974">
        <v>35</v>
      </c>
      <c r="C974">
        <v>65000</v>
      </c>
      <c r="D974" t="s">
        <v>17</v>
      </c>
      <c r="E974" t="s">
        <v>27</v>
      </c>
      <c r="F974" t="s">
        <v>38</v>
      </c>
      <c r="G974" s="2">
        <v>43881</v>
      </c>
      <c r="H974" t="s">
        <v>24</v>
      </c>
      <c r="I974" t="s">
        <v>52</v>
      </c>
      <c r="J974" t="s">
        <v>15</v>
      </c>
      <c r="M974" t="str">
        <f t="shared" si="136"/>
        <v>Frank</v>
      </c>
      <c r="N974">
        <v>35</v>
      </c>
      <c r="O974">
        <f t="shared" si="137"/>
        <v>35</v>
      </c>
      <c r="P974">
        <v>65000</v>
      </c>
      <c r="Q974">
        <f t="shared" si="138"/>
        <v>65000</v>
      </c>
      <c r="R974" t="str">
        <f t="shared" si="139"/>
        <v>Female</v>
      </c>
      <c r="S974" t="str">
        <f t="shared" si="140"/>
        <v>IT</v>
      </c>
      <c r="T974" t="str">
        <f t="shared" si="141"/>
        <v>Analyst</v>
      </c>
      <c r="U974" s="2">
        <v>43881</v>
      </c>
      <c r="V974" t="s">
        <v>24</v>
      </c>
      <c r="W974" t="s">
        <v>52</v>
      </c>
      <c r="X974" t="str">
        <f t="shared" si="142"/>
        <v>user@domain/com</v>
      </c>
      <c r="Y974" t="str">
        <f t="shared" si="143"/>
        <v>user@domain.com</v>
      </c>
      <c r="Z974" t="str">
        <f t="shared" si="135"/>
        <v>Phone not provided</v>
      </c>
    </row>
    <row r="975" spans="1:26" x14ac:dyDescent="0.25">
      <c r="A975" t="s">
        <v>40</v>
      </c>
      <c r="B975">
        <v>30</v>
      </c>
      <c r="C975">
        <v>65000</v>
      </c>
      <c r="D975" t="s">
        <v>32</v>
      </c>
      <c r="E975" t="s">
        <v>12</v>
      </c>
      <c r="F975" t="s">
        <v>37</v>
      </c>
      <c r="G975" s="2">
        <v>43800</v>
      </c>
      <c r="H975" t="s">
        <v>14</v>
      </c>
      <c r="I975" t="s">
        <v>15</v>
      </c>
      <c r="J975" t="s">
        <v>39</v>
      </c>
      <c r="M975" t="str">
        <f t="shared" si="136"/>
        <v>Frank</v>
      </c>
      <c r="N975">
        <v>30</v>
      </c>
      <c r="O975">
        <f t="shared" si="137"/>
        <v>30</v>
      </c>
      <c r="P975">
        <v>65000</v>
      </c>
      <c r="Q975">
        <f t="shared" si="138"/>
        <v>65000</v>
      </c>
      <c r="R975" t="str">
        <f t="shared" si="139"/>
        <v>Other</v>
      </c>
      <c r="S975" t="str">
        <f t="shared" si="140"/>
        <v>HR</v>
      </c>
      <c r="T975" t="str">
        <f t="shared" si="141"/>
        <v>Assistant</v>
      </c>
      <c r="U975" s="2">
        <v>43800</v>
      </c>
      <c r="V975" t="s">
        <v>14</v>
      </c>
      <c r="W975" t="s">
        <v>15</v>
      </c>
      <c r="X975" t="str">
        <f t="shared" si="142"/>
        <v>Email not provided</v>
      </c>
      <c r="Y975" t="str">
        <f t="shared" si="143"/>
        <v>Email not provided</v>
      </c>
      <c r="Z975" t="str">
        <f t="shared" si="135"/>
        <v>555-555-5555</v>
      </c>
    </row>
    <row r="976" spans="1:26" x14ac:dyDescent="0.25">
      <c r="A976" t="s">
        <v>16</v>
      </c>
      <c r="B976" t="s">
        <v>15</v>
      </c>
      <c r="C976">
        <v>50000</v>
      </c>
      <c r="D976" t="s">
        <v>17</v>
      </c>
      <c r="E976" t="s">
        <v>23</v>
      </c>
      <c r="F976" t="s">
        <v>37</v>
      </c>
      <c r="G976" s="2">
        <v>43881</v>
      </c>
      <c r="H976" t="s">
        <v>14</v>
      </c>
      <c r="I976" t="s">
        <v>15</v>
      </c>
      <c r="J976" t="s">
        <v>39</v>
      </c>
      <c r="M976" t="str">
        <f t="shared" si="136"/>
        <v>David</v>
      </c>
      <c r="N976" t="s">
        <v>15</v>
      </c>
      <c r="O976">
        <f t="shared" si="137"/>
        <v>35</v>
      </c>
      <c r="P976">
        <v>50000</v>
      </c>
      <c r="Q976">
        <f t="shared" si="138"/>
        <v>50000</v>
      </c>
      <c r="R976" t="str">
        <f t="shared" si="139"/>
        <v>Female</v>
      </c>
      <c r="S976" t="str">
        <f t="shared" si="140"/>
        <v>Sales</v>
      </c>
      <c r="T976" t="str">
        <f t="shared" si="141"/>
        <v>Assistant</v>
      </c>
      <c r="U976" s="2">
        <v>43881</v>
      </c>
      <c r="V976" t="s">
        <v>14</v>
      </c>
      <c r="W976" t="s">
        <v>15</v>
      </c>
      <c r="X976" t="str">
        <f t="shared" si="142"/>
        <v>Email not provided</v>
      </c>
      <c r="Y976" t="str">
        <f t="shared" si="143"/>
        <v>Email not provided</v>
      </c>
      <c r="Z976" t="str">
        <f t="shared" si="135"/>
        <v>555-555-5555</v>
      </c>
    </row>
    <row r="977" spans="1:26" x14ac:dyDescent="0.25">
      <c r="A977" t="s">
        <v>22</v>
      </c>
      <c r="B977">
        <v>50</v>
      </c>
      <c r="C977">
        <v>65000</v>
      </c>
      <c r="D977" t="s">
        <v>32</v>
      </c>
      <c r="E977" t="s">
        <v>12</v>
      </c>
      <c r="F977" t="s">
        <v>35</v>
      </c>
      <c r="G977" s="2">
        <v>43800</v>
      </c>
      <c r="H977" t="s">
        <v>14</v>
      </c>
      <c r="J977" t="s">
        <v>25</v>
      </c>
      <c r="M977" t="str">
        <f t="shared" si="136"/>
        <v>Hannah</v>
      </c>
      <c r="N977">
        <v>50</v>
      </c>
      <c r="O977">
        <f t="shared" si="137"/>
        <v>50</v>
      </c>
      <c r="P977">
        <v>65000</v>
      </c>
      <c r="Q977">
        <f t="shared" si="138"/>
        <v>65000</v>
      </c>
      <c r="R977" t="str">
        <f t="shared" si="139"/>
        <v>Other</v>
      </c>
      <c r="S977" t="str">
        <f t="shared" si="140"/>
        <v>HR</v>
      </c>
      <c r="T977" t="str">
        <f t="shared" si="141"/>
        <v>Clerk</v>
      </c>
      <c r="U977" s="2">
        <v>43800</v>
      </c>
      <c r="V977" t="s">
        <v>14</v>
      </c>
      <c r="X977" t="str">
        <f t="shared" si="142"/>
        <v>Email not provided</v>
      </c>
      <c r="Y977" t="str">
        <f t="shared" si="143"/>
        <v>Email not provided</v>
      </c>
      <c r="Z977" t="str">
        <f t="shared" si="135"/>
        <v>098-765-4321</v>
      </c>
    </row>
    <row r="978" spans="1:26" x14ac:dyDescent="0.25">
      <c r="A978" t="s">
        <v>16</v>
      </c>
      <c r="B978" t="s">
        <v>15</v>
      </c>
      <c r="C978">
        <v>70000</v>
      </c>
      <c r="D978" t="s">
        <v>11</v>
      </c>
      <c r="E978" t="s">
        <v>27</v>
      </c>
      <c r="F978" t="s">
        <v>19</v>
      </c>
      <c r="G978" s="2">
        <v>43881</v>
      </c>
      <c r="H978" t="s">
        <v>20</v>
      </c>
      <c r="I978" t="s">
        <v>52</v>
      </c>
      <c r="J978" t="s">
        <v>25</v>
      </c>
      <c r="M978" t="str">
        <f t="shared" si="136"/>
        <v>David</v>
      </c>
      <c r="N978" t="s">
        <v>15</v>
      </c>
      <c r="O978">
        <f t="shared" si="137"/>
        <v>35</v>
      </c>
      <c r="P978">
        <v>70000</v>
      </c>
      <c r="Q978">
        <f t="shared" si="138"/>
        <v>70000</v>
      </c>
      <c r="R978" t="str">
        <f t="shared" si="139"/>
        <v>Male</v>
      </c>
      <c r="S978" t="str">
        <f t="shared" si="140"/>
        <v>IT</v>
      </c>
      <c r="T978" t="str">
        <f t="shared" si="141"/>
        <v>Director</v>
      </c>
      <c r="U978" s="2">
        <v>43881</v>
      </c>
      <c r="V978" t="s">
        <v>20</v>
      </c>
      <c r="W978" t="s">
        <v>52</v>
      </c>
      <c r="X978" t="str">
        <f t="shared" si="142"/>
        <v>user@domain/com</v>
      </c>
      <c r="Y978" t="str">
        <f t="shared" si="143"/>
        <v>user@domain.com</v>
      </c>
      <c r="Z978" t="str">
        <f t="shared" si="135"/>
        <v>098-765-4321</v>
      </c>
    </row>
    <row r="979" spans="1:26" x14ac:dyDescent="0.25">
      <c r="A979" t="s">
        <v>22</v>
      </c>
      <c r="B979">
        <v>50</v>
      </c>
      <c r="C979">
        <v>70000</v>
      </c>
      <c r="D979" t="s">
        <v>17</v>
      </c>
      <c r="E979" t="s">
        <v>18</v>
      </c>
      <c r="F979" t="s">
        <v>35</v>
      </c>
      <c r="G979" s="2">
        <v>43549</v>
      </c>
      <c r="H979" t="s">
        <v>28</v>
      </c>
      <c r="I979" t="s">
        <v>15</v>
      </c>
      <c r="J979" t="s">
        <v>15</v>
      </c>
      <c r="M979" t="str">
        <f t="shared" si="136"/>
        <v>Hannah</v>
      </c>
      <c r="N979">
        <v>50</v>
      </c>
      <c r="O979">
        <f t="shared" si="137"/>
        <v>50</v>
      </c>
      <c r="P979">
        <v>70000</v>
      </c>
      <c r="Q979">
        <f t="shared" si="138"/>
        <v>70000</v>
      </c>
      <c r="R979" t="str">
        <f t="shared" si="139"/>
        <v>Female</v>
      </c>
      <c r="S979" t="str">
        <f t="shared" si="140"/>
        <v>Finance</v>
      </c>
      <c r="T979" t="str">
        <f t="shared" si="141"/>
        <v>Clerk</v>
      </c>
      <c r="U979" s="2">
        <v>43549</v>
      </c>
      <c r="V979" t="s">
        <v>28</v>
      </c>
      <c r="W979" t="s">
        <v>15</v>
      </c>
      <c r="X979" t="str">
        <f t="shared" si="142"/>
        <v>Email not provided</v>
      </c>
      <c r="Y979" t="str">
        <f t="shared" si="143"/>
        <v>Email not provided</v>
      </c>
      <c r="Z979" t="str">
        <f t="shared" si="135"/>
        <v>Phone not provided</v>
      </c>
    </row>
    <row r="980" spans="1:26" x14ac:dyDescent="0.25">
      <c r="A980" t="s">
        <v>22</v>
      </c>
      <c r="B980">
        <v>40</v>
      </c>
      <c r="C980">
        <v>50000</v>
      </c>
      <c r="D980" t="s">
        <v>11</v>
      </c>
      <c r="E980" t="s">
        <v>33</v>
      </c>
      <c r="F980" t="s">
        <v>19</v>
      </c>
      <c r="G980" s="2">
        <v>43881</v>
      </c>
      <c r="H980" t="s">
        <v>24</v>
      </c>
      <c r="J980" t="s">
        <v>21</v>
      </c>
      <c r="M980" t="str">
        <f t="shared" si="136"/>
        <v>Hannah</v>
      </c>
      <c r="N980">
        <v>40</v>
      </c>
      <c r="O980">
        <f t="shared" si="137"/>
        <v>40</v>
      </c>
      <c r="P980">
        <v>50000</v>
      </c>
      <c r="Q980">
        <f t="shared" si="138"/>
        <v>50000</v>
      </c>
      <c r="R980" t="str">
        <f t="shared" si="139"/>
        <v>Male</v>
      </c>
      <c r="S980" t="str">
        <f t="shared" si="140"/>
        <v>Marketing</v>
      </c>
      <c r="T980" t="str">
        <f t="shared" si="141"/>
        <v>Director</v>
      </c>
      <c r="U980" s="2">
        <v>43881</v>
      </c>
      <c r="V980" t="s">
        <v>24</v>
      </c>
      <c r="X980" t="str">
        <f t="shared" si="142"/>
        <v>Email not provided</v>
      </c>
      <c r="Y980" t="str">
        <f t="shared" si="143"/>
        <v>Email not provided</v>
      </c>
      <c r="Z980" t="str">
        <f t="shared" si="135"/>
        <v>123-456-7890</v>
      </c>
    </row>
    <row r="981" spans="1:26" x14ac:dyDescent="0.25">
      <c r="A981" t="s">
        <v>26</v>
      </c>
      <c r="B981" t="s">
        <v>15</v>
      </c>
      <c r="C981" t="s">
        <v>30</v>
      </c>
      <c r="D981" t="s">
        <v>17</v>
      </c>
      <c r="E981" t="s">
        <v>12</v>
      </c>
      <c r="F981" t="s">
        <v>19</v>
      </c>
      <c r="G981" s="1">
        <v>43195</v>
      </c>
      <c r="H981" t="s">
        <v>36</v>
      </c>
      <c r="I981" t="s">
        <v>15</v>
      </c>
      <c r="J981" t="s">
        <v>29</v>
      </c>
      <c r="M981" t="str">
        <f t="shared" si="136"/>
        <v>Eve</v>
      </c>
      <c r="N981" t="s">
        <v>15</v>
      </c>
      <c r="O981">
        <f t="shared" si="137"/>
        <v>35</v>
      </c>
      <c r="P981" t="s">
        <v>30</v>
      </c>
      <c r="Q981">
        <f t="shared" si="138"/>
        <v>60000</v>
      </c>
      <c r="R981" t="str">
        <f t="shared" si="139"/>
        <v>Female</v>
      </c>
      <c r="S981" t="str">
        <f t="shared" si="140"/>
        <v>HR</v>
      </c>
      <c r="T981" t="str">
        <f t="shared" si="141"/>
        <v>Director</v>
      </c>
      <c r="U981" s="2">
        <v>43195</v>
      </c>
      <c r="V981" t="s">
        <v>36</v>
      </c>
      <c r="W981" t="s">
        <v>15</v>
      </c>
      <c r="X981" t="str">
        <f t="shared" si="142"/>
        <v>Email not provided</v>
      </c>
      <c r="Y981" t="str">
        <f t="shared" si="143"/>
        <v>Email not provided</v>
      </c>
      <c r="Z981" t="str">
        <f t="shared" si="135"/>
        <v>Phone not provided</v>
      </c>
    </row>
    <row r="982" spans="1:26" x14ac:dyDescent="0.25">
      <c r="A982" t="s">
        <v>16</v>
      </c>
      <c r="B982">
        <v>30</v>
      </c>
      <c r="C982">
        <v>55000</v>
      </c>
      <c r="D982" t="s">
        <v>11</v>
      </c>
      <c r="E982" t="s">
        <v>27</v>
      </c>
      <c r="F982" t="s">
        <v>35</v>
      </c>
      <c r="G982" s="2">
        <v>43800</v>
      </c>
      <c r="H982" t="s">
        <v>14</v>
      </c>
      <c r="I982" t="s">
        <v>15</v>
      </c>
      <c r="M982" t="str">
        <f t="shared" si="136"/>
        <v>David</v>
      </c>
      <c r="N982">
        <v>30</v>
      </c>
      <c r="O982">
        <f t="shared" si="137"/>
        <v>30</v>
      </c>
      <c r="P982">
        <v>55000</v>
      </c>
      <c r="Q982">
        <f t="shared" si="138"/>
        <v>55000</v>
      </c>
      <c r="R982" t="str">
        <f t="shared" si="139"/>
        <v>Male</v>
      </c>
      <c r="S982" t="str">
        <f t="shared" si="140"/>
        <v>IT</v>
      </c>
      <c r="T982" t="str">
        <f t="shared" si="141"/>
        <v>Clerk</v>
      </c>
      <c r="U982" s="2">
        <v>43800</v>
      </c>
      <c r="V982" t="s">
        <v>14</v>
      </c>
      <c r="W982" t="s">
        <v>15</v>
      </c>
      <c r="X982" t="str">
        <f t="shared" si="142"/>
        <v>Email not provided</v>
      </c>
      <c r="Y982" t="str">
        <f t="shared" si="143"/>
        <v>Email not provided</v>
      </c>
      <c r="Z982" t="str">
        <f t="shared" si="135"/>
        <v>Phone not provided</v>
      </c>
    </row>
    <row r="983" spans="1:26" x14ac:dyDescent="0.25">
      <c r="A983" t="s">
        <v>41</v>
      </c>
      <c r="B983">
        <v>30</v>
      </c>
      <c r="C983">
        <v>55000</v>
      </c>
      <c r="D983" t="s">
        <v>17</v>
      </c>
      <c r="E983" t="s">
        <v>23</v>
      </c>
      <c r="F983" t="s">
        <v>13</v>
      </c>
      <c r="G983" s="2">
        <v>43845</v>
      </c>
      <c r="H983" t="s">
        <v>24</v>
      </c>
      <c r="I983" t="s">
        <v>15</v>
      </c>
      <c r="J983" t="s">
        <v>21</v>
      </c>
      <c r="M983" t="str">
        <f t="shared" si="136"/>
        <v>Bob</v>
      </c>
      <c r="N983">
        <v>30</v>
      </c>
      <c r="O983">
        <f t="shared" si="137"/>
        <v>30</v>
      </c>
      <c r="P983">
        <v>55000</v>
      </c>
      <c r="Q983">
        <f t="shared" si="138"/>
        <v>55000</v>
      </c>
      <c r="R983" t="str">
        <f t="shared" si="139"/>
        <v>Female</v>
      </c>
      <c r="S983" t="str">
        <f t="shared" si="140"/>
        <v>Sales</v>
      </c>
      <c r="T983" t="str">
        <f t="shared" si="141"/>
        <v>Manager</v>
      </c>
      <c r="U983" s="2">
        <v>43845</v>
      </c>
      <c r="V983" t="s">
        <v>24</v>
      </c>
      <c r="W983" t="s">
        <v>15</v>
      </c>
      <c r="X983" t="str">
        <f t="shared" si="142"/>
        <v>Email not provided</v>
      </c>
      <c r="Y983" t="str">
        <f t="shared" si="143"/>
        <v>Email not provided</v>
      </c>
      <c r="Z983" t="str">
        <f t="shared" si="135"/>
        <v>123-456-7890</v>
      </c>
    </row>
    <row r="984" spans="1:26" x14ac:dyDescent="0.25">
      <c r="A984" t="s">
        <v>34</v>
      </c>
      <c r="B984" t="s">
        <v>15</v>
      </c>
      <c r="C984">
        <v>65000</v>
      </c>
      <c r="D984" t="s">
        <v>17</v>
      </c>
      <c r="E984" t="s">
        <v>12</v>
      </c>
      <c r="F984" t="s">
        <v>37</v>
      </c>
      <c r="G984" s="2">
        <v>43845</v>
      </c>
      <c r="H984" t="s">
        <v>14</v>
      </c>
      <c r="I984" t="s">
        <v>53</v>
      </c>
      <c r="J984" t="s">
        <v>21</v>
      </c>
      <c r="M984" t="str">
        <f t="shared" si="136"/>
        <v>Charlie</v>
      </c>
      <c r="N984" t="s">
        <v>15</v>
      </c>
      <c r="O984">
        <f t="shared" si="137"/>
        <v>35</v>
      </c>
      <c r="P984">
        <v>65000</v>
      </c>
      <c r="Q984">
        <f t="shared" si="138"/>
        <v>65000</v>
      </c>
      <c r="R984" t="str">
        <f t="shared" si="139"/>
        <v>Female</v>
      </c>
      <c r="S984" t="str">
        <f t="shared" si="140"/>
        <v>HR</v>
      </c>
      <c r="T984" t="str">
        <f t="shared" si="141"/>
        <v>Assistant</v>
      </c>
      <c r="U984" s="2">
        <v>43845</v>
      </c>
      <c r="V984" t="s">
        <v>14</v>
      </c>
      <c r="W984" t="s">
        <v>53</v>
      </c>
      <c r="X984" t="str">
        <f t="shared" si="142"/>
        <v>name@company/org</v>
      </c>
      <c r="Y984" t="str">
        <f t="shared" si="143"/>
        <v>name@company.org</v>
      </c>
      <c r="Z984" t="str">
        <f t="shared" si="135"/>
        <v>123-456-7890</v>
      </c>
    </row>
    <row r="985" spans="1:26" x14ac:dyDescent="0.25">
      <c r="A985" t="s">
        <v>34</v>
      </c>
      <c r="B985">
        <v>30</v>
      </c>
      <c r="C985">
        <v>65000</v>
      </c>
      <c r="D985" t="s">
        <v>17</v>
      </c>
      <c r="E985" t="s">
        <v>12</v>
      </c>
      <c r="F985" t="s">
        <v>19</v>
      </c>
      <c r="G985" s="2">
        <v>43800</v>
      </c>
      <c r="H985" t="s">
        <v>14</v>
      </c>
      <c r="I985" t="s">
        <v>52</v>
      </c>
      <c r="J985" t="s">
        <v>39</v>
      </c>
      <c r="M985" t="str">
        <f t="shared" si="136"/>
        <v>Charlie</v>
      </c>
      <c r="N985">
        <v>30</v>
      </c>
      <c r="O985">
        <f t="shared" si="137"/>
        <v>30</v>
      </c>
      <c r="P985">
        <v>65000</v>
      </c>
      <c r="Q985">
        <f t="shared" si="138"/>
        <v>65000</v>
      </c>
      <c r="R985" t="str">
        <f t="shared" si="139"/>
        <v>Female</v>
      </c>
      <c r="S985" t="str">
        <f t="shared" si="140"/>
        <v>HR</v>
      </c>
      <c r="T985" t="str">
        <f t="shared" si="141"/>
        <v>Director</v>
      </c>
      <c r="U985" s="2">
        <v>43800</v>
      </c>
      <c r="V985" t="s">
        <v>14</v>
      </c>
      <c r="W985" t="s">
        <v>52</v>
      </c>
      <c r="X985" t="str">
        <f t="shared" si="142"/>
        <v>user@domain/com</v>
      </c>
      <c r="Y985" t="str">
        <f t="shared" si="143"/>
        <v>user@domain.com</v>
      </c>
      <c r="Z985" t="str">
        <f t="shared" si="135"/>
        <v>555-555-5555</v>
      </c>
    </row>
    <row r="986" spans="1:26" x14ac:dyDescent="0.25">
      <c r="A986" t="s">
        <v>16</v>
      </c>
      <c r="B986">
        <v>40</v>
      </c>
      <c r="C986" t="s">
        <v>30</v>
      </c>
      <c r="D986" t="s">
        <v>17</v>
      </c>
      <c r="E986" t="s">
        <v>33</v>
      </c>
      <c r="F986" t="s">
        <v>19</v>
      </c>
      <c r="G986" s="2">
        <v>43549</v>
      </c>
      <c r="H986" t="s">
        <v>36</v>
      </c>
      <c r="J986" t="s">
        <v>29</v>
      </c>
      <c r="M986" t="str">
        <f t="shared" si="136"/>
        <v>David</v>
      </c>
      <c r="N986">
        <v>40</v>
      </c>
      <c r="O986">
        <f t="shared" si="137"/>
        <v>40</v>
      </c>
      <c r="P986" t="s">
        <v>30</v>
      </c>
      <c r="Q986">
        <f t="shared" si="138"/>
        <v>60000</v>
      </c>
      <c r="R986" t="str">
        <f t="shared" si="139"/>
        <v>Female</v>
      </c>
      <c r="S986" t="str">
        <f t="shared" si="140"/>
        <v>Marketing</v>
      </c>
      <c r="T986" t="str">
        <f t="shared" si="141"/>
        <v>Director</v>
      </c>
      <c r="U986" s="2">
        <v>43549</v>
      </c>
      <c r="V986" t="s">
        <v>36</v>
      </c>
      <c r="X986" t="str">
        <f t="shared" si="142"/>
        <v>Email not provided</v>
      </c>
      <c r="Y986" t="str">
        <f t="shared" si="143"/>
        <v>Email not provided</v>
      </c>
      <c r="Z986" t="str">
        <f t="shared" si="135"/>
        <v>Phone not provided</v>
      </c>
    </row>
    <row r="987" spans="1:26" x14ac:dyDescent="0.25">
      <c r="A987" t="s">
        <v>16</v>
      </c>
      <c r="B987">
        <v>25</v>
      </c>
      <c r="C987">
        <v>65000</v>
      </c>
      <c r="D987" t="s">
        <v>17</v>
      </c>
      <c r="E987" t="s">
        <v>27</v>
      </c>
      <c r="F987" t="s">
        <v>13</v>
      </c>
      <c r="G987" s="2">
        <v>43881</v>
      </c>
      <c r="H987" t="s">
        <v>20</v>
      </c>
      <c r="J987" t="s">
        <v>15</v>
      </c>
      <c r="M987" t="str">
        <f t="shared" si="136"/>
        <v>David</v>
      </c>
      <c r="N987">
        <v>25</v>
      </c>
      <c r="O987">
        <f t="shared" si="137"/>
        <v>25</v>
      </c>
      <c r="P987">
        <v>65000</v>
      </c>
      <c r="Q987">
        <f t="shared" si="138"/>
        <v>65000</v>
      </c>
      <c r="R987" t="str">
        <f t="shared" si="139"/>
        <v>Female</v>
      </c>
      <c r="S987" t="str">
        <f t="shared" si="140"/>
        <v>IT</v>
      </c>
      <c r="T987" t="str">
        <f t="shared" si="141"/>
        <v>Manager</v>
      </c>
      <c r="U987" s="2">
        <v>43881</v>
      </c>
      <c r="V987" t="s">
        <v>20</v>
      </c>
      <c r="X987" t="str">
        <f t="shared" si="142"/>
        <v>Email not provided</v>
      </c>
      <c r="Y987" t="str">
        <f t="shared" si="143"/>
        <v>Email not provided</v>
      </c>
      <c r="Z987" t="str">
        <f t="shared" si="135"/>
        <v>Phone not provided</v>
      </c>
    </row>
    <row r="988" spans="1:26" x14ac:dyDescent="0.25">
      <c r="A988" t="s">
        <v>31</v>
      </c>
      <c r="B988">
        <v>40</v>
      </c>
      <c r="C988">
        <v>55000</v>
      </c>
      <c r="D988" t="s">
        <v>17</v>
      </c>
      <c r="E988" t="s">
        <v>18</v>
      </c>
      <c r="F988" t="s">
        <v>38</v>
      </c>
      <c r="G988" s="2">
        <v>43549</v>
      </c>
      <c r="H988" t="s">
        <v>28</v>
      </c>
      <c r="I988" t="s">
        <v>52</v>
      </c>
      <c r="J988" t="s">
        <v>25</v>
      </c>
      <c r="M988" t="str">
        <f t="shared" si="136"/>
        <v>Jack</v>
      </c>
      <c r="N988">
        <v>40</v>
      </c>
      <c r="O988">
        <f t="shared" si="137"/>
        <v>40</v>
      </c>
      <c r="P988">
        <v>55000</v>
      </c>
      <c r="Q988">
        <f t="shared" si="138"/>
        <v>55000</v>
      </c>
      <c r="R988" t="str">
        <f t="shared" si="139"/>
        <v>Female</v>
      </c>
      <c r="S988" t="str">
        <f t="shared" si="140"/>
        <v>Finance</v>
      </c>
      <c r="T988" t="str">
        <f t="shared" si="141"/>
        <v>Analyst</v>
      </c>
      <c r="U988" s="2">
        <v>43549</v>
      </c>
      <c r="V988" t="s">
        <v>28</v>
      </c>
      <c r="W988" t="s">
        <v>52</v>
      </c>
      <c r="X988" t="str">
        <f t="shared" si="142"/>
        <v>user@domain/com</v>
      </c>
      <c r="Y988" t="str">
        <f t="shared" si="143"/>
        <v>user@domain.com</v>
      </c>
      <c r="Z988" t="str">
        <f t="shared" si="135"/>
        <v>098-765-4321</v>
      </c>
    </row>
    <row r="989" spans="1:26" x14ac:dyDescent="0.25">
      <c r="A989" t="s">
        <v>26</v>
      </c>
      <c r="B989">
        <v>50</v>
      </c>
      <c r="C989">
        <v>60000</v>
      </c>
      <c r="D989" t="s">
        <v>17</v>
      </c>
      <c r="E989" t="s">
        <v>23</v>
      </c>
      <c r="F989" t="s">
        <v>13</v>
      </c>
      <c r="G989" s="2">
        <v>43845</v>
      </c>
      <c r="H989" t="s">
        <v>20</v>
      </c>
      <c r="I989" t="s">
        <v>52</v>
      </c>
      <c r="J989" t="s">
        <v>39</v>
      </c>
      <c r="M989" t="str">
        <f t="shared" si="136"/>
        <v>Eve</v>
      </c>
      <c r="N989">
        <v>50</v>
      </c>
      <c r="O989">
        <f t="shared" si="137"/>
        <v>50</v>
      </c>
      <c r="P989">
        <v>60000</v>
      </c>
      <c r="Q989">
        <f t="shared" si="138"/>
        <v>60000</v>
      </c>
      <c r="R989" t="str">
        <f t="shared" si="139"/>
        <v>Female</v>
      </c>
      <c r="S989" t="str">
        <f t="shared" si="140"/>
        <v>Sales</v>
      </c>
      <c r="T989" t="str">
        <f t="shared" si="141"/>
        <v>Manager</v>
      </c>
      <c r="U989" s="2">
        <v>43845</v>
      </c>
      <c r="V989" t="s">
        <v>20</v>
      </c>
      <c r="W989" t="s">
        <v>52</v>
      </c>
      <c r="X989" t="str">
        <f t="shared" si="142"/>
        <v>user@domain/com</v>
      </c>
      <c r="Y989" t="str">
        <f t="shared" si="143"/>
        <v>user@domain.com</v>
      </c>
      <c r="Z989" t="str">
        <f t="shared" si="135"/>
        <v>555-555-5555</v>
      </c>
    </row>
    <row r="990" spans="1:26" x14ac:dyDescent="0.25">
      <c r="A990" t="s">
        <v>16</v>
      </c>
      <c r="B990">
        <v>40</v>
      </c>
      <c r="C990">
        <v>70000</v>
      </c>
      <c r="D990" t="s">
        <v>17</v>
      </c>
      <c r="E990" t="s">
        <v>27</v>
      </c>
      <c r="F990" t="s">
        <v>13</v>
      </c>
      <c r="G990" s="2">
        <v>43800</v>
      </c>
      <c r="H990" t="s">
        <v>24</v>
      </c>
      <c r="I990" t="s">
        <v>52</v>
      </c>
      <c r="J990" t="s">
        <v>29</v>
      </c>
      <c r="M990" t="str">
        <f t="shared" si="136"/>
        <v>David</v>
      </c>
      <c r="N990">
        <v>40</v>
      </c>
      <c r="O990">
        <f t="shared" si="137"/>
        <v>40</v>
      </c>
      <c r="P990">
        <v>70000</v>
      </c>
      <c r="Q990">
        <f t="shared" si="138"/>
        <v>70000</v>
      </c>
      <c r="R990" t="str">
        <f t="shared" si="139"/>
        <v>Female</v>
      </c>
      <c r="S990" t="str">
        <f t="shared" si="140"/>
        <v>IT</v>
      </c>
      <c r="T990" t="str">
        <f t="shared" si="141"/>
        <v>Manager</v>
      </c>
      <c r="U990" s="2">
        <v>43800</v>
      </c>
      <c r="V990" t="s">
        <v>24</v>
      </c>
      <c r="W990" t="s">
        <v>52</v>
      </c>
      <c r="X990" t="str">
        <f t="shared" si="142"/>
        <v>user@domain/com</v>
      </c>
      <c r="Y990" t="str">
        <f t="shared" si="143"/>
        <v>user@domain.com</v>
      </c>
      <c r="Z990" t="str">
        <f t="shared" si="135"/>
        <v>Phone not provided</v>
      </c>
    </row>
    <row r="991" spans="1:26" x14ac:dyDescent="0.25">
      <c r="A991" t="s">
        <v>31</v>
      </c>
      <c r="B991">
        <v>50</v>
      </c>
      <c r="C991">
        <v>60000</v>
      </c>
      <c r="D991" t="s">
        <v>17</v>
      </c>
      <c r="E991" t="s">
        <v>23</v>
      </c>
      <c r="F991" t="s">
        <v>19</v>
      </c>
      <c r="G991" s="2">
        <v>43800</v>
      </c>
      <c r="H991" t="s">
        <v>20</v>
      </c>
      <c r="I991" t="s">
        <v>52</v>
      </c>
      <c r="J991" t="s">
        <v>21</v>
      </c>
      <c r="M991" t="str">
        <f t="shared" si="136"/>
        <v>Jack</v>
      </c>
      <c r="N991">
        <v>50</v>
      </c>
      <c r="O991">
        <f t="shared" si="137"/>
        <v>50</v>
      </c>
      <c r="P991">
        <v>60000</v>
      </c>
      <c r="Q991">
        <f t="shared" si="138"/>
        <v>60000</v>
      </c>
      <c r="R991" t="str">
        <f t="shared" si="139"/>
        <v>Female</v>
      </c>
      <c r="S991" t="str">
        <f t="shared" si="140"/>
        <v>Sales</v>
      </c>
      <c r="T991" t="str">
        <f t="shared" si="141"/>
        <v>Director</v>
      </c>
      <c r="U991" s="2">
        <v>43800</v>
      </c>
      <c r="V991" t="s">
        <v>20</v>
      </c>
      <c r="W991" t="s">
        <v>52</v>
      </c>
      <c r="X991" t="str">
        <f t="shared" si="142"/>
        <v>user@domain/com</v>
      </c>
      <c r="Y991" t="str">
        <f t="shared" si="143"/>
        <v>user@domain.com</v>
      </c>
      <c r="Z991" t="str">
        <f t="shared" si="135"/>
        <v>123-456-7890</v>
      </c>
    </row>
    <row r="992" spans="1:26" x14ac:dyDescent="0.25">
      <c r="A992" t="s">
        <v>22</v>
      </c>
      <c r="B992">
        <v>30</v>
      </c>
      <c r="C992">
        <v>60000</v>
      </c>
      <c r="D992" t="s">
        <v>11</v>
      </c>
      <c r="E992" t="s">
        <v>12</v>
      </c>
      <c r="F992" t="s">
        <v>37</v>
      </c>
      <c r="G992" s="2">
        <v>43549</v>
      </c>
      <c r="H992" t="s">
        <v>24</v>
      </c>
      <c r="I992" t="s">
        <v>51</v>
      </c>
      <c r="J992" t="s">
        <v>29</v>
      </c>
      <c r="M992" t="str">
        <f t="shared" si="136"/>
        <v>Hannah</v>
      </c>
      <c r="N992">
        <v>30</v>
      </c>
      <c r="O992">
        <f t="shared" si="137"/>
        <v>30</v>
      </c>
      <c r="P992">
        <v>60000</v>
      </c>
      <c r="Q992">
        <f t="shared" si="138"/>
        <v>60000</v>
      </c>
      <c r="R992" t="str">
        <f t="shared" si="139"/>
        <v>Male</v>
      </c>
      <c r="S992" t="str">
        <f t="shared" si="140"/>
        <v>HR</v>
      </c>
      <c r="T992" t="str">
        <f t="shared" si="141"/>
        <v>Assistant</v>
      </c>
      <c r="U992" s="2">
        <v>43549</v>
      </c>
      <c r="V992" t="s">
        <v>24</v>
      </c>
      <c r="W992" t="s">
        <v>51</v>
      </c>
      <c r="X992" t="str">
        <f t="shared" si="142"/>
        <v>email@example/com</v>
      </c>
      <c r="Y992" t="str">
        <f t="shared" si="143"/>
        <v>email@example.com</v>
      </c>
      <c r="Z992" t="str">
        <f t="shared" si="135"/>
        <v>Phone not provided</v>
      </c>
    </row>
    <row r="993" spans="1:26" x14ac:dyDescent="0.25">
      <c r="A993" t="s">
        <v>40</v>
      </c>
      <c r="B993">
        <v>25</v>
      </c>
      <c r="C993">
        <v>55000</v>
      </c>
      <c r="D993" t="s">
        <v>32</v>
      </c>
      <c r="E993" t="s">
        <v>33</v>
      </c>
      <c r="F993" t="s">
        <v>13</v>
      </c>
      <c r="G993" s="2">
        <v>43549</v>
      </c>
      <c r="H993" t="s">
        <v>24</v>
      </c>
      <c r="J993" t="s">
        <v>15</v>
      </c>
      <c r="M993" t="str">
        <f t="shared" si="136"/>
        <v>Frank</v>
      </c>
      <c r="N993">
        <v>25</v>
      </c>
      <c r="O993">
        <f t="shared" si="137"/>
        <v>25</v>
      </c>
      <c r="P993">
        <v>55000</v>
      </c>
      <c r="Q993">
        <f t="shared" si="138"/>
        <v>55000</v>
      </c>
      <c r="R993" t="str">
        <f t="shared" si="139"/>
        <v>Other</v>
      </c>
      <c r="S993" t="str">
        <f t="shared" si="140"/>
        <v>Marketing</v>
      </c>
      <c r="T993" t="str">
        <f t="shared" si="141"/>
        <v>Manager</v>
      </c>
      <c r="U993" s="2">
        <v>43549</v>
      </c>
      <c r="V993" t="s">
        <v>24</v>
      </c>
      <c r="X993" t="str">
        <f t="shared" si="142"/>
        <v>Email not provided</v>
      </c>
      <c r="Y993" t="str">
        <f t="shared" si="143"/>
        <v>Email not provided</v>
      </c>
      <c r="Z993" t="str">
        <f t="shared" si="135"/>
        <v>Phone not provided</v>
      </c>
    </row>
    <row r="994" spans="1:26" x14ac:dyDescent="0.25">
      <c r="A994" t="s">
        <v>40</v>
      </c>
      <c r="B994">
        <v>30</v>
      </c>
      <c r="C994">
        <v>60000</v>
      </c>
      <c r="D994" t="s">
        <v>17</v>
      </c>
      <c r="E994" t="s">
        <v>33</v>
      </c>
      <c r="F994" t="s">
        <v>38</v>
      </c>
      <c r="G994" s="2">
        <v>43881</v>
      </c>
      <c r="H994" t="s">
        <v>28</v>
      </c>
      <c r="I994" t="s">
        <v>51</v>
      </c>
      <c r="J994" t="s">
        <v>39</v>
      </c>
      <c r="M994" t="str">
        <f t="shared" si="136"/>
        <v>Frank</v>
      </c>
      <c r="N994">
        <v>30</v>
      </c>
      <c r="O994">
        <f t="shared" si="137"/>
        <v>30</v>
      </c>
      <c r="P994">
        <v>60000</v>
      </c>
      <c r="Q994">
        <f t="shared" si="138"/>
        <v>60000</v>
      </c>
      <c r="R994" t="str">
        <f t="shared" si="139"/>
        <v>Female</v>
      </c>
      <c r="S994" t="str">
        <f t="shared" si="140"/>
        <v>Marketing</v>
      </c>
      <c r="T994" t="str">
        <f t="shared" si="141"/>
        <v>Analyst</v>
      </c>
      <c r="U994" s="2">
        <v>43881</v>
      </c>
      <c r="V994" t="s">
        <v>28</v>
      </c>
      <c r="W994" t="s">
        <v>51</v>
      </c>
      <c r="X994" t="str">
        <f t="shared" si="142"/>
        <v>email@example/com</v>
      </c>
      <c r="Y994" t="str">
        <f t="shared" si="143"/>
        <v>email@example.com</v>
      </c>
      <c r="Z994" t="str">
        <f t="shared" si="135"/>
        <v>555-555-5555</v>
      </c>
    </row>
    <row r="995" spans="1:26" x14ac:dyDescent="0.25">
      <c r="A995" t="s">
        <v>22</v>
      </c>
      <c r="B995">
        <v>35</v>
      </c>
      <c r="C995" t="s">
        <v>30</v>
      </c>
      <c r="D995" t="s">
        <v>32</v>
      </c>
      <c r="E995" t="s">
        <v>18</v>
      </c>
      <c r="F995" t="s">
        <v>35</v>
      </c>
      <c r="G995" s="1">
        <v>43195</v>
      </c>
      <c r="H995" t="s">
        <v>36</v>
      </c>
      <c r="I995" t="s">
        <v>15</v>
      </c>
      <c r="J995" t="s">
        <v>21</v>
      </c>
      <c r="M995" t="str">
        <f t="shared" si="136"/>
        <v>Hannah</v>
      </c>
      <c r="N995">
        <v>35</v>
      </c>
      <c r="O995">
        <f t="shared" si="137"/>
        <v>35</v>
      </c>
      <c r="P995" t="s">
        <v>30</v>
      </c>
      <c r="Q995">
        <f t="shared" si="138"/>
        <v>60000</v>
      </c>
      <c r="R995" t="str">
        <f t="shared" si="139"/>
        <v>Other</v>
      </c>
      <c r="S995" t="str">
        <f t="shared" si="140"/>
        <v>Finance</v>
      </c>
      <c r="T995" t="str">
        <f t="shared" si="141"/>
        <v>Clerk</v>
      </c>
      <c r="U995" s="2">
        <v>43195</v>
      </c>
      <c r="V995" t="s">
        <v>36</v>
      </c>
      <c r="W995" t="s">
        <v>15</v>
      </c>
      <c r="X995" t="str">
        <f t="shared" si="142"/>
        <v>Email not provided</v>
      </c>
      <c r="Y995" t="str">
        <f t="shared" si="143"/>
        <v>Email not provided</v>
      </c>
      <c r="Z995" t="str">
        <f t="shared" si="135"/>
        <v>123-456-7890</v>
      </c>
    </row>
    <row r="996" spans="1:26" x14ac:dyDescent="0.25">
      <c r="A996" t="s">
        <v>10</v>
      </c>
      <c r="B996">
        <v>30</v>
      </c>
      <c r="C996">
        <v>50000</v>
      </c>
      <c r="D996" t="s">
        <v>17</v>
      </c>
      <c r="E996" t="s">
        <v>33</v>
      </c>
      <c r="F996" t="s">
        <v>13</v>
      </c>
      <c r="G996" s="1">
        <v>43195</v>
      </c>
      <c r="H996" t="s">
        <v>28</v>
      </c>
      <c r="I996" t="s">
        <v>15</v>
      </c>
      <c r="J996" t="s">
        <v>15</v>
      </c>
      <c r="M996" t="str">
        <f t="shared" si="136"/>
        <v>Grace</v>
      </c>
      <c r="N996">
        <v>30</v>
      </c>
      <c r="O996">
        <f t="shared" si="137"/>
        <v>30</v>
      </c>
      <c r="P996">
        <v>50000</v>
      </c>
      <c r="Q996">
        <f t="shared" si="138"/>
        <v>50000</v>
      </c>
      <c r="R996" t="str">
        <f t="shared" si="139"/>
        <v>Female</v>
      </c>
      <c r="S996" t="str">
        <f t="shared" si="140"/>
        <v>Marketing</v>
      </c>
      <c r="T996" t="str">
        <f t="shared" si="141"/>
        <v>Manager</v>
      </c>
      <c r="U996" s="2">
        <v>43195</v>
      </c>
      <c r="V996" t="s">
        <v>28</v>
      </c>
      <c r="W996" t="s">
        <v>15</v>
      </c>
      <c r="X996" t="str">
        <f t="shared" si="142"/>
        <v>Email not provided</v>
      </c>
      <c r="Y996" t="str">
        <f t="shared" si="143"/>
        <v>Email not provided</v>
      </c>
      <c r="Z996" t="str">
        <f t="shared" si="135"/>
        <v>Phone not provided</v>
      </c>
    </row>
    <row r="997" spans="1:26" x14ac:dyDescent="0.25">
      <c r="A997" t="s">
        <v>31</v>
      </c>
      <c r="B997">
        <v>50</v>
      </c>
      <c r="C997">
        <v>65000</v>
      </c>
      <c r="D997" t="s">
        <v>17</v>
      </c>
      <c r="E997" t="s">
        <v>12</v>
      </c>
      <c r="F997" t="s">
        <v>13</v>
      </c>
      <c r="G997" s="2">
        <v>43881</v>
      </c>
      <c r="H997" t="s">
        <v>20</v>
      </c>
      <c r="J997" t="s">
        <v>25</v>
      </c>
      <c r="M997" t="str">
        <f t="shared" si="136"/>
        <v>Jack</v>
      </c>
      <c r="N997">
        <v>50</v>
      </c>
      <c r="O997">
        <f t="shared" si="137"/>
        <v>50</v>
      </c>
      <c r="P997">
        <v>65000</v>
      </c>
      <c r="Q997">
        <f t="shared" si="138"/>
        <v>65000</v>
      </c>
      <c r="R997" t="str">
        <f t="shared" si="139"/>
        <v>Female</v>
      </c>
      <c r="S997" t="str">
        <f t="shared" si="140"/>
        <v>HR</v>
      </c>
      <c r="T997" t="str">
        <f t="shared" si="141"/>
        <v>Manager</v>
      </c>
      <c r="U997" s="2">
        <v>43881</v>
      </c>
      <c r="V997" t="s">
        <v>20</v>
      </c>
      <c r="X997" t="str">
        <f t="shared" si="142"/>
        <v>Email not provided</v>
      </c>
      <c r="Y997" t="str">
        <f t="shared" si="143"/>
        <v>Email not provided</v>
      </c>
      <c r="Z997" t="str">
        <f t="shared" si="135"/>
        <v>098-765-4321</v>
      </c>
    </row>
    <row r="998" spans="1:26" x14ac:dyDescent="0.25">
      <c r="A998" t="s">
        <v>31</v>
      </c>
      <c r="B998">
        <v>30</v>
      </c>
      <c r="C998">
        <v>50000</v>
      </c>
      <c r="D998" t="s">
        <v>11</v>
      </c>
      <c r="E998" t="s">
        <v>18</v>
      </c>
      <c r="F998" t="s">
        <v>38</v>
      </c>
      <c r="G998" s="1">
        <v>43195</v>
      </c>
      <c r="H998" t="s">
        <v>24</v>
      </c>
      <c r="I998" t="s">
        <v>15</v>
      </c>
      <c r="J998" t="s">
        <v>39</v>
      </c>
      <c r="M998" t="str">
        <f t="shared" si="136"/>
        <v>Jack</v>
      </c>
      <c r="N998">
        <v>30</v>
      </c>
      <c r="O998">
        <f t="shared" si="137"/>
        <v>30</v>
      </c>
      <c r="P998">
        <v>50000</v>
      </c>
      <c r="Q998">
        <f t="shared" si="138"/>
        <v>50000</v>
      </c>
      <c r="R998" t="str">
        <f t="shared" si="139"/>
        <v>Male</v>
      </c>
      <c r="S998" t="str">
        <f t="shared" si="140"/>
        <v>Finance</v>
      </c>
      <c r="T998" t="str">
        <f t="shared" si="141"/>
        <v>Analyst</v>
      </c>
      <c r="U998" s="2">
        <v>43195</v>
      </c>
      <c r="V998" t="s">
        <v>24</v>
      </c>
      <c r="W998" t="s">
        <v>15</v>
      </c>
      <c r="X998" t="str">
        <f t="shared" si="142"/>
        <v>Email not provided</v>
      </c>
      <c r="Y998" t="str">
        <f t="shared" si="143"/>
        <v>Email not provided</v>
      </c>
      <c r="Z998" t="str">
        <f t="shared" si="135"/>
        <v>555-555-5555</v>
      </c>
    </row>
    <row r="999" spans="1:26" x14ac:dyDescent="0.25">
      <c r="A999" t="s">
        <v>22</v>
      </c>
      <c r="B999">
        <v>30</v>
      </c>
      <c r="C999">
        <v>70000</v>
      </c>
      <c r="D999" t="s">
        <v>11</v>
      </c>
      <c r="E999" t="s">
        <v>27</v>
      </c>
      <c r="F999" t="s">
        <v>37</v>
      </c>
      <c r="G999" s="2">
        <v>43845</v>
      </c>
      <c r="H999" t="s">
        <v>14</v>
      </c>
      <c r="I999" t="s">
        <v>52</v>
      </c>
      <c r="J999" t="s">
        <v>15</v>
      </c>
      <c r="M999" t="str">
        <f t="shared" si="136"/>
        <v>Hannah</v>
      </c>
      <c r="N999">
        <v>30</v>
      </c>
      <c r="O999">
        <f t="shared" si="137"/>
        <v>30</v>
      </c>
      <c r="P999">
        <v>70000</v>
      </c>
      <c r="Q999">
        <f t="shared" si="138"/>
        <v>70000</v>
      </c>
      <c r="R999" t="str">
        <f t="shared" si="139"/>
        <v>Male</v>
      </c>
      <c r="S999" t="str">
        <f t="shared" si="140"/>
        <v>IT</v>
      </c>
      <c r="T999" t="str">
        <f t="shared" si="141"/>
        <v>Assistant</v>
      </c>
      <c r="U999" s="2">
        <v>43845</v>
      </c>
      <c r="V999" t="s">
        <v>14</v>
      </c>
      <c r="W999" t="s">
        <v>52</v>
      </c>
      <c r="X999" t="str">
        <f t="shared" si="142"/>
        <v>user@domain/com</v>
      </c>
      <c r="Y999" t="str">
        <f t="shared" si="143"/>
        <v>user@domain.com</v>
      </c>
      <c r="Z999" t="str">
        <f t="shared" si="135"/>
        <v>Phone not provided</v>
      </c>
    </row>
    <row r="1000" spans="1:26" x14ac:dyDescent="0.25">
      <c r="A1000" t="s">
        <v>41</v>
      </c>
      <c r="B1000">
        <v>25</v>
      </c>
      <c r="C1000">
        <v>65000</v>
      </c>
      <c r="D1000" t="s">
        <v>32</v>
      </c>
      <c r="E1000" t="s">
        <v>33</v>
      </c>
      <c r="F1000" t="s">
        <v>13</v>
      </c>
      <c r="G1000" s="1">
        <v>43195</v>
      </c>
      <c r="H1000" t="s">
        <v>14</v>
      </c>
      <c r="I1000" t="s">
        <v>51</v>
      </c>
      <c r="J1000" t="s">
        <v>15</v>
      </c>
      <c r="M1000" t="str">
        <f t="shared" si="136"/>
        <v>Bob</v>
      </c>
      <c r="N1000">
        <v>25</v>
      </c>
      <c r="O1000">
        <f t="shared" si="137"/>
        <v>25</v>
      </c>
      <c r="P1000">
        <v>65000</v>
      </c>
      <c r="Q1000">
        <f t="shared" si="138"/>
        <v>65000</v>
      </c>
      <c r="R1000" t="str">
        <f t="shared" si="139"/>
        <v>Other</v>
      </c>
      <c r="S1000" t="str">
        <f t="shared" si="140"/>
        <v>Marketing</v>
      </c>
      <c r="T1000" t="str">
        <f t="shared" si="141"/>
        <v>Manager</v>
      </c>
      <c r="U1000" s="2">
        <v>43195</v>
      </c>
      <c r="V1000" t="s">
        <v>14</v>
      </c>
      <c r="W1000" t="s">
        <v>51</v>
      </c>
      <c r="X1000" t="str">
        <f t="shared" si="142"/>
        <v>email@example/com</v>
      </c>
      <c r="Y1000" t="str">
        <f t="shared" si="143"/>
        <v>email@example.com</v>
      </c>
      <c r="Z1000" t="str">
        <f t="shared" si="135"/>
        <v>Phone not provided</v>
      </c>
    </row>
    <row r="1001" spans="1:26" x14ac:dyDescent="0.25">
      <c r="A1001" t="s">
        <v>43</v>
      </c>
      <c r="B1001">
        <v>30</v>
      </c>
      <c r="C1001">
        <v>60000</v>
      </c>
      <c r="D1001" t="s">
        <v>11</v>
      </c>
      <c r="E1001" t="s">
        <v>18</v>
      </c>
      <c r="F1001" t="s">
        <v>13</v>
      </c>
      <c r="G1001" s="2">
        <v>43881</v>
      </c>
      <c r="H1001" t="s">
        <v>24</v>
      </c>
      <c r="I1001" t="s">
        <v>52</v>
      </c>
      <c r="J1001" t="s">
        <v>21</v>
      </c>
      <c r="M1001" t="str">
        <f t="shared" si="136"/>
        <v>Ivy</v>
      </c>
      <c r="N1001">
        <v>30</v>
      </c>
      <c r="O1001">
        <f t="shared" si="137"/>
        <v>30</v>
      </c>
      <c r="P1001">
        <v>60000</v>
      </c>
      <c r="Q1001">
        <f t="shared" si="138"/>
        <v>60000</v>
      </c>
      <c r="R1001" t="str">
        <f t="shared" si="139"/>
        <v>Male</v>
      </c>
      <c r="S1001" t="str">
        <f t="shared" si="140"/>
        <v>Finance</v>
      </c>
      <c r="T1001" t="str">
        <f t="shared" si="141"/>
        <v>Manager</v>
      </c>
      <c r="U1001" s="2">
        <v>43881</v>
      </c>
      <c r="V1001" t="s">
        <v>24</v>
      </c>
      <c r="W1001" t="s">
        <v>52</v>
      </c>
      <c r="X1001" t="str">
        <f t="shared" si="142"/>
        <v>user@domain/com</v>
      </c>
      <c r="Y1001" t="str">
        <f t="shared" si="143"/>
        <v>user@domain.com</v>
      </c>
      <c r="Z1001" t="str">
        <f t="shared" si="135"/>
        <v>123-456-7890</v>
      </c>
    </row>
    <row r="1002" spans="1:26" x14ac:dyDescent="0.25">
      <c r="A1002">
        <f t="shared" ref="A1002:I1002" si="144">COUNTBLANK(A2:A1001)</f>
        <v>0</v>
      </c>
      <c r="B1002">
        <f t="shared" si="144"/>
        <v>0</v>
      </c>
      <c r="C1002">
        <f t="shared" si="144"/>
        <v>0</v>
      </c>
      <c r="D1002">
        <f t="shared" si="144"/>
        <v>0</v>
      </c>
      <c r="E1002">
        <f t="shared" si="144"/>
        <v>0</v>
      </c>
      <c r="F1002">
        <f t="shared" si="144"/>
        <v>0</v>
      </c>
      <c r="G1002">
        <f t="shared" si="144"/>
        <v>0</v>
      </c>
      <c r="H1002">
        <f t="shared" si="144"/>
        <v>0</v>
      </c>
      <c r="I1002">
        <f t="shared" si="144"/>
        <v>190</v>
      </c>
      <c r="J1002">
        <f>COUNTIF(J2:J1001," ")</f>
        <v>190</v>
      </c>
      <c r="N1002">
        <f>COUNTBLANK(N2:N1001)</f>
        <v>0</v>
      </c>
      <c r="P1002">
        <f t="shared" ref="P1002" si="145">COUNTBLANK(P2:P1001)</f>
        <v>0</v>
      </c>
      <c r="U1002" s="2">
        <f t="shared" ref="U1002:W1002" si="146">COUNTBLANK(U2:U1001)</f>
        <v>0</v>
      </c>
      <c r="V1002">
        <f t="shared" si="146"/>
        <v>0</v>
      </c>
      <c r="W1002">
        <f t="shared" si="146"/>
        <v>190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01"/>
  <sheetViews>
    <sheetView workbookViewId="0">
      <selection activeCell="H16" sqref="H16"/>
    </sheetView>
  </sheetViews>
  <sheetFormatPr defaultRowHeight="15" x14ac:dyDescent="0.25"/>
  <cols>
    <col min="1" max="1" width="16.7109375" customWidth="1"/>
    <col min="2" max="2" width="13.5703125" customWidth="1"/>
    <col min="3" max="3" width="14.42578125" customWidth="1"/>
    <col min="4" max="4" width="15.5703125" customWidth="1"/>
    <col min="5" max="5" width="14.5703125" customWidth="1"/>
    <col min="6" max="6" width="15.85546875" customWidth="1"/>
    <col min="7" max="7" width="21.140625" customWidth="1"/>
    <col min="8" max="8" width="25.85546875" customWidth="1"/>
    <col min="9" max="9" width="23.85546875" customWidth="1"/>
    <col min="10" max="10" width="18.42578125" customWidth="1"/>
    <col min="11" max="11" width="27.140625" customWidth="1"/>
    <col min="12" max="12" width="22.42578125" customWidth="1"/>
    <col min="13" max="13" width="31.85546875" customWidth="1"/>
  </cols>
  <sheetData>
    <row r="1" spans="1:13" s="3" customFormat="1" x14ac:dyDescent="0.25">
      <c r="A1" s="3" t="s">
        <v>44</v>
      </c>
      <c r="B1" s="3" t="s">
        <v>46</v>
      </c>
      <c r="C1" s="3" t="s">
        <v>47</v>
      </c>
      <c r="D1" s="3" t="s">
        <v>48</v>
      </c>
      <c r="E1" s="3" t="s">
        <v>49</v>
      </c>
      <c r="F1" s="3" t="s">
        <v>50</v>
      </c>
      <c r="G1" s="4" t="s">
        <v>54</v>
      </c>
      <c r="H1" s="3" t="s">
        <v>55</v>
      </c>
      <c r="I1" s="3" t="s">
        <v>56</v>
      </c>
      <c r="J1" s="3" t="s">
        <v>57</v>
      </c>
      <c r="K1" s="3" t="s">
        <v>60</v>
      </c>
      <c r="L1" s="3" t="s">
        <v>61</v>
      </c>
      <c r="M1" s="3" t="s">
        <v>69</v>
      </c>
    </row>
    <row r="2" spans="1:13" x14ac:dyDescent="0.25">
      <c r="A2" t="str">
        <f>Data_preprocessing!M2</f>
        <v>Grace</v>
      </c>
      <c r="B2">
        <f>Data_preprocessing!O2</f>
        <v>25</v>
      </c>
      <c r="C2">
        <f>Data_preprocessing!Q2</f>
        <v>50000</v>
      </c>
      <c r="D2" t="str">
        <f>Data_preprocessing!R2</f>
        <v>Male</v>
      </c>
      <c r="E2" t="str">
        <f>Data_preprocessing!S2</f>
        <v>HR</v>
      </c>
      <c r="F2" t="str">
        <f>Data_preprocessing!T2</f>
        <v>Manager</v>
      </c>
      <c r="G2" s="2">
        <f>Data_preprocessing!U2</f>
        <v>43195</v>
      </c>
      <c r="H2" t="str">
        <f>Data_preprocessing!V2</f>
        <v>D</v>
      </c>
      <c r="I2" t="str">
        <f>Data_preprocessing!Y2</f>
        <v>email@example.com</v>
      </c>
      <c r="J2" t="str">
        <f>Data_preprocessing!Z2</f>
        <v>Phone not provided</v>
      </c>
      <c r="K2">
        <f t="shared" ref="K2:K65" ca="1" si="0">DATEDIF(G2,TODAY(),"Y")</f>
        <v>7</v>
      </c>
      <c r="L2" t="str">
        <f t="shared" ref="L2:L65" si="1">IF(C2&lt;60000,"Low",IF(C2&lt;65000,"Medium","High"))</f>
        <v>Low</v>
      </c>
      <c r="M2" t="str">
        <f>IF(H2="A","Excellent",IF(H2="B","Good",IF(H2="C","Average",IF(H2="D","Below Average","Poor"))))</f>
        <v>Below Average</v>
      </c>
    </row>
    <row r="3" spans="1:13" x14ac:dyDescent="0.25">
      <c r="A3" t="str">
        <f>Data_preprocessing!M3</f>
        <v>David</v>
      </c>
      <c r="B3">
        <f>Data_preprocessing!O3</f>
        <v>35</v>
      </c>
      <c r="C3">
        <f>Data_preprocessing!Q3</f>
        <v>65000</v>
      </c>
      <c r="D3" t="str">
        <f>Data_preprocessing!R3</f>
        <v>Female</v>
      </c>
      <c r="E3" t="str">
        <f>Data_preprocessing!S3</f>
        <v>Finance</v>
      </c>
      <c r="F3" t="str">
        <f>Data_preprocessing!T3</f>
        <v>Director</v>
      </c>
      <c r="G3" s="2">
        <f>Data_preprocessing!U3</f>
        <v>43881</v>
      </c>
      <c r="H3" t="str">
        <f>Data_preprocessing!V3</f>
        <v>F</v>
      </c>
      <c r="I3" t="str">
        <f>Data_preprocessing!Y3</f>
        <v>user@domain.com</v>
      </c>
      <c r="J3" t="str">
        <f>Data_preprocessing!Z3</f>
        <v>123-456-7890</v>
      </c>
      <c r="K3">
        <f t="shared" ca="1" si="0"/>
        <v>5</v>
      </c>
      <c r="L3" t="str">
        <f t="shared" si="1"/>
        <v>High</v>
      </c>
      <c r="M3" t="str">
        <f t="shared" ref="M3:M66" si="2">IF(H3="A","Excellent",IF(H3="B","Good",IF(H3="C","Average",IF(H3="D","Below Average","Poor"))))</f>
        <v>Poor</v>
      </c>
    </row>
    <row r="4" spans="1:13" x14ac:dyDescent="0.25">
      <c r="A4" t="str">
        <f>Data_preprocessing!M4</f>
        <v>Hannah</v>
      </c>
      <c r="B4">
        <f>Data_preprocessing!O4</f>
        <v>35</v>
      </c>
      <c r="C4">
        <f>Data_preprocessing!Q4</f>
        <v>60000</v>
      </c>
      <c r="D4" t="str">
        <f>Data_preprocessing!R4</f>
        <v>Female</v>
      </c>
      <c r="E4" t="str">
        <f>Data_preprocessing!S4</f>
        <v>Sales</v>
      </c>
      <c r="F4" t="str">
        <f>Data_preprocessing!T4</f>
        <v>Director</v>
      </c>
      <c r="G4" s="2">
        <f>Data_preprocessing!U4</f>
        <v>43845</v>
      </c>
      <c r="H4" t="str">
        <f>Data_preprocessing!V4</f>
        <v>C</v>
      </c>
      <c r="I4" t="str">
        <f>Data_preprocessing!Y4</f>
        <v>email@example.com</v>
      </c>
      <c r="J4" t="str">
        <f>Data_preprocessing!Z4</f>
        <v>098-765-4321</v>
      </c>
      <c r="K4">
        <f t="shared" ca="1" si="0"/>
        <v>6</v>
      </c>
      <c r="L4" t="str">
        <f t="shared" si="1"/>
        <v>Medium</v>
      </c>
      <c r="M4" t="str">
        <f t="shared" si="2"/>
        <v>Average</v>
      </c>
    </row>
    <row r="5" spans="1:13" x14ac:dyDescent="0.25">
      <c r="A5" t="str">
        <f>Data_preprocessing!M5</f>
        <v>Eve</v>
      </c>
      <c r="B5">
        <f>Data_preprocessing!O5</f>
        <v>35</v>
      </c>
      <c r="C5">
        <f>Data_preprocessing!Q5</f>
        <v>50000</v>
      </c>
      <c r="D5" t="str">
        <f>Data_preprocessing!R5</f>
        <v>Female</v>
      </c>
      <c r="E5" t="str">
        <f>Data_preprocessing!S5</f>
        <v>IT</v>
      </c>
      <c r="F5" t="str">
        <f>Data_preprocessing!T5</f>
        <v>Manager</v>
      </c>
      <c r="G5" s="2">
        <f>Data_preprocessing!U5</f>
        <v>43195</v>
      </c>
      <c r="H5" t="str">
        <f>Data_preprocessing!V5</f>
        <v>A</v>
      </c>
      <c r="I5" t="str">
        <f>Data_preprocessing!Y5</f>
        <v>name@company.org</v>
      </c>
      <c r="J5" t="str">
        <f>Data_preprocessing!Z5</f>
        <v>Phone not provided</v>
      </c>
      <c r="K5">
        <f t="shared" ca="1" si="0"/>
        <v>7</v>
      </c>
      <c r="L5" t="str">
        <f t="shared" si="1"/>
        <v>Low</v>
      </c>
      <c r="M5" t="str">
        <f t="shared" si="2"/>
        <v>Excellent</v>
      </c>
    </row>
    <row r="6" spans="1:13" x14ac:dyDescent="0.25">
      <c r="A6" t="str">
        <f>Data_preprocessing!M6</f>
        <v>Grace</v>
      </c>
      <c r="B6">
        <f>Data_preprocessing!O6</f>
        <v>35</v>
      </c>
      <c r="C6">
        <f>Data_preprocessing!Q6</f>
        <v>60000</v>
      </c>
      <c r="D6" t="str">
        <f>Data_preprocessing!R6</f>
        <v>Female</v>
      </c>
      <c r="E6" t="str">
        <f>Data_preprocessing!S6</f>
        <v>Finance</v>
      </c>
      <c r="F6" t="str">
        <f>Data_preprocessing!T6</f>
        <v>Manager</v>
      </c>
      <c r="G6" s="2">
        <f>Data_preprocessing!U6</f>
        <v>43845</v>
      </c>
      <c r="H6" t="str">
        <f>Data_preprocessing!V6</f>
        <v>F</v>
      </c>
      <c r="I6" t="str">
        <f>Data_preprocessing!Y6</f>
        <v>name@company.org</v>
      </c>
      <c r="J6" t="str">
        <f>Data_preprocessing!Z6</f>
        <v>098-765-4321</v>
      </c>
      <c r="K6">
        <f t="shared" ca="1" si="0"/>
        <v>6</v>
      </c>
      <c r="L6" t="str">
        <f t="shared" si="1"/>
        <v>Medium</v>
      </c>
      <c r="M6" t="str">
        <f t="shared" si="2"/>
        <v>Poor</v>
      </c>
    </row>
    <row r="7" spans="1:13" x14ac:dyDescent="0.25">
      <c r="A7" t="str">
        <f>Data_preprocessing!M7</f>
        <v>Jack</v>
      </c>
      <c r="B7">
        <f>Data_preprocessing!O7</f>
        <v>35</v>
      </c>
      <c r="C7">
        <f>Data_preprocessing!Q7</f>
        <v>65000</v>
      </c>
      <c r="D7" t="str">
        <f>Data_preprocessing!R7</f>
        <v>Other</v>
      </c>
      <c r="E7" t="str">
        <f>Data_preprocessing!S7</f>
        <v>Marketing</v>
      </c>
      <c r="F7" t="str">
        <f>Data_preprocessing!T7</f>
        <v>Director</v>
      </c>
      <c r="G7" s="2">
        <f>Data_preprocessing!U7</f>
        <v>43549</v>
      </c>
      <c r="H7" t="str">
        <f>Data_preprocessing!V7</f>
        <v>F</v>
      </c>
      <c r="I7" t="str">
        <f>Data_preprocessing!Y7</f>
        <v>user@domain.com</v>
      </c>
      <c r="J7" t="str">
        <f>Data_preprocessing!Z7</f>
        <v>Phone not provided</v>
      </c>
      <c r="K7">
        <f t="shared" ca="1" si="0"/>
        <v>6</v>
      </c>
      <c r="L7" t="str">
        <f t="shared" si="1"/>
        <v>High</v>
      </c>
      <c r="M7" t="str">
        <f t="shared" si="2"/>
        <v>Poor</v>
      </c>
    </row>
    <row r="8" spans="1:13" x14ac:dyDescent="0.25">
      <c r="A8" t="str">
        <f>Data_preprocessing!M8</f>
        <v>Charlie</v>
      </c>
      <c r="B8">
        <f>Data_preprocessing!O8</f>
        <v>35</v>
      </c>
      <c r="C8">
        <f>Data_preprocessing!Q8</f>
        <v>50000</v>
      </c>
      <c r="D8" t="str">
        <f>Data_preprocessing!R8</f>
        <v>Male</v>
      </c>
      <c r="E8" t="str">
        <f>Data_preprocessing!S8</f>
        <v>Marketing</v>
      </c>
      <c r="F8" t="str">
        <f>Data_preprocessing!T8</f>
        <v>Clerk</v>
      </c>
      <c r="G8" s="2">
        <f>Data_preprocessing!U8</f>
        <v>43800</v>
      </c>
      <c r="H8" t="str">
        <f>Data_preprocessing!V8</f>
        <v>B</v>
      </c>
      <c r="I8" t="str">
        <f>Data_preprocessing!Y8</f>
        <v>Email not provided</v>
      </c>
      <c r="J8" t="str">
        <f>Data_preprocessing!Z8</f>
        <v>123-456-7890</v>
      </c>
      <c r="K8">
        <f t="shared" ca="1" si="0"/>
        <v>6</v>
      </c>
      <c r="L8" t="str">
        <f t="shared" si="1"/>
        <v>Low</v>
      </c>
      <c r="M8" t="str">
        <f t="shared" si="2"/>
        <v>Good</v>
      </c>
    </row>
    <row r="9" spans="1:13" x14ac:dyDescent="0.25">
      <c r="A9" t="str">
        <f>Data_preprocessing!M9</f>
        <v>Grace</v>
      </c>
      <c r="B9">
        <f>Data_preprocessing!O9</f>
        <v>40</v>
      </c>
      <c r="C9">
        <f>Data_preprocessing!Q9</f>
        <v>50000</v>
      </c>
      <c r="D9" t="str">
        <f>Data_preprocessing!R9</f>
        <v>Other</v>
      </c>
      <c r="E9" t="str">
        <f>Data_preprocessing!S9</f>
        <v>HR</v>
      </c>
      <c r="F9" t="str">
        <f>Data_preprocessing!T9</f>
        <v>Director</v>
      </c>
      <c r="G9" s="2">
        <f>Data_preprocessing!U9</f>
        <v>43549</v>
      </c>
      <c r="H9" t="str">
        <f>Data_preprocessing!V9</f>
        <v>C</v>
      </c>
      <c r="I9" t="str">
        <f>Data_preprocessing!Y9</f>
        <v>Email not provided</v>
      </c>
      <c r="J9" t="str">
        <f>Data_preprocessing!Z9</f>
        <v>Phone not provided</v>
      </c>
      <c r="K9">
        <f t="shared" ca="1" si="0"/>
        <v>6</v>
      </c>
      <c r="L9" t="str">
        <f t="shared" si="1"/>
        <v>Low</v>
      </c>
      <c r="M9" t="str">
        <f t="shared" si="2"/>
        <v>Average</v>
      </c>
    </row>
    <row r="10" spans="1:13" x14ac:dyDescent="0.25">
      <c r="A10" t="str">
        <f>Data_preprocessing!M10</f>
        <v>Hannah</v>
      </c>
      <c r="B10">
        <f>Data_preprocessing!O10</f>
        <v>40</v>
      </c>
      <c r="C10">
        <f>Data_preprocessing!Q10</f>
        <v>60000</v>
      </c>
      <c r="D10" t="str">
        <f>Data_preprocessing!R10</f>
        <v>Female</v>
      </c>
      <c r="E10" t="str">
        <f>Data_preprocessing!S10</f>
        <v>Marketing</v>
      </c>
      <c r="F10" t="str">
        <f>Data_preprocessing!T10</f>
        <v>Manager</v>
      </c>
      <c r="G10" s="2">
        <f>Data_preprocessing!U10</f>
        <v>43845</v>
      </c>
      <c r="H10" t="str">
        <f>Data_preprocessing!V10</f>
        <v>C</v>
      </c>
      <c r="I10" t="str">
        <f>Data_preprocessing!Y10</f>
        <v>user@domain.com</v>
      </c>
      <c r="J10" t="str">
        <f>Data_preprocessing!Z10</f>
        <v>123-456-7890</v>
      </c>
      <c r="K10">
        <f t="shared" ca="1" si="0"/>
        <v>6</v>
      </c>
      <c r="L10" t="str">
        <f t="shared" si="1"/>
        <v>Medium</v>
      </c>
      <c r="M10" t="str">
        <f t="shared" si="2"/>
        <v>Average</v>
      </c>
    </row>
    <row r="11" spans="1:13" x14ac:dyDescent="0.25">
      <c r="A11" t="str">
        <f>Data_preprocessing!M11</f>
        <v>Eve</v>
      </c>
      <c r="B11">
        <f>Data_preprocessing!O11</f>
        <v>30</v>
      </c>
      <c r="C11">
        <f>Data_preprocessing!Q11</f>
        <v>60000</v>
      </c>
      <c r="D11" t="str">
        <f>Data_preprocessing!R11</f>
        <v>Other</v>
      </c>
      <c r="E11" t="str">
        <f>Data_preprocessing!S11</f>
        <v>Finance</v>
      </c>
      <c r="F11" t="str">
        <f>Data_preprocessing!T11</f>
        <v>Assistant</v>
      </c>
      <c r="G11" s="2">
        <f>Data_preprocessing!U11</f>
        <v>43881</v>
      </c>
      <c r="H11" t="str">
        <f>Data_preprocessing!V11</f>
        <v>A</v>
      </c>
      <c r="I11" t="str">
        <f>Data_preprocessing!Y11</f>
        <v>Email not provided</v>
      </c>
      <c r="J11" t="str">
        <f>Data_preprocessing!Z11</f>
        <v>Phone not provided</v>
      </c>
      <c r="K11">
        <f t="shared" ca="1" si="0"/>
        <v>5</v>
      </c>
      <c r="L11" t="str">
        <f t="shared" si="1"/>
        <v>Medium</v>
      </c>
      <c r="M11" t="str">
        <f t="shared" si="2"/>
        <v>Excellent</v>
      </c>
    </row>
    <row r="12" spans="1:13" x14ac:dyDescent="0.25">
      <c r="A12" t="str">
        <f>Data_preprocessing!M12</f>
        <v>David</v>
      </c>
      <c r="B12">
        <f>Data_preprocessing!O12</f>
        <v>25</v>
      </c>
      <c r="C12">
        <f>Data_preprocessing!Q12</f>
        <v>70000</v>
      </c>
      <c r="D12" t="str">
        <f>Data_preprocessing!R12</f>
        <v>Male</v>
      </c>
      <c r="E12" t="str">
        <f>Data_preprocessing!S12</f>
        <v>Marketing</v>
      </c>
      <c r="F12" t="str">
        <f>Data_preprocessing!T12</f>
        <v>Analyst</v>
      </c>
      <c r="G12" s="2">
        <f>Data_preprocessing!U12</f>
        <v>43800</v>
      </c>
      <c r="H12" t="str">
        <f>Data_preprocessing!V12</f>
        <v>B</v>
      </c>
      <c r="I12" t="str">
        <f>Data_preprocessing!Y12</f>
        <v>Email not provided</v>
      </c>
      <c r="J12" t="str">
        <f>Data_preprocessing!Z12</f>
        <v>123-456-7890</v>
      </c>
      <c r="K12">
        <f t="shared" ca="1" si="0"/>
        <v>6</v>
      </c>
      <c r="L12" t="str">
        <f t="shared" si="1"/>
        <v>High</v>
      </c>
      <c r="M12" t="str">
        <f t="shared" si="2"/>
        <v>Good</v>
      </c>
    </row>
    <row r="13" spans="1:13" x14ac:dyDescent="0.25">
      <c r="A13" t="str">
        <f>Data_preprocessing!M13</f>
        <v>Hannah</v>
      </c>
      <c r="B13">
        <f>Data_preprocessing!O13</f>
        <v>35</v>
      </c>
      <c r="C13">
        <f>Data_preprocessing!Q13</f>
        <v>70000</v>
      </c>
      <c r="D13" t="str">
        <f>Data_preprocessing!R13</f>
        <v>Other</v>
      </c>
      <c r="E13" t="str">
        <f>Data_preprocessing!S13</f>
        <v>Finance</v>
      </c>
      <c r="F13" t="str">
        <f>Data_preprocessing!T13</f>
        <v>Assistant</v>
      </c>
      <c r="G13" s="2">
        <f>Data_preprocessing!U13</f>
        <v>43549</v>
      </c>
      <c r="H13" t="str">
        <f>Data_preprocessing!V13</f>
        <v>A</v>
      </c>
      <c r="I13" t="str">
        <f>Data_preprocessing!Y13</f>
        <v>Email not provided</v>
      </c>
      <c r="J13" t="str">
        <f>Data_preprocessing!Z13</f>
        <v>Phone not provided</v>
      </c>
      <c r="K13">
        <f t="shared" ca="1" si="0"/>
        <v>6</v>
      </c>
      <c r="L13" t="str">
        <f t="shared" si="1"/>
        <v>High</v>
      </c>
      <c r="M13" t="str">
        <f t="shared" si="2"/>
        <v>Excellent</v>
      </c>
    </row>
    <row r="14" spans="1:13" x14ac:dyDescent="0.25">
      <c r="A14" t="str">
        <f>Data_preprocessing!M14</f>
        <v>Hannah</v>
      </c>
      <c r="B14">
        <f>Data_preprocessing!O14</f>
        <v>30</v>
      </c>
      <c r="C14">
        <f>Data_preprocessing!Q14</f>
        <v>50000</v>
      </c>
      <c r="D14" t="str">
        <f>Data_preprocessing!R14</f>
        <v>Male</v>
      </c>
      <c r="E14" t="str">
        <f>Data_preprocessing!S14</f>
        <v>IT</v>
      </c>
      <c r="F14" t="str">
        <f>Data_preprocessing!T14</f>
        <v>Assistant</v>
      </c>
      <c r="G14" s="2">
        <f>Data_preprocessing!U14</f>
        <v>43195</v>
      </c>
      <c r="H14" t="str">
        <f>Data_preprocessing!V14</f>
        <v>D</v>
      </c>
      <c r="I14" t="str">
        <f>Data_preprocessing!Y14</f>
        <v>Email not provided</v>
      </c>
      <c r="J14" t="str">
        <f>Data_preprocessing!Z14</f>
        <v>Phone not provided</v>
      </c>
      <c r="K14">
        <f t="shared" ca="1" si="0"/>
        <v>7</v>
      </c>
      <c r="L14" t="str">
        <f t="shared" si="1"/>
        <v>Low</v>
      </c>
      <c r="M14" t="str">
        <f t="shared" si="2"/>
        <v>Below Average</v>
      </c>
    </row>
    <row r="15" spans="1:13" x14ac:dyDescent="0.25">
      <c r="A15" t="str">
        <f>Data_preprocessing!M15</f>
        <v>Charlie</v>
      </c>
      <c r="B15">
        <f>Data_preprocessing!O15</f>
        <v>25</v>
      </c>
      <c r="C15">
        <f>Data_preprocessing!Q15</f>
        <v>55000</v>
      </c>
      <c r="D15" t="str">
        <f>Data_preprocessing!R15</f>
        <v>Other</v>
      </c>
      <c r="E15" t="str">
        <f>Data_preprocessing!S15</f>
        <v>HR</v>
      </c>
      <c r="F15" t="str">
        <f>Data_preprocessing!T15</f>
        <v>Manager</v>
      </c>
      <c r="G15" s="2">
        <f>Data_preprocessing!U15</f>
        <v>43881</v>
      </c>
      <c r="H15" t="str">
        <f>Data_preprocessing!V15</f>
        <v>F</v>
      </c>
      <c r="I15" t="str">
        <f>Data_preprocessing!Y15</f>
        <v>Email not provided</v>
      </c>
      <c r="J15" t="str">
        <f>Data_preprocessing!Z15</f>
        <v>555-555-5555</v>
      </c>
      <c r="K15">
        <f t="shared" ca="1" si="0"/>
        <v>5</v>
      </c>
      <c r="L15" t="str">
        <f t="shared" si="1"/>
        <v>Low</v>
      </c>
      <c r="M15" t="str">
        <f t="shared" si="2"/>
        <v>Poor</v>
      </c>
    </row>
    <row r="16" spans="1:13" x14ac:dyDescent="0.25">
      <c r="A16" t="str">
        <f>Data_preprocessing!M16</f>
        <v>Frank</v>
      </c>
      <c r="B16">
        <f>Data_preprocessing!O16</f>
        <v>50</v>
      </c>
      <c r="C16">
        <f>Data_preprocessing!Q16</f>
        <v>60000</v>
      </c>
      <c r="D16" t="str">
        <f>Data_preprocessing!R16</f>
        <v>Male</v>
      </c>
      <c r="E16" t="str">
        <f>Data_preprocessing!S16</f>
        <v>Marketing</v>
      </c>
      <c r="F16" t="str">
        <f>Data_preprocessing!T16</f>
        <v>Director</v>
      </c>
      <c r="G16" s="2">
        <f>Data_preprocessing!U16</f>
        <v>43549</v>
      </c>
      <c r="H16" t="str">
        <f>Data_preprocessing!V16</f>
        <v>A</v>
      </c>
      <c r="I16" t="str">
        <f>Data_preprocessing!Y16</f>
        <v>Email not provided</v>
      </c>
      <c r="J16" t="str">
        <f>Data_preprocessing!Z16</f>
        <v>123-456-7890</v>
      </c>
      <c r="K16">
        <f t="shared" ca="1" si="0"/>
        <v>6</v>
      </c>
      <c r="L16" t="str">
        <f t="shared" si="1"/>
        <v>Medium</v>
      </c>
      <c r="M16" t="str">
        <f t="shared" si="2"/>
        <v>Excellent</v>
      </c>
    </row>
    <row r="17" spans="1:13" x14ac:dyDescent="0.25">
      <c r="A17" t="str">
        <f>Data_preprocessing!M17</f>
        <v>Eve</v>
      </c>
      <c r="B17">
        <f>Data_preprocessing!O17</f>
        <v>35</v>
      </c>
      <c r="C17">
        <f>Data_preprocessing!Q17</f>
        <v>65000</v>
      </c>
      <c r="D17" t="str">
        <f>Data_preprocessing!R17</f>
        <v>Male</v>
      </c>
      <c r="E17" t="str">
        <f>Data_preprocessing!S17</f>
        <v>Finance</v>
      </c>
      <c r="F17" t="str">
        <f>Data_preprocessing!T17</f>
        <v>Clerk</v>
      </c>
      <c r="G17" s="2">
        <f>Data_preprocessing!U17</f>
        <v>43195</v>
      </c>
      <c r="H17" t="str">
        <f>Data_preprocessing!V17</f>
        <v>F</v>
      </c>
      <c r="I17" t="str">
        <f>Data_preprocessing!Y17</f>
        <v>Email not provided</v>
      </c>
      <c r="J17" t="str">
        <f>Data_preprocessing!Z17</f>
        <v>123-456-7890</v>
      </c>
      <c r="K17">
        <f t="shared" ca="1" si="0"/>
        <v>7</v>
      </c>
      <c r="L17" t="str">
        <f t="shared" si="1"/>
        <v>High</v>
      </c>
      <c r="M17" t="str">
        <f t="shared" si="2"/>
        <v>Poor</v>
      </c>
    </row>
    <row r="18" spans="1:13" x14ac:dyDescent="0.25">
      <c r="A18" t="str">
        <f>Data_preprocessing!M18</f>
        <v>Bob</v>
      </c>
      <c r="B18">
        <f>Data_preprocessing!O18</f>
        <v>40</v>
      </c>
      <c r="C18">
        <f>Data_preprocessing!Q18</f>
        <v>55000</v>
      </c>
      <c r="D18" t="str">
        <f>Data_preprocessing!R18</f>
        <v>Female</v>
      </c>
      <c r="E18" t="str">
        <f>Data_preprocessing!S18</f>
        <v>Sales</v>
      </c>
      <c r="F18" t="str">
        <f>Data_preprocessing!T18</f>
        <v>Assistant</v>
      </c>
      <c r="G18" s="2">
        <f>Data_preprocessing!U18</f>
        <v>43845</v>
      </c>
      <c r="H18" t="str">
        <f>Data_preprocessing!V18</f>
        <v>B</v>
      </c>
      <c r="I18" t="str">
        <f>Data_preprocessing!Y18</f>
        <v>Email not provided</v>
      </c>
      <c r="J18" t="str">
        <f>Data_preprocessing!Z18</f>
        <v>098-765-4321</v>
      </c>
      <c r="K18">
        <f t="shared" ca="1" si="0"/>
        <v>6</v>
      </c>
      <c r="L18" t="str">
        <f t="shared" si="1"/>
        <v>Low</v>
      </c>
      <c r="M18" t="str">
        <f t="shared" si="2"/>
        <v>Good</v>
      </c>
    </row>
    <row r="19" spans="1:13" x14ac:dyDescent="0.25">
      <c r="A19" t="str">
        <f>Data_preprocessing!M19</f>
        <v>Hannah</v>
      </c>
      <c r="B19">
        <f>Data_preprocessing!O19</f>
        <v>50</v>
      </c>
      <c r="C19">
        <f>Data_preprocessing!Q19</f>
        <v>55000</v>
      </c>
      <c r="D19" t="str">
        <f>Data_preprocessing!R19</f>
        <v>Male</v>
      </c>
      <c r="E19" t="str">
        <f>Data_preprocessing!S19</f>
        <v>HR</v>
      </c>
      <c r="F19" t="str">
        <f>Data_preprocessing!T19</f>
        <v>Director</v>
      </c>
      <c r="G19" s="2">
        <f>Data_preprocessing!U19</f>
        <v>43195</v>
      </c>
      <c r="H19" t="str">
        <f>Data_preprocessing!V19</f>
        <v>D</v>
      </c>
      <c r="I19" t="str">
        <f>Data_preprocessing!Y19</f>
        <v>user@domain.com</v>
      </c>
      <c r="J19" t="str">
        <f>Data_preprocessing!Z19</f>
        <v>Phone not provided</v>
      </c>
      <c r="K19">
        <f t="shared" ca="1" si="0"/>
        <v>7</v>
      </c>
      <c r="L19" t="str">
        <f t="shared" si="1"/>
        <v>Low</v>
      </c>
      <c r="M19" t="str">
        <f t="shared" si="2"/>
        <v>Below Average</v>
      </c>
    </row>
    <row r="20" spans="1:13" x14ac:dyDescent="0.25">
      <c r="A20" t="str">
        <f>Data_preprocessing!M20</f>
        <v>Frank</v>
      </c>
      <c r="B20">
        <f>Data_preprocessing!O20</f>
        <v>25</v>
      </c>
      <c r="C20">
        <f>Data_preprocessing!Q20</f>
        <v>60000</v>
      </c>
      <c r="D20" t="str">
        <f>Data_preprocessing!R20</f>
        <v>Female</v>
      </c>
      <c r="E20" t="str">
        <f>Data_preprocessing!S20</f>
        <v>IT</v>
      </c>
      <c r="F20" t="str">
        <f>Data_preprocessing!T20</f>
        <v>Clerk</v>
      </c>
      <c r="G20" s="2">
        <f>Data_preprocessing!U20</f>
        <v>43549</v>
      </c>
      <c r="H20" t="str">
        <f>Data_preprocessing!V20</f>
        <v>B</v>
      </c>
      <c r="I20" t="str">
        <f>Data_preprocessing!Y20</f>
        <v>email@example.com</v>
      </c>
      <c r="J20" t="str">
        <f>Data_preprocessing!Z20</f>
        <v>555-555-5555</v>
      </c>
      <c r="K20">
        <f t="shared" ca="1" si="0"/>
        <v>6</v>
      </c>
      <c r="L20" t="str">
        <f t="shared" si="1"/>
        <v>Medium</v>
      </c>
      <c r="M20" t="str">
        <f t="shared" si="2"/>
        <v>Good</v>
      </c>
    </row>
    <row r="21" spans="1:13" x14ac:dyDescent="0.25">
      <c r="A21" t="str">
        <f>Data_preprocessing!M21</f>
        <v>Bob</v>
      </c>
      <c r="B21">
        <f>Data_preprocessing!O21</f>
        <v>50</v>
      </c>
      <c r="C21">
        <f>Data_preprocessing!Q21</f>
        <v>50000</v>
      </c>
      <c r="D21" t="str">
        <f>Data_preprocessing!R21</f>
        <v>Female</v>
      </c>
      <c r="E21" t="str">
        <f>Data_preprocessing!S21</f>
        <v>Finance</v>
      </c>
      <c r="F21" t="str">
        <f>Data_preprocessing!T21</f>
        <v>Assistant</v>
      </c>
      <c r="G21" s="2">
        <f>Data_preprocessing!U21</f>
        <v>43549</v>
      </c>
      <c r="H21" t="str">
        <f>Data_preprocessing!V21</f>
        <v>D</v>
      </c>
      <c r="I21" t="str">
        <f>Data_preprocessing!Y21</f>
        <v>user@domain.com</v>
      </c>
      <c r="J21" t="str">
        <f>Data_preprocessing!Z21</f>
        <v>Phone not provided</v>
      </c>
      <c r="K21">
        <f t="shared" ca="1" si="0"/>
        <v>6</v>
      </c>
      <c r="L21" t="str">
        <f t="shared" si="1"/>
        <v>Low</v>
      </c>
      <c r="M21" t="str">
        <f t="shared" si="2"/>
        <v>Below Average</v>
      </c>
    </row>
    <row r="22" spans="1:13" x14ac:dyDescent="0.25">
      <c r="A22" t="str">
        <f>Data_preprocessing!M22</f>
        <v>Eve</v>
      </c>
      <c r="B22">
        <f>Data_preprocessing!O22</f>
        <v>35</v>
      </c>
      <c r="C22">
        <f>Data_preprocessing!Q22</f>
        <v>50000</v>
      </c>
      <c r="D22" t="str">
        <f>Data_preprocessing!R22</f>
        <v>Female</v>
      </c>
      <c r="E22" t="str">
        <f>Data_preprocessing!S22</f>
        <v>IT</v>
      </c>
      <c r="F22" t="str">
        <f>Data_preprocessing!T22</f>
        <v>Clerk</v>
      </c>
      <c r="G22" s="2">
        <f>Data_preprocessing!U22</f>
        <v>43845</v>
      </c>
      <c r="H22" t="str">
        <f>Data_preprocessing!V22</f>
        <v>D</v>
      </c>
      <c r="I22" t="str">
        <f>Data_preprocessing!Y22</f>
        <v>email@example.com</v>
      </c>
      <c r="J22" t="str">
        <f>Data_preprocessing!Z22</f>
        <v>098-765-4321</v>
      </c>
      <c r="K22">
        <f t="shared" ca="1" si="0"/>
        <v>6</v>
      </c>
      <c r="L22" t="str">
        <f t="shared" si="1"/>
        <v>Low</v>
      </c>
      <c r="M22" t="str">
        <f t="shared" si="2"/>
        <v>Below Average</v>
      </c>
    </row>
    <row r="23" spans="1:13" x14ac:dyDescent="0.25">
      <c r="A23" t="str">
        <f>Data_preprocessing!M23</f>
        <v>Alice</v>
      </c>
      <c r="B23">
        <f>Data_preprocessing!O23</f>
        <v>25</v>
      </c>
      <c r="C23">
        <f>Data_preprocessing!Q23</f>
        <v>50000</v>
      </c>
      <c r="D23" t="str">
        <f>Data_preprocessing!R23</f>
        <v>Other</v>
      </c>
      <c r="E23" t="str">
        <f>Data_preprocessing!S23</f>
        <v>IT</v>
      </c>
      <c r="F23" t="str">
        <f>Data_preprocessing!T23</f>
        <v>Director</v>
      </c>
      <c r="G23" s="2">
        <f>Data_preprocessing!U23</f>
        <v>43195</v>
      </c>
      <c r="H23" t="str">
        <f>Data_preprocessing!V23</f>
        <v>F</v>
      </c>
      <c r="I23" t="str">
        <f>Data_preprocessing!Y23</f>
        <v>user@domain.com</v>
      </c>
      <c r="J23" t="str">
        <f>Data_preprocessing!Z23</f>
        <v>555-555-5555</v>
      </c>
      <c r="K23">
        <f t="shared" ca="1" si="0"/>
        <v>7</v>
      </c>
      <c r="L23" t="str">
        <f t="shared" si="1"/>
        <v>Low</v>
      </c>
      <c r="M23" t="str">
        <f t="shared" si="2"/>
        <v>Poor</v>
      </c>
    </row>
    <row r="24" spans="1:13" x14ac:dyDescent="0.25">
      <c r="A24" t="str">
        <f>Data_preprocessing!M24</f>
        <v>Jack</v>
      </c>
      <c r="B24">
        <f>Data_preprocessing!O24</f>
        <v>50</v>
      </c>
      <c r="C24">
        <f>Data_preprocessing!Q24</f>
        <v>50000</v>
      </c>
      <c r="D24" t="str">
        <f>Data_preprocessing!R24</f>
        <v>Other</v>
      </c>
      <c r="E24" t="str">
        <f>Data_preprocessing!S24</f>
        <v>Marketing</v>
      </c>
      <c r="F24" t="str">
        <f>Data_preprocessing!T24</f>
        <v>Analyst</v>
      </c>
      <c r="G24" s="2">
        <f>Data_preprocessing!U24</f>
        <v>43195</v>
      </c>
      <c r="H24" t="str">
        <f>Data_preprocessing!V24</f>
        <v>B</v>
      </c>
      <c r="I24" t="str">
        <f>Data_preprocessing!Y24</f>
        <v>email@example.com</v>
      </c>
      <c r="J24" t="str">
        <f>Data_preprocessing!Z24</f>
        <v>Phone not provided</v>
      </c>
      <c r="K24">
        <f t="shared" ca="1" si="0"/>
        <v>7</v>
      </c>
      <c r="L24" t="str">
        <f t="shared" si="1"/>
        <v>Low</v>
      </c>
      <c r="M24" t="str">
        <f t="shared" si="2"/>
        <v>Good</v>
      </c>
    </row>
    <row r="25" spans="1:13" x14ac:dyDescent="0.25">
      <c r="A25" t="str">
        <f>Data_preprocessing!M25</f>
        <v>Frank</v>
      </c>
      <c r="B25">
        <f>Data_preprocessing!O25</f>
        <v>40</v>
      </c>
      <c r="C25">
        <f>Data_preprocessing!Q25</f>
        <v>70000</v>
      </c>
      <c r="D25" t="str">
        <f>Data_preprocessing!R25</f>
        <v>Other</v>
      </c>
      <c r="E25" t="str">
        <f>Data_preprocessing!S25</f>
        <v>Marketing</v>
      </c>
      <c r="F25" t="str">
        <f>Data_preprocessing!T25</f>
        <v>Director</v>
      </c>
      <c r="G25" s="2">
        <f>Data_preprocessing!U25</f>
        <v>43845</v>
      </c>
      <c r="H25" t="str">
        <f>Data_preprocessing!V25</f>
        <v>B</v>
      </c>
      <c r="I25" t="str">
        <f>Data_preprocessing!Y25</f>
        <v>email@example.com</v>
      </c>
      <c r="J25" t="str">
        <f>Data_preprocessing!Z25</f>
        <v>555-555-5555</v>
      </c>
      <c r="K25">
        <f t="shared" ca="1" si="0"/>
        <v>6</v>
      </c>
      <c r="L25" t="str">
        <f t="shared" si="1"/>
        <v>High</v>
      </c>
      <c r="M25" t="str">
        <f t="shared" si="2"/>
        <v>Good</v>
      </c>
    </row>
    <row r="26" spans="1:13" x14ac:dyDescent="0.25">
      <c r="A26" t="str">
        <f>Data_preprocessing!M26</f>
        <v>Ivy</v>
      </c>
      <c r="B26">
        <f>Data_preprocessing!O26</f>
        <v>40</v>
      </c>
      <c r="C26">
        <f>Data_preprocessing!Q26</f>
        <v>50000</v>
      </c>
      <c r="D26" t="str">
        <f>Data_preprocessing!R26</f>
        <v>Other</v>
      </c>
      <c r="E26" t="str">
        <f>Data_preprocessing!S26</f>
        <v>Finance</v>
      </c>
      <c r="F26" t="str">
        <f>Data_preprocessing!T26</f>
        <v>Manager</v>
      </c>
      <c r="G26" s="2">
        <f>Data_preprocessing!U26</f>
        <v>43195</v>
      </c>
      <c r="H26" t="str">
        <f>Data_preprocessing!V26</f>
        <v>A</v>
      </c>
      <c r="I26" t="str">
        <f>Data_preprocessing!Y26</f>
        <v>name@company.org</v>
      </c>
      <c r="J26" t="str">
        <f>Data_preprocessing!Z26</f>
        <v>123-456-7890</v>
      </c>
      <c r="K26">
        <f t="shared" ca="1" si="0"/>
        <v>7</v>
      </c>
      <c r="L26" t="str">
        <f t="shared" si="1"/>
        <v>Low</v>
      </c>
      <c r="M26" t="str">
        <f t="shared" si="2"/>
        <v>Excellent</v>
      </c>
    </row>
    <row r="27" spans="1:13" x14ac:dyDescent="0.25">
      <c r="A27" t="str">
        <f>Data_preprocessing!M27</f>
        <v>Alice</v>
      </c>
      <c r="B27">
        <f>Data_preprocessing!O27</f>
        <v>30</v>
      </c>
      <c r="C27">
        <f>Data_preprocessing!Q27</f>
        <v>70000</v>
      </c>
      <c r="D27" t="str">
        <f>Data_preprocessing!R27</f>
        <v>Male</v>
      </c>
      <c r="E27" t="str">
        <f>Data_preprocessing!S27</f>
        <v>Sales</v>
      </c>
      <c r="F27" t="str">
        <f>Data_preprocessing!T27</f>
        <v>Clerk</v>
      </c>
      <c r="G27" s="2">
        <f>Data_preprocessing!U27</f>
        <v>43845</v>
      </c>
      <c r="H27" t="str">
        <f>Data_preprocessing!V27</f>
        <v>B</v>
      </c>
      <c r="I27" t="str">
        <f>Data_preprocessing!Y27</f>
        <v>email@example.com</v>
      </c>
      <c r="J27" t="str">
        <f>Data_preprocessing!Z27</f>
        <v>123-456-7890</v>
      </c>
      <c r="K27">
        <f t="shared" ca="1" si="0"/>
        <v>6</v>
      </c>
      <c r="L27" t="str">
        <f t="shared" si="1"/>
        <v>High</v>
      </c>
      <c r="M27" t="str">
        <f t="shared" si="2"/>
        <v>Good</v>
      </c>
    </row>
    <row r="28" spans="1:13" x14ac:dyDescent="0.25">
      <c r="A28" t="str">
        <f>Data_preprocessing!M28</f>
        <v>Jack</v>
      </c>
      <c r="B28">
        <f>Data_preprocessing!O28</f>
        <v>50</v>
      </c>
      <c r="C28">
        <f>Data_preprocessing!Q28</f>
        <v>70000</v>
      </c>
      <c r="D28" t="str">
        <f>Data_preprocessing!R28</f>
        <v>Male</v>
      </c>
      <c r="E28" t="str">
        <f>Data_preprocessing!S28</f>
        <v>Finance</v>
      </c>
      <c r="F28" t="str">
        <f>Data_preprocessing!T28</f>
        <v>Analyst</v>
      </c>
      <c r="G28" s="2">
        <f>Data_preprocessing!U28</f>
        <v>43881</v>
      </c>
      <c r="H28" t="str">
        <f>Data_preprocessing!V28</f>
        <v>A</v>
      </c>
      <c r="I28" t="str">
        <f>Data_preprocessing!Y28</f>
        <v>email@example.com</v>
      </c>
      <c r="J28" t="str">
        <f>Data_preprocessing!Z28</f>
        <v>098-765-4321</v>
      </c>
      <c r="K28">
        <f t="shared" ca="1" si="0"/>
        <v>5</v>
      </c>
      <c r="L28" t="str">
        <f t="shared" si="1"/>
        <v>High</v>
      </c>
      <c r="M28" t="str">
        <f t="shared" si="2"/>
        <v>Excellent</v>
      </c>
    </row>
    <row r="29" spans="1:13" x14ac:dyDescent="0.25">
      <c r="A29" t="str">
        <f>Data_preprocessing!M29</f>
        <v>Charlie</v>
      </c>
      <c r="B29">
        <f>Data_preprocessing!O29</f>
        <v>35</v>
      </c>
      <c r="C29">
        <f>Data_preprocessing!Q29</f>
        <v>50000</v>
      </c>
      <c r="D29" t="str">
        <f>Data_preprocessing!R29</f>
        <v>Other</v>
      </c>
      <c r="E29" t="str">
        <f>Data_preprocessing!S29</f>
        <v>Sales</v>
      </c>
      <c r="F29" t="str">
        <f>Data_preprocessing!T29</f>
        <v>Clerk</v>
      </c>
      <c r="G29" s="2">
        <f>Data_preprocessing!U29</f>
        <v>43549</v>
      </c>
      <c r="H29" t="str">
        <f>Data_preprocessing!V29</f>
        <v>C</v>
      </c>
      <c r="I29" t="str">
        <f>Data_preprocessing!Y29</f>
        <v>name@company.org</v>
      </c>
      <c r="J29" t="str">
        <f>Data_preprocessing!Z29</f>
        <v>Phone not provided</v>
      </c>
      <c r="K29">
        <f t="shared" ca="1" si="0"/>
        <v>6</v>
      </c>
      <c r="L29" t="str">
        <f t="shared" si="1"/>
        <v>Low</v>
      </c>
      <c r="M29" t="str">
        <f t="shared" si="2"/>
        <v>Average</v>
      </c>
    </row>
    <row r="30" spans="1:13" x14ac:dyDescent="0.25">
      <c r="A30" t="str">
        <f>Data_preprocessing!M30</f>
        <v>Grace</v>
      </c>
      <c r="B30">
        <f>Data_preprocessing!O30</f>
        <v>50</v>
      </c>
      <c r="C30">
        <f>Data_preprocessing!Q30</f>
        <v>60000</v>
      </c>
      <c r="D30" t="str">
        <f>Data_preprocessing!R30</f>
        <v>Male</v>
      </c>
      <c r="E30" t="str">
        <f>Data_preprocessing!S30</f>
        <v>IT</v>
      </c>
      <c r="F30" t="str">
        <f>Data_preprocessing!T30</f>
        <v>Clerk</v>
      </c>
      <c r="G30" s="2">
        <f>Data_preprocessing!U30</f>
        <v>43881</v>
      </c>
      <c r="H30" t="str">
        <f>Data_preprocessing!V30</f>
        <v>C</v>
      </c>
      <c r="I30" t="str">
        <f>Data_preprocessing!Y30</f>
        <v>Email not provided</v>
      </c>
      <c r="J30" t="str">
        <f>Data_preprocessing!Z30</f>
        <v>Phone not provided</v>
      </c>
      <c r="K30">
        <f t="shared" ca="1" si="0"/>
        <v>5</v>
      </c>
      <c r="L30" t="str">
        <f t="shared" si="1"/>
        <v>Medium</v>
      </c>
      <c r="M30" t="str">
        <f t="shared" si="2"/>
        <v>Average</v>
      </c>
    </row>
    <row r="31" spans="1:13" x14ac:dyDescent="0.25">
      <c r="A31" t="str">
        <f>Data_preprocessing!M31</f>
        <v>David</v>
      </c>
      <c r="B31">
        <f>Data_preprocessing!O31</f>
        <v>25</v>
      </c>
      <c r="C31">
        <f>Data_preprocessing!Q31</f>
        <v>65000</v>
      </c>
      <c r="D31" t="str">
        <f>Data_preprocessing!R31</f>
        <v>Male</v>
      </c>
      <c r="E31" t="str">
        <f>Data_preprocessing!S31</f>
        <v>HR</v>
      </c>
      <c r="F31" t="str">
        <f>Data_preprocessing!T31</f>
        <v>Assistant</v>
      </c>
      <c r="G31" s="2">
        <f>Data_preprocessing!U31</f>
        <v>43800</v>
      </c>
      <c r="H31" t="str">
        <f>Data_preprocessing!V31</f>
        <v>C</v>
      </c>
      <c r="I31" t="str">
        <f>Data_preprocessing!Y31</f>
        <v>Email not provided</v>
      </c>
      <c r="J31" t="str">
        <f>Data_preprocessing!Z31</f>
        <v>555-555-5555</v>
      </c>
      <c r="K31">
        <f t="shared" ca="1" si="0"/>
        <v>6</v>
      </c>
      <c r="L31" t="str">
        <f t="shared" si="1"/>
        <v>High</v>
      </c>
      <c r="M31" t="str">
        <f t="shared" si="2"/>
        <v>Average</v>
      </c>
    </row>
    <row r="32" spans="1:13" x14ac:dyDescent="0.25">
      <c r="A32" t="str">
        <f>Data_preprocessing!M32</f>
        <v>Ivy</v>
      </c>
      <c r="B32">
        <f>Data_preprocessing!O32</f>
        <v>25</v>
      </c>
      <c r="C32">
        <f>Data_preprocessing!Q32</f>
        <v>55000</v>
      </c>
      <c r="D32" t="str">
        <f>Data_preprocessing!R32</f>
        <v>Female</v>
      </c>
      <c r="E32" t="str">
        <f>Data_preprocessing!S32</f>
        <v>Finance</v>
      </c>
      <c r="F32" t="str">
        <f>Data_preprocessing!T32</f>
        <v>Manager</v>
      </c>
      <c r="G32" s="2">
        <f>Data_preprocessing!U32</f>
        <v>43800</v>
      </c>
      <c r="H32" t="str">
        <f>Data_preprocessing!V32</f>
        <v>B</v>
      </c>
      <c r="I32" t="str">
        <f>Data_preprocessing!Y32</f>
        <v>name@company.org</v>
      </c>
      <c r="J32" t="str">
        <f>Data_preprocessing!Z32</f>
        <v>098-765-4321</v>
      </c>
      <c r="K32">
        <f t="shared" ca="1" si="0"/>
        <v>6</v>
      </c>
      <c r="L32" t="str">
        <f t="shared" si="1"/>
        <v>Low</v>
      </c>
      <c r="M32" t="str">
        <f t="shared" si="2"/>
        <v>Good</v>
      </c>
    </row>
    <row r="33" spans="1:13" x14ac:dyDescent="0.25">
      <c r="A33" t="str">
        <f>Data_preprocessing!M33</f>
        <v>Charlie</v>
      </c>
      <c r="B33">
        <f>Data_preprocessing!O33</f>
        <v>50</v>
      </c>
      <c r="C33">
        <f>Data_preprocessing!Q33</f>
        <v>70000</v>
      </c>
      <c r="D33" t="str">
        <f>Data_preprocessing!R33</f>
        <v>Female</v>
      </c>
      <c r="E33" t="str">
        <f>Data_preprocessing!S33</f>
        <v>Finance</v>
      </c>
      <c r="F33" t="str">
        <f>Data_preprocessing!T33</f>
        <v>Clerk</v>
      </c>
      <c r="G33" s="2">
        <f>Data_preprocessing!U33</f>
        <v>43800</v>
      </c>
      <c r="H33" t="str">
        <f>Data_preprocessing!V33</f>
        <v>B</v>
      </c>
      <c r="I33" t="str">
        <f>Data_preprocessing!Y33</f>
        <v>Email not provided</v>
      </c>
      <c r="J33" t="str">
        <f>Data_preprocessing!Z33</f>
        <v>Phone not provided</v>
      </c>
      <c r="K33">
        <f t="shared" ca="1" si="0"/>
        <v>6</v>
      </c>
      <c r="L33" t="str">
        <f t="shared" si="1"/>
        <v>High</v>
      </c>
      <c r="M33" t="str">
        <f t="shared" si="2"/>
        <v>Good</v>
      </c>
    </row>
    <row r="34" spans="1:13" x14ac:dyDescent="0.25">
      <c r="A34" t="str">
        <f>Data_preprocessing!M34</f>
        <v>Eve</v>
      </c>
      <c r="B34">
        <f>Data_preprocessing!O34</f>
        <v>35</v>
      </c>
      <c r="C34">
        <f>Data_preprocessing!Q34</f>
        <v>60000</v>
      </c>
      <c r="D34" t="str">
        <f>Data_preprocessing!R34</f>
        <v>Female</v>
      </c>
      <c r="E34" t="str">
        <f>Data_preprocessing!S34</f>
        <v>Sales</v>
      </c>
      <c r="F34" t="str">
        <f>Data_preprocessing!T34</f>
        <v>Director</v>
      </c>
      <c r="G34" s="2">
        <f>Data_preprocessing!U34</f>
        <v>43845</v>
      </c>
      <c r="H34" t="str">
        <f>Data_preprocessing!V34</f>
        <v>A</v>
      </c>
      <c r="I34" t="str">
        <f>Data_preprocessing!Y34</f>
        <v>email@example.com</v>
      </c>
      <c r="J34" t="str">
        <f>Data_preprocessing!Z34</f>
        <v>123-456-7890</v>
      </c>
      <c r="K34">
        <f t="shared" ca="1" si="0"/>
        <v>6</v>
      </c>
      <c r="L34" t="str">
        <f t="shared" si="1"/>
        <v>Medium</v>
      </c>
      <c r="M34" t="str">
        <f t="shared" si="2"/>
        <v>Excellent</v>
      </c>
    </row>
    <row r="35" spans="1:13" x14ac:dyDescent="0.25">
      <c r="A35" t="str">
        <f>Data_preprocessing!M35</f>
        <v>Charlie</v>
      </c>
      <c r="B35">
        <f>Data_preprocessing!O35</f>
        <v>40</v>
      </c>
      <c r="C35">
        <f>Data_preprocessing!Q35</f>
        <v>60000</v>
      </c>
      <c r="D35" t="str">
        <f>Data_preprocessing!R35</f>
        <v>Female</v>
      </c>
      <c r="E35" t="str">
        <f>Data_preprocessing!S35</f>
        <v>IT</v>
      </c>
      <c r="F35" t="str">
        <f>Data_preprocessing!T35</f>
        <v>Director</v>
      </c>
      <c r="G35" s="2">
        <f>Data_preprocessing!U35</f>
        <v>43195</v>
      </c>
      <c r="H35" t="str">
        <f>Data_preprocessing!V35</f>
        <v>D</v>
      </c>
      <c r="I35" t="str">
        <f>Data_preprocessing!Y35</f>
        <v>email@example.com</v>
      </c>
      <c r="J35" t="str">
        <f>Data_preprocessing!Z35</f>
        <v>555-555-5555</v>
      </c>
      <c r="K35">
        <f t="shared" ca="1" si="0"/>
        <v>7</v>
      </c>
      <c r="L35" t="str">
        <f t="shared" si="1"/>
        <v>Medium</v>
      </c>
      <c r="M35" t="str">
        <f t="shared" si="2"/>
        <v>Below Average</v>
      </c>
    </row>
    <row r="36" spans="1:13" x14ac:dyDescent="0.25">
      <c r="A36" t="str">
        <f>Data_preprocessing!M36</f>
        <v>Grace</v>
      </c>
      <c r="B36">
        <f>Data_preprocessing!O36</f>
        <v>25</v>
      </c>
      <c r="C36">
        <f>Data_preprocessing!Q36</f>
        <v>65000</v>
      </c>
      <c r="D36" t="str">
        <f>Data_preprocessing!R36</f>
        <v>Male</v>
      </c>
      <c r="E36" t="str">
        <f>Data_preprocessing!S36</f>
        <v>IT</v>
      </c>
      <c r="F36" t="str">
        <f>Data_preprocessing!T36</f>
        <v>Assistant</v>
      </c>
      <c r="G36" s="2">
        <f>Data_preprocessing!U36</f>
        <v>43881</v>
      </c>
      <c r="H36" t="str">
        <f>Data_preprocessing!V36</f>
        <v>A</v>
      </c>
      <c r="I36" t="str">
        <f>Data_preprocessing!Y36</f>
        <v>name@company.org</v>
      </c>
      <c r="J36" t="str">
        <f>Data_preprocessing!Z36</f>
        <v>Phone not provided</v>
      </c>
      <c r="K36">
        <f t="shared" ca="1" si="0"/>
        <v>5</v>
      </c>
      <c r="L36" t="str">
        <f t="shared" si="1"/>
        <v>High</v>
      </c>
      <c r="M36" t="str">
        <f t="shared" si="2"/>
        <v>Excellent</v>
      </c>
    </row>
    <row r="37" spans="1:13" x14ac:dyDescent="0.25">
      <c r="A37" t="str">
        <f>Data_preprocessing!M37</f>
        <v>Eve</v>
      </c>
      <c r="B37">
        <f>Data_preprocessing!O37</f>
        <v>40</v>
      </c>
      <c r="C37">
        <f>Data_preprocessing!Q37</f>
        <v>60000</v>
      </c>
      <c r="D37" t="str">
        <f>Data_preprocessing!R37</f>
        <v>Other</v>
      </c>
      <c r="E37" t="str">
        <f>Data_preprocessing!S37</f>
        <v>Sales</v>
      </c>
      <c r="F37" t="str">
        <f>Data_preprocessing!T37</f>
        <v>Manager</v>
      </c>
      <c r="G37" s="2">
        <f>Data_preprocessing!U37</f>
        <v>43881</v>
      </c>
      <c r="H37" t="str">
        <f>Data_preprocessing!V37</f>
        <v>C</v>
      </c>
      <c r="I37" t="str">
        <f>Data_preprocessing!Y37</f>
        <v>name@company.org</v>
      </c>
      <c r="J37" t="str">
        <f>Data_preprocessing!Z37</f>
        <v>123-456-7890</v>
      </c>
      <c r="K37">
        <f t="shared" ca="1" si="0"/>
        <v>5</v>
      </c>
      <c r="L37" t="str">
        <f t="shared" si="1"/>
        <v>Medium</v>
      </c>
      <c r="M37" t="str">
        <f t="shared" si="2"/>
        <v>Average</v>
      </c>
    </row>
    <row r="38" spans="1:13" x14ac:dyDescent="0.25">
      <c r="A38" t="str">
        <f>Data_preprocessing!M38</f>
        <v>Ivy</v>
      </c>
      <c r="B38">
        <f>Data_preprocessing!O38</f>
        <v>25</v>
      </c>
      <c r="C38">
        <f>Data_preprocessing!Q38</f>
        <v>60000</v>
      </c>
      <c r="D38" t="str">
        <f>Data_preprocessing!R38</f>
        <v>Male</v>
      </c>
      <c r="E38" t="str">
        <f>Data_preprocessing!S38</f>
        <v>IT</v>
      </c>
      <c r="F38" t="str">
        <f>Data_preprocessing!T38</f>
        <v>Manager</v>
      </c>
      <c r="G38" s="2">
        <f>Data_preprocessing!U38</f>
        <v>43881</v>
      </c>
      <c r="H38" t="str">
        <f>Data_preprocessing!V38</f>
        <v>A</v>
      </c>
      <c r="I38" t="str">
        <f>Data_preprocessing!Y38</f>
        <v>Email not provided</v>
      </c>
      <c r="J38" t="str">
        <f>Data_preprocessing!Z38</f>
        <v>098-765-4321</v>
      </c>
      <c r="K38">
        <f t="shared" ca="1" si="0"/>
        <v>5</v>
      </c>
      <c r="L38" t="str">
        <f t="shared" si="1"/>
        <v>Medium</v>
      </c>
      <c r="M38" t="str">
        <f t="shared" si="2"/>
        <v>Excellent</v>
      </c>
    </row>
    <row r="39" spans="1:13" x14ac:dyDescent="0.25">
      <c r="A39" t="str">
        <f>Data_preprocessing!M39</f>
        <v>Grace</v>
      </c>
      <c r="B39">
        <f>Data_preprocessing!O39</f>
        <v>30</v>
      </c>
      <c r="C39">
        <f>Data_preprocessing!Q39</f>
        <v>60000</v>
      </c>
      <c r="D39" t="str">
        <f>Data_preprocessing!R39</f>
        <v>Male</v>
      </c>
      <c r="E39" t="str">
        <f>Data_preprocessing!S39</f>
        <v>Marketing</v>
      </c>
      <c r="F39" t="str">
        <f>Data_preprocessing!T39</f>
        <v>Director</v>
      </c>
      <c r="G39" s="2">
        <f>Data_preprocessing!U39</f>
        <v>43881</v>
      </c>
      <c r="H39" t="str">
        <f>Data_preprocessing!V39</f>
        <v>D</v>
      </c>
      <c r="I39" t="str">
        <f>Data_preprocessing!Y39</f>
        <v>Email not provided</v>
      </c>
      <c r="J39" t="str">
        <f>Data_preprocessing!Z39</f>
        <v>Phone not provided</v>
      </c>
      <c r="K39">
        <f t="shared" ca="1" si="0"/>
        <v>5</v>
      </c>
      <c r="L39" t="str">
        <f t="shared" si="1"/>
        <v>Medium</v>
      </c>
      <c r="M39" t="str">
        <f t="shared" si="2"/>
        <v>Below Average</v>
      </c>
    </row>
    <row r="40" spans="1:13" x14ac:dyDescent="0.25">
      <c r="A40" t="str">
        <f>Data_preprocessing!M40</f>
        <v>Bob</v>
      </c>
      <c r="B40">
        <f>Data_preprocessing!O40</f>
        <v>35</v>
      </c>
      <c r="C40">
        <f>Data_preprocessing!Q40</f>
        <v>55000</v>
      </c>
      <c r="D40" t="str">
        <f>Data_preprocessing!R40</f>
        <v>Male</v>
      </c>
      <c r="E40" t="str">
        <f>Data_preprocessing!S40</f>
        <v>HR</v>
      </c>
      <c r="F40" t="str">
        <f>Data_preprocessing!T40</f>
        <v>Analyst</v>
      </c>
      <c r="G40" s="2">
        <f>Data_preprocessing!U40</f>
        <v>43800</v>
      </c>
      <c r="H40" t="str">
        <f>Data_preprocessing!V40</f>
        <v>B</v>
      </c>
      <c r="I40" t="str">
        <f>Data_preprocessing!Y40</f>
        <v>user@domain.com</v>
      </c>
      <c r="J40" t="str">
        <f>Data_preprocessing!Z40</f>
        <v>123-456-7890</v>
      </c>
      <c r="K40">
        <f t="shared" ca="1" si="0"/>
        <v>6</v>
      </c>
      <c r="L40" t="str">
        <f t="shared" si="1"/>
        <v>Low</v>
      </c>
      <c r="M40" t="str">
        <f t="shared" si="2"/>
        <v>Good</v>
      </c>
    </row>
    <row r="41" spans="1:13" x14ac:dyDescent="0.25">
      <c r="A41" t="str">
        <f>Data_preprocessing!M41</f>
        <v>David</v>
      </c>
      <c r="B41">
        <f>Data_preprocessing!O41</f>
        <v>25</v>
      </c>
      <c r="C41">
        <f>Data_preprocessing!Q41</f>
        <v>55000</v>
      </c>
      <c r="D41" t="str">
        <f>Data_preprocessing!R41</f>
        <v>Female</v>
      </c>
      <c r="E41" t="str">
        <f>Data_preprocessing!S41</f>
        <v>Finance</v>
      </c>
      <c r="F41" t="str">
        <f>Data_preprocessing!T41</f>
        <v>Assistant</v>
      </c>
      <c r="G41" s="2">
        <f>Data_preprocessing!U41</f>
        <v>43881</v>
      </c>
      <c r="H41" t="str">
        <f>Data_preprocessing!V41</f>
        <v>A</v>
      </c>
      <c r="I41" t="str">
        <f>Data_preprocessing!Y41</f>
        <v>Email not provided</v>
      </c>
      <c r="J41" t="str">
        <f>Data_preprocessing!Z41</f>
        <v>Phone not provided</v>
      </c>
      <c r="K41">
        <f t="shared" ca="1" si="0"/>
        <v>5</v>
      </c>
      <c r="L41" t="str">
        <f t="shared" si="1"/>
        <v>Low</v>
      </c>
      <c r="M41" t="str">
        <f t="shared" si="2"/>
        <v>Excellent</v>
      </c>
    </row>
    <row r="42" spans="1:13" x14ac:dyDescent="0.25">
      <c r="A42" t="str">
        <f>Data_preprocessing!M42</f>
        <v>Ivy</v>
      </c>
      <c r="B42">
        <f>Data_preprocessing!O42</f>
        <v>40</v>
      </c>
      <c r="C42">
        <f>Data_preprocessing!Q42</f>
        <v>70000</v>
      </c>
      <c r="D42" t="str">
        <f>Data_preprocessing!R42</f>
        <v>Female</v>
      </c>
      <c r="E42" t="str">
        <f>Data_preprocessing!S42</f>
        <v>HR</v>
      </c>
      <c r="F42" t="str">
        <f>Data_preprocessing!T42</f>
        <v>Assistant</v>
      </c>
      <c r="G42" s="2">
        <f>Data_preprocessing!U42</f>
        <v>43195</v>
      </c>
      <c r="H42" t="str">
        <f>Data_preprocessing!V42</f>
        <v>C</v>
      </c>
      <c r="I42" t="str">
        <f>Data_preprocessing!Y42</f>
        <v>email@example.com</v>
      </c>
      <c r="J42" t="str">
        <f>Data_preprocessing!Z42</f>
        <v>Phone not provided</v>
      </c>
      <c r="K42">
        <f t="shared" ca="1" si="0"/>
        <v>7</v>
      </c>
      <c r="L42" t="str">
        <f t="shared" si="1"/>
        <v>High</v>
      </c>
      <c r="M42" t="str">
        <f t="shared" si="2"/>
        <v>Average</v>
      </c>
    </row>
    <row r="43" spans="1:13" x14ac:dyDescent="0.25">
      <c r="A43" t="str">
        <f>Data_preprocessing!M43</f>
        <v>Bob</v>
      </c>
      <c r="B43">
        <f>Data_preprocessing!O43</f>
        <v>30</v>
      </c>
      <c r="C43">
        <f>Data_preprocessing!Q43</f>
        <v>50000</v>
      </c>
      <c r="D43" t="str">
        <f>Data_preprocessing!R43</f>
        <v>Female</v>
      </c>
      <c r="E43" t="str">
        <f>Data_preprocessing!S43</f>
        <v>Finance</v>
      </c>
      <c r="F43" t="str">
        <f>Data_preprocessing!T43</f>
        <v>Director</v>
      </c>
      <c r="G43" s="2">
        <f>Data_preprocessing!U43</f>
        <v>43800</v>
      </c>
      <c r="H43" t="str">
        <f>Data_preprocessing!V43</f>
        <v>C</v>
      </c>
      <c r="I43" t="str">
        <f>Data_preprocessing!Y43</f>
        <v>name@company.org</v>
      </c>
      <c r="J43" t="str">
        <f>Data_preprocessing!Z43</f>
        <v>098-765-4321</v>
      </c>
      <c r="K43">
        <f t="shared" ca="1" si="0"/>
        <v>6</v>
      </c>
      <c r="L43" t="str">
        <f t="shared" si="1"/>
        <v>Low</v>
      </c>
      <c r="M43" t="str">
        <f t="shared" si="2"/>
        <v>Average</v>
      </c>
    </row>
    <row r="44" spans="1:13" x14ac:dyDescent="0.25">
      <c r="A44" t="str">
        <f>Data_preprocessing!M44</f>
        <v>Jack</v>
      </c>
      <c r="B44">
        <f>Data_preprocessing!O44</f>
        <v>25</v>
      </c>
      <c r="C44">
        <f>Data_preprocessing!Q44</f>
        <v>60000</v>
      </c>
      <c r="D44" t="str">
        <f>Data_preprocessing!R44</f>
        <v>Other</v>
      </c>
      <c r="E44" t="str">
        <f>Data_preprocessing!S44</f>
        <v>Marketing</v>
      </c>
      <c r="F44" t="str">
        <f>Data_preprocessing!T44</f>
        <v>Director</v>
      </c>
      <c r="G44" s="2">
        <f>Data_preprocessing!U44</f>
        <v>43881</v>
      </c>
      <c r="H44" t="str">
        <f>Data_preprocessing!V44</f>
        <v>B</v>
      </c>
      <c r="I44" t="str">
        <f>Data_preprocessing!Y44</f>
        <v>Email not provided</v>
      </c>
      <c r="J44" t="str">
        <f>Data_preprocessing!Z44</f>
        <v>123-456-7890</v>
      </c>
      <c r="K44">
        <f t="shared" ca="1" si="0"/>
        <v>5</v>
      </c>
      <c r="L44" t="str">
        <f t="shared" si="1"/>
        <v>Medium</v>
      </c>
      <c r="M44" t="str">
        <f t="shared" si="2"/>
        <v>Good</v>
      </c>
    </row>
    <row r="45" spans="1:13" x14ac:dyDescent="0.25">
      <c r="A45" t="str">
        <f>Data_preprocessing!M45</f>
        <v>Ivy</v>
      </c>
      <c r="B45">
        <f>Data_preprocessing!O45</f>
        <v>35</v>
      </c>
      <c r="C45">
        <f>Data_preprocessing!Q45</f>
        <v>70000</v>
      </c>
      <c r="D45" t="str">
        <f>Data_preprocessing!R45</f>
        <v>Male</v>
      </c>
      <c r="E45" t="str">
        <f>Data_preprocessing!S45</f>
        <v>IT</v>
      </c>
      <c r="F45" t="str">
        <f>Data_preprocessing!T45</f>
        <v>Analyst</v>
      </c>
      <c r="G45" s="2">
        <f>Data_preprocessing!U45</f>
        <v>43845</v>
      </c>
      <c r="H45" t="str">
        <f>Data_preprocessing!V45</f>
        <v>A</v>
      </c>
      <c r="I45" t="str">
        <f>Data_preprocessing!Y45</f>
        <v>Email not provided</v>
      </c>
      <c r="J45" t="str">
        <f>Data_preprocessing!Z45</f>
        <v>555-555-5555</v>
      </c>
      <c r="K45">
        <f t="shared" ca="1" si="0"/>
        <v>6</v>
      </c>
      <c r="L45" t="str">
        <f t="shared" si="1"/>
        <v>High</v>
      </c>
      <c r="M45" t="str">
        <f t="shared" si="2"/>
        <v>Excellent</v>
      </c>
    </row>
    <row r="46" spans="1:13" x14ac:dyDescent="0.25">
      <c r="A46" t="str">
        <f>Data_preprocessing!M46</f>
        <v>Jack</v>
      </c>
      <c r="B46">
        <f>Data_preprocessing!O46</f>
        <v>35</v>
      </c>
      <c r="C46">
        <f>Data_preprocessing!Q46</f>
        <v>60000</v>
      </c>
      <c r="D46" t="str">
        <f>Data_preprocessing!R46</f>
        <v>Other</v>
      </c>
      <c r="E46" t="str">
        <f>Data_preprocessing!S46</f>
        <v>Sales</v>
      </c>
      <c r="F46" t="str">
        <f>Data_preprocessing!T46</f>
        <v>Analyst</v>
      </c>
      <c r="G46" s="2">
        <f>Data_preprocessing!U46</f>
        <v>43549</v>
      </c>
      <c r="H46" t="str">
        <f>Data_preprocessing!V46</f>
        <v>D</v>
      </c>
      <c r="I46" t="str">
        <f>Data_preprocessing!Y46</f>
        <v>Email not provided</v>
      </c>
      <c r="J46" t="str">
        <f>Data_preprocessing!Z46</f>
        <v>123-456-7890</v>
      </c>
      <c r="K46">
        <f t="shared" ca="1" si="0"/>
        <v>6</v>
      </c>
      <c r="L46" t="str">
        <f t="shared" si="1"/>
        <v>Medium</v>
      </c>
      <c r="M46" t="str">
        <f t="shared" si="2"/>
        <v>Below Average</v>
      </c>
    </row>
    <row r="47" spans="1:13" x14ac:dyDescent="0.25">
      <c r="A47" t="str">
        <f>Data_preprocessing!M47</f>
        <v>Eve</v>
      </c>
      <c r="B47">
        <f>Data_preprocessing!O47</f>
        <v>25</v>
      </c>
      <c r="C47">
        <f>Data_preprocessing!Q47</f>
        <v>50000</v>
      </c>
      <c r="D47" t="str">
        <f>Data_preprocessing!R47</f>
        <v>Female</v>
      </c>
      <c r="E47" t="str">
        <f>Data_preprocessing!S47</f>
        <v>Marketing</v>
      </c>
      <c r="F47" t="str">
        <f>Data_preprocessing!T47</f>
        <v>Manager</v>
      </c>
      <c r="G47" s="2">
        <f>Data_preprocessing!U47</f>
        <v>43549</v>
      </c>
      <c r="H47" t="str">
        <f>Data_preprocessing!V47</f>
        <v>B</v>
      </c>
      <c r="I47" t="str">
        <f>Data_preprocessing!Y47</f>
        <v>Email not provided</v>
      </c>
      <c r="J47" t="str">
        <f>Data_preprocessing!Z47</f>
        <v>Phone not provided</v>
      </c>
      <c r="K47">
        <f t="shared" ca="1" si="0"/>
        <v>6</v>
      </c>
      <c r="L47" t="str">
        <f t="shared" si="1"/>
        <v>Low</v>
      </c>
      <c r="M47" t="str">
        <f t="shared" si="2"/>
        <v>Good</v>
      </c>
    </row>
    <row r="48" spans="1:13" x14ac:dyDescent="0.25">
      <c r="A48" t="str">
        <f>Data_preprocessing!M48</f>
        <v>Bob</v>
      </c>
      <c r="B48">
        <f>Data_preprocessing!O48</f>
        <v>30</v>
      </c>
      <c r="C48">
        <f>Data_preprocessing!Q48</f>
        <v>60000</v>
      </c>
      <c r="D48" t="str">
        <f>Data_preprocessing!R48</f>
        <v>Other</v>
      </c>
      <c r="E48" t="str">
        <f>Data_preprocessing!S48</f>
        <v>HR</v>
      </c>
      <c r="F48" t="str">
        <f>Data_preprocessing!T48</f>
        <v>Assistant</v>
      </c>
      <c r="G48" s="2">
        <f>Data_preprocessing!U48</f>
        <v>43549</v>
      </c>
      <c r="H48" t="str">
        <f>Data_preprocessing!V48</f>
        <v>A</v>
      </c>
      <c r="I48" t="str">
        <f>Data_preprocessing!Y48</f>
        <v>email@example.com</v>
      </c>
      <c r="J48" t="str">
        <f>Data_preprocessing!Z48</f>
        <v>098-765-4321</v>
      </c>
      <c r="K48">
        <f t="shared" ca="1" si="0"/>
        <v>6</v>
      </c>
      <c r="L48" t="str">
        <f t="shared" si="1"/>
        <v>Medium</v>
      </c>
      <c r="M48" t="str">
        <f t="shared" si="2"/>
        <v>Excellent</v>
      </c>
    </row>
    <row r="49" spans="1:13" x14ac:dyDescent="0.25">
      <c r="A49" t="str">
        <f>Data_preprocessing!M49</f>
        <v>David</v>
      </c>
      <c r="B49">
        <f>Data_preprocessing!O49</f>
        <v>35</v>
      </c>
      <c r="C49">
        <f>Data_preprocessing!Q49</f>
        <v>60000</v>
      </c>
      <c r="D49" t="str">
        <f>Data_preprocessing!R49</f>
        <v>Male</v>
      </c>
      <c r="E49" t="str">
        <f>Data_preprocessing!S49</f>
        <v>Sales</v>
      </c>
      <c r="F49" t="str">
        <f>Data_preprocessing!T49</f>
        <v>Assistant</v>
      </c>
      <c r="G49" s="2">
        <f>Data_preprocessing!U49</f>
        <v>43800</v>
      </c>
      <c r="H49" t="str">
        <f>Data_preprocessing!V49</f>
        <v>F</v>
      </c>
      <c r="I49" t="str">
        <f>Data_preprocessing!Y49</f>
        <v>user@domain.com</v>
      </c>
      <c r="J49" t="str">
        <f>Data_preprocessing!Z49</f>
        <v>098-765-4321</v>
      </c>
      <c r="K49">
        <f t="shared" ca="1" si="0"/>
        <v>6</v>
      </c>
      <c r="L49" t="str">
        <f t="shared" si="1"/>
        <v>Medium</v>
      </c>
      <c r="M49" t="str">
        <f t="shared" si="2"/>
        <v>Poor</v>
      </c>
    </row>
    <row r="50" spans="1:13" x14ac:dyDescent="0.25">
      <c r="A50" t="str">
        <f>Data_preprocessing!M50</f>
        <v>Grace</v>
      </c>
      <c r="B50">
        <f>Data_preprocessing!O50</f>
        <v>50</v>
      </c>
      <c r="C50">
        <f>Data_preprocessing!Q50</f>
        <v>50000</v>
      </c>
      <c r="D50" t="str">
        <f>Data_preprocessing!R50</f>
        <v>Male</v>
      </c>
      <c r="E50" t="str">
        <f>Data_preprocessing!S50</f>
        <v>IT</v>
      </c>
      <c r="F50" t="str">
        <f>Data_preprocessing!T50</f>
        <v>Director</v>
      </c>
      <c r="G50" s="2">
        <f>Data_preprocessing!U50</f>
        <v>43881</v>
      </c>
      <c r="H50" t="str">
        <f>Data_preprocessing!V50</f>
        <v>C</v>
      </c>
      <c r="I50" t="str">
        <f>Data_preprocessing!Y50</f>
        <v>Email not provided</v>
      </c>
      <c r="J50" t="str">
        <f>Data_preprocessing!Z50</f>
        <v>555-555-5555</v>
      </c>
      <c r="K50">
        <f t="shared" ca="1" si="0"/>
        <v>5</v>
      </c>
      <c r="L50" t="str">
        <f t="shared" si="1"/>
        <v>Low</v>
      </c>
      <c r="M50" t="str">
        <f t="shared" si="2"/>
        <v>Average</v>
      </c>
    </row>
    <row r="51" spans="1:13" x14ac:dyDescent="0.25">
      <c r="A51" t="str">
        <f>Data_preprocessing!M51</f>
        <v>Hannah</v>
      </c>
      <c r="B51">
        <f>Data_preprocessing!O51</f>
        <v>30</v>
      </c>
      <c r="C51">
        <f>Data_preprocessing!Q51</f>
        <v>70000</v>
      </c>
      <c r="D51" t="str">
        <f>Data_preprocessing!R51</f>
        <v>Female</v>
      </c>
      <c r="E51" t="str">
        <f>Data_preprocessing!S51</f>
        <v>Marketing</v>
      </c>
      <c r="F51" t="str">
        <f>Data_preprocessing!T51</f>
        <v>Manager</v>
      </c>
      <c r="G51" s="2">
        <f>Data_preprocessing!U51</f>
        <v>43800</v>
      </c>
      <c r="H51" t="str">
        <f>Data_preprocessing!V51</f>
        <v>D</v>
      </c>
      <c r="I51" t="str">
        <f>Data_preprocessing!Y51</f>
        <v>Email not provided</v>
      </c>
      <c r="J51" t="str">
        <f>Data_preprocessing!Z51</f>
        <v>098-765-4321</v>
      </c>
      <c r="K51">
        <f t="shared" ca="1" si="0"/>
        <v>6</v>
      </c>
      <c r="L51" t="str">
        <f t="shared" si="1"/>
        <v>High</v>
      </c>
      <c r="M51" t="str">
        <f t="shared" si="2"/>
        <v>Below Average</v>
      </c>
    </row>
    <row r="52" spans="1:13" x14ac:dyDescent="0.25">
      <c r="A52" t="str">
        <f>Data_preprocessing!M52</f>
        <v>Charlie</v>
      </c>
      <c r="B52">
        <f>Data_preprocessing!O52</f>
        <v>30</v>
      </c>
      <c r="C52">
        <f>Data_preprocessing!Q52</f>
        <v>50000</v>
      </c>
      <c r="D52" t="str">
        <f>Data_preprocessing!R52</f>
        <v>Female</v>
      </c>
      <c r="E52" t="str">
        <f>Data_preprocessing!S52</f>
        <v>Sales</v>
      </c>
      <c r="F52" t="str">
        <f>Data_preprocessing!T52</f>
        <v>Assistant</v>
      </c>
      <c r="G52" s="2">
        <f>Data_preprocessing!U52</f>
        <v>43195</v>
      </c>
      <c r="H52" t="str">
        <f>Data_preprocessing!V52</f>
        <v>D</v>
      </c>
      <c r="I52" t="str">
        <f>Data_preprocessing!Y52</f>
        <v>user@domain.com</v>
      </c>
      <c r="J52" t="str">
        <f>Data_preprocessing!Z52</f>
        <v>098-765-4321</v>
      </c>
      <c r="K52">
        <f t="shared" ca="1" si="0"/>
        <v>7</v>
      </c>
      <c r="L52" t="str">
        <f t="shared" si="1"/>
        <v>Low</v>
      </c>
      <c r="M52" t="str">
        <f t="shared" si="2"/>
        <v>Below Average</v>
      </c>
    </row>
    <row r="53" spans="1:13" x14ac:dyDescent="0.25">
      <c r="A53" t="str">
        <f>Data_preprocessing!M53</f>
        <v>Alice</v>
      </c>
      <c r="B53">
        <f>Data_preprocessing!O53</f>
        <v>35</v>
      </c>
      <c r="C53">
        <f>Data_preprocessing!Q53</f>
        <v>65000</v>
      </c>
      <c r="D53" t="str">
        <f>Data_preprocessing!R53</f>
        <v>Other</v>
      </c>
      <c r="E53" t="str">
        <f>Data_preprocessing!S53</f>
        <v>Marketing</v>
      </c>
      <c r="F53" t="str">
        <f>Data_preprocessing!T53</f>
        <v>Manager</v>
      </c>
      <c r="G53" s="2">
        <f>Data_preprocessing!U53</f>
        <v>43845</v>
      </c>
      <c r="H53" t="str">
        <f>Data_preprocessing!V53</f>
        <v>D</v>
      </c>
      <c r="I53" t="str">
        <f>Data_preprocessing!Y53</f>
        <v>Email not provided</v>
      </c>
      <c r="J53" t="str">
        <f>Data_preprocessing!Z53</f>
        <v>098-765-4321</v>
      </c>
      <c r="K53">
        <f t="shared" ca="1" si="0"/>
        <v>6</v>
      </c>
      <c r="L53" t="str">
        <f t="shared" si="1"/>
        <v>High</v>
      </c>
      <c r="M53" t="str">
        <f t="shared" si="2"/>
        <v>Below Average</v>
      </c>
    </row>
    <row r="54" spans="1:13" x14ac:dyDescent="0.25">
      <c r="A54" t="str">
        <f>Data_preprocessing!M54</f>
        <v>David</v>
      </c>
      <c r="B54">
        <f>Data_preprocessing!O54</f>
        <v>30</v>
      </c>
      <c r="C54">
        <f>Data_preprocessing!Q54</f>
        <v>55000</v>
      </c>
      <c r="D54" t="str">
        <f>Data_preprocessing!R54</f>
        <v>Female</v>
      </c>
      <c r="E54" t="str">
        <f>Data_preprocessing!S54</f>
        <v>Marketing</v>
      </c>
      <c r="F54" t="str">
        <f>Data_preprocessing!T54</f>
        <v>Manager</v>
      </c>
      <c r="G54" s="2">
        <f>Data_preprocessing!U54</f>
        <v>43845</v>
      </c>
      <c r="H54" t="str">
        <f>Data_preprocessing!V54</f>
        <v>C</v>
      </c>
      <c r="I54" t="str">
        <f>Data_preprocessing!Y54</f>
        <v>Email not provided</v>
      </c>
      <c r="J54" t="str">
        <f>Data_preprocessing!Z54</f>
        <v>098-765-4321</v>
      </c>
      <c r="K54">
        <f t="shared" ca="1" si="0"/>
        <v>6</v>
      </c>
      <c r="L54" t="str">
        <f t="shared" si="1"/>
        <v>Low</v>
      </c>
      <c r="M54" t="str">
        <f t="shared" si="2"/>
        <v>Average</v>
      </c>
    </row>
    <row r="55" spans="1:13" x14ac:dyDescent="0.25">
      <c r="A55" t="str">
        <f>Data_preprocessing!M55</f>
        <v>Bob</v>
      </c>
      <c r="B55">
        <f>Data_preprocessing!O55</f>
        <v>35</v>
      </c>
      <c r="C55">
        <f>Data_preprocessing!Q55</f>
        <v>70000</v>
      </c>
      <c r="D55" t="str">
        <f>Data_preprocessing!R55</f>
        <v>Female</v>
      </c>
      <c r="E55" t="str">
        <f>Data_preprocessing!S55</f>
        <v>IT</v>
      </c>
      <c r="F55" t="str">
        <f>Data_preprocessing!T55</f>
        <v>Director</v>
      </c>
      <c r="G55" s="2">
        <f>Data_preprocessing!U55</f>
        <v>43549</v>
      </c>
      <c r="H55" t="str">
        <f>Data_preprocessing!V55</f>
        <v>A</v>
      </c>
      <c r="I55" t="str">
        <f>Data_preprocessing!Y55</f>
        <v>Email not provided</v>
      </c>
      <c r="J55" t="str">
        <f>Data_preprocessing!Z55</f>
        <v>098-765-4321</v>
      </c>
      <c r="K55">
        <f t="shared" ca="1" si="0"/>
        <v>6</v>
      </c>
      <c r="L55" t="str">
        <f t="shared" si="1"/>
        <v>High</v>
      </c>
      <c r="M55" t="str">
        <f t="shared" si="2"/>
        <v>Excellent</v>
      </c>
    </row>
    <row r="56" spans="1:13" x14ac:dyDescent="0.25">
      <c r="A56" t="str">
        <f>Data_preprocessing!M56</f>
        <v>Hannah</v>
      </c>
      <c r="B56">
        <f>Data_preprocessing!O56</f>
        <v>25</v>
      </c>
      <c r="C56">
        <f>Data_preprocessing!Q56</f>
        <v>60000</v>
      </c>
      <c r="D56" t="str">
        <f>Data_preprocessing!R56</f>
        <v>Male</v>
      </c>
      <c r="E56" t="str">
        <f>Data_preprocessing!S56</f>
        <v>Finance</v>
      </c>
      <c r="F56" t="str">
        <f>Data_preprocessing!T56</f>
        <v>Manager</v>
      </c>
      <c r="G56" s="2">
        <f>Data_preprocessing!U56</f>
        <v>43549</v>
      </c>
      <c r="H56" t="str">
        <f>Data_preprocessing!V56</f>
        <v>B</v>
      </c>
      <c r="I56" t="str">
        <f>Data_preprocessing!Y56</f>
        <v>Email not provided</v>
      </c>
      <c r="J56" t="str">
        <f>Data_preprocessing!Z56</f>
        <v>Phone not provided</v>
      </c>
      <c r="K56">
        <f t="shared" ca="1" si="0"/>
        <v>6</v>
      </c>
      <c r="L56" t="str">
        <f t="shared" si="1"/>
        <v>Medium</v>
      </c>
      <c r="M56" t="str">
        <f t="shared" si="2"/>
        <v>Good</v>
      </c>
    </row>
    <row r="57" spans="1:13" x14ac:dyDescent="0.25">
      <c r="A57" t="str">
        <f>Data_preprocessing!M57</f>
        <v>David</v>
      </c>
      <c r="B57">
        <f>Data_preprocessing!O57</f>
        <v>35</v>
      </c>
      <c r="C57">
        <f>Data_preprocessing!Q57</f>
        <v>65000</v>
      </c>
      <c r="D57" t="str">
        <f>Data_preprocessing!R57</f>
        <v>Female</v>
      </c>
      <c r="E57" t="str">
        <f>Data_preprocessing!S57</f>
        <v>Sales</v>
      </c>
      <c r="F57" t="str">
        <f>Data_preprocessing!T57</f>
        <v>Analyst</v>
      </c>
      <c r="G57" s="2">
        <f>Data_preprocessing!U57</f>
        <v>43549</v>
      </c>
      <c r="H57" t="str">
        <f>Data_preprocessing!V57</f>
        <v>A</v>
      </c>
      <c r="I57" t="str">
        <f>Data_preprocessing!Y57</f>
        <v>user@domain.com</v>
      </c>
      <c r="J57" t="str">
        <f>Data_preprocessing!Z57</f>
        <v>123-456-7890</v>
      </c>
      <c r="K57">
        <f t="shared" ca="1" si="0"/>
        <v>6</v>
      </c>
      <c r="L57" t="str">
        <f t="shared" si="1"/>
        <v>High</v>
      </c>
      <c r="M57" t="str">
        <f t="shared" si="2"/>
        <v>Excellent</v>
      </c>
    </row>
    <row r="58" spans="1:13" x14ac:dyDescent="0.25">
      <c r="A58" t="str">
        <f>Data_preprocessing!M58</f>
        <v>Bob</v>
      </c>
      <c r="B58">
        <f>Data_preprocessing!O58</f>
        <v>35</v>
      </c>
      <c r="C58">
        <f>Data_preprocessing!Q58</f>
        <v>70000</v>
      </c>
      <c r="D58" t="str">
        <f>Data_preprocessing!R58</f>
        <v>Female</v>
      </c>
      <c r="E58" t="str">
        <f>Data_preprocessing!S58</f>
        <v>IT</v>
      </c>
      <c r="F58" t="str">
        <f>Data_preprocessing!T58</f>
        <v>Analyst</v>
      </c>
      <c r="G58" s="2">
        <f>Data_preprocessing!U58</f>
        <v>43881</v>
      </c>
      <c r="H58" t="str">
        <f>Data_preprocessing!V58</f>
        <v>B</v>
      </c>
      <c r="I58" t="str">
        <f>Data_preprocessing!Y58</f>
        <v>email@example.com</v>
      </c>
      <c r="J58" t="str">
        <f>Data_preprocessing!Z58</f>
        <v>Phone not provided</v>
      </c>
      <c r="K58">
        <f t="shared" ca="1" si="0"/>
        <v>5</v>
      </c>
      <c r="L58" t="str">
        <f t="shared" si="1"/>
        <v>High</v>
      </c>
      <c r="M58" t="str">
        <f t="shared" si="2"/>
        <v>Good</v>
      </c>
    </row>
    <row r="59" spans="1:13" x14ac:dyDescent="0.25">
      <c r="A59" t="str">
        <f>Data_preprocessing!M59</f>
        <v>Frank</v>
      </c>
      <c r="B59">
        <f>Data_preprocessing!O59</f>
        <v>35</v>
      </c>
      <c r="C59">
        <f>Data_preprocessing!Q59</f>
        <v>50000</v>
      </c>
      <c r="D59" t="str">
        <f>Data_preprocessing!R59</f>
        <v>Male</v>
      </c>
      <c r="E59" t="str">
        <f>Data_preprocessing!S59</f>
        <v>Marketing</v>
      </c>
      <c r="F59" t="str">
        <f>Data_preprocessing!T59</f>
        <v>Clerk</v>
      </c>
      <c r="G59" s="2">
        <f>Data_preprocessing!U59</f>
        <v>43195</v>
      </c>
      <c r="H59" t="str">
        <f>Data_preprocessing!V59</f>
        <v>D</v>
      </c>
      <c r="I59" t="str">
        <f>Data_preprocessing!Y59</f>
        <v>Email not provided</v>
      </c>
      <c r="J59" t="str">
        <f>Data_preprocessing!Z59</f>
        <v>098-765-4321</v>
      </c>
      <c r="K59">
        <f t="shared" ca="1" si="0"/>
        <v>7</v>
      </c>
      <c r="L59" t="str">
        <f t="shared" si="1"/>
        <v>Low</v>
      </c>
      <c r="M59" t="str">
        <f t="shared" si="2"/>
        <v>Below Average</v>
      </c>
    </row>
    <row r="60" spans="1:13" x14ac:dyDescent="0.25">
      <c r="A60" t="str">
        <f>Data_preprocessing!M60</f>
        <v>Frank</v>
      </c>
      <c r="B60">
        <f>Data_preprocessing!O60</f>
        <v>35</v>
      </c>
      <c r="C60">
        <f>Data_preprocessing!Q60</f>
        <v>50000</v>
      </c>
      <c r="D60" t="str">
        <f>Data_preprocessing!R60</f>
        <v>Male</v>
      </c>
      <c r="E60" t="str">
        <f>Data_preprocessing!S60</f>
        <v>IT</v>
      </c>
      <c r="F60" t="str">
        <f>Data_preprocessing!T60</f>
        <v>Director</v>
      </c>
      <c r="G60" s="2">
        <f>Data_preprocessing!U60</f>
        <v>43195</v>
      </c>
      <c r="H60" t="str">
        <f>Data_preprocessing!V60</f>
        <v>A</v>
      </c>
      <c r="I60" t="str">
        <f>Data_preprocessing!Y60</f>
        <v>email@example.com</v>
      </c>
      <c r="J60" t="str">
        <f>Data_preprocessing!Z60</f>
        <v>Phone not provided</v>
      </c>
      <c r="K60">
        <f t="shared" ca="1" si="0"/>
        <v>7</v>
      </c>
      <c r="L60" t="str">
        <f t="shared" si="1"/>
        <v>Low</v>
      </c>
      <c r="M60" t="str">
        <f t="shared" si="2"/>
        <v>Excellent</v>
      </c>
    </row>
    <row r="61" spans="1:13" x14ac:dyDescent="0.25">
      <c r="A61" t="str">
        <f>Data_preprocessing!M61</f>
        <v>Jack</v>
      </c>
      <c r="B61">
        <f>Data_preprocessing!O61</f>
        <v>35</v>
      </c>
      <c r="C61">
        <f>Data_preprocessing!Q61</f>
        <v>50000</v>
      </c>
      <c r="D61" t="str">
        <f>Data_preprocessing!R61</f>
        <v>Other</v>
      </c>
      <c r="E61" t="str">
        <f>Data_preprocessing!S61</f>
        <v>Finance</v>
      </c>
      <c r="F61" t="str">
        <f>Data_preprocessing!T61</f>
        <v>Clerk</v>
      </c>
      <c r="G61" s="2">
        <f>Data_preprocessing!U61</f>
        <v>43195</v>
      </c>
      <c r="H61" t="str">
        <f>Data_preprocessing!V61</f>
        <v>D</v>
      </c>
      <c r="I61" t="str">
        <f>Data_preprocessing!Y61</f>
        <v>user@domain.com</v>
      </c>
      <c r="J61" t="str">
        <f>Data_preprocessing!Z61</f>
        <v>Phone not provided</v>
      </c>
      <c r="K61">
        <f t="shared" ca="1" si="0"/>
        <v>7</v>
      </c>
      <c r="L61" t="str">
        <f t="shared" si="1"/>
        <v>Low</v>
      </c>
      <c r="M61" t="str">
        <f t="shared" si="2"/>
        <v>Below Average</v>
      </c>
    </row>
    <row r="62" spans="1:13" x14ac:dyDescent="0.25">
      <c r="A62" t="str">
        <f>Data_preprocessing!M62</f>
        <v>David</v>
      </c>
      <c r="B62">
        <f>Data_preprocessing!O62</f>
        <v>50</v>
      </c>
      <c r="C62">
        <f>Data_preprocessing!Q62</f>
        <v>50000</v>
      </c>
      <c r="D62" t="str">
        <f>Data_preprocessing!R62</f>
        <v>Female</v>
      </c>
      <c r="E62" t="str">
        <f>Data_preprocessing!S62</f>
        <v>Sales</v>
      </c>
      <c r="F62" t="str">
        <f>Data_preprocessing!T62</f>
        <v>Analyst</v>
      </c>
      <c r="G62" s="2">
        <f>Data_preprocessing!U62</f>
        <v>43195</v>
      </c>
      <c r="H62" t="str">
        <f>Data_preprocessing!V62</f>
        <v>F</v>
      </c>
      <c r="I62" t="str">
        <f>Data_preprocessing!Y62</f>
        <v>user@domain.com</v>
      </c>
      <c r="J62" t="str">
        <f>Data_preprocessing!Z62</f>
        <v>Phone not provided</v>
      </c>
      <c r="K62">
        <f t="shared" ca="1" si="0"/>
        <v>7</v>
      </c>
      <c r="L62" t="str">
        <f t="shared" si="1"/>
        <v>Low</v>
      </c>
      <c r="M62" t="str">
        <f t="shared" si="2"/>
        <v>Poor</v>
      </c>
    </row>
    <row r="63" spans="1:13" x14ac:dyDescent="0.25">
      <c r="A63" t="str">
        <f>Data_preprocessing!M63</f>
        <v>Frank</v>
      </c>
      <c r="B63">
        <f>Data_preprocessing!O63</f>
        <v>25</v>
      </c>
      <c r="C63">
        <f>Data_preprocessing!Q63</f>
        <v>60000</v>
      </c>
      <c r="D63" t="str">
        <f>Data_preprocessing!R63</f>
        <v>Male</v>
      </c>
      <c r="E63" t="str">
        <f>Data_preprocessing!S63</f>
        <v>Finance</v>
      </c>
      <c r="F63" t="str">
        <f>Data_preprocessing!T63</f>
        <v>Clerk</v>
      </c>
      <c r="G63" s="2">
        <f>Data_preprocessing!U63</f>
        <v>43549</v>
      </c>
      <c r="H63" t="str">
        <f>Data_preprocessing!V63</f>
        <v>D</v>
      </c>
      <c r="I63" t="str">
        <f>Data_preprocessing!Y63</f>
        <v>Email not provided</v>
      </c>
      <c r="J63" t="str">
        <f>Data_preprocessing!Z63</f>
        <v>098-765-4321</v>
      </c>
      <c r="K63">
        <f t="shared" ca="1" si="0"/>
        <v>6</v>
      </c>
      <c r="L63" t="str">
        <f t="shared" si="1"/>
        <v>Medium</v>
      </c>
      <c r="M63" t="str">
        <f t="shared" si="2"/>
        <v>Below Average</v>
      </c>
    </row>
    <row r="64" spans="1:13" x14ac:dyDescent="0.25">
      <c r="A64" t="str">
        <f>Data_preprocessing!M64</f>
        <v>Bob</v>
      </c>
      <c r="B64">
        <f>Data_preprocessing!O64</f>
        <v>35</v>
      </c>
      <c r="C64">
        <f>Data_preprocessing!Q64</f>
        <v>65000</v>
      </c>
      <c r="D64" t="str">
        <f>Data_preprocessing!R64</f>
        <v>Other</v>
      </c>
      <c r="E64" t="str">
        <f>Data_preprocessing!S64</f>
        <v>HR</v>
      </c>
      <c r="F64" t="str">
        <f>Data_preprocessing!T64</f>
        <v>Director</v>
      </c>
      <c r="G64" s="2">
        <f>Data_preprocessing!U64</f>
        <v>43845</v>
      </c>
      <c r="H64" t="str">
        <f>Data_preprocessing!V64</f>
        <v>D</v>
      </c>
      <c r="I64" t="str">
        <f>Data_preprocessing!Y64</f>
        <v>Email not provided</v>
      </c>
      <c r="J64" t="str">
        <f>Data_preprocessing!Z64</f>
        <v>Phone not provided</v>
      </c>
      <c r="K64">
        <f t="shared" ca="1" si="0"/>
        <v>6</v>
      </c>
      <c r="L64" t="str">
        <f t="shared" si="1"/>
        <v>High</v>
      </c>
      <c r="M64" t="str">
        <f t="shared" si="2"/>
        <v>Below Average</v>
      </c>
    </row>
    <row r="65" spans="1:13" x14ac:dyDescent="0.25">
      <c r="A65" t="str">
        <f>Data_preprocessing!M65</f>
        <v>Jack</v>
      </c>
      <c r="B65">
        <f>Data_preprocessing!O65</f>
        <v>50</v>
      </c>
      <c r="C65">
        <f>Data_preprocessing!Q65</f>
        <v>60000</v>
      </c>
      <c r="D65" t="str">
        <f>Data_preprocessing!R65</f>
        <v>Other</v>
      </c>
      <c r="E65" t="str">
        <f>Data_preprocessing!S65</f>
        <v>Sales</v>
      </c>
      <c r="F65" t="str">
        <f>Data_preprocessing!T65</f>
        <v>Director</v>
      </c>
      <c r="G65" s="2">
        <f>Data_preprocessing!U65</f>
        <v>43549</v>
      </c>
      <c r="H65" t="str">
        <f>Data_preprocessing!V65</f>
        <v>B</v>
      </c>
      <c r="I65" t="str">
        <f>Data_preprocessing!Y65</f>
        <v>name@company.org</v>
      </c>
      <c r="J65" t="str">
        <f>Data_preprocessing!Z65</f>
        <v>098-765-4321</v>
      </c>
      <c r="K65">
        <f t="shared" ca="1" si="0"/>
        <v>6</v>
      </c>
      <c r="L65" t="str">
        <f t="shared" si="1"/>
        <v>Medium</v>
      </c>
      <c r="M65" t="str">
        <f t="shared" si="2"/>
        <v>Good</v>
      </c>
    </row>
    <row r="66" spans="1:13" x14ac:dyDescent="0.25">
      <c r="A66" t="str">
        <f>Data_preprocessing!M66</f>
        <v>Bob</v>
      </c>
      <c r="B66">
        <f>Data_preprocessing!O66</f>
        <v>40</v>
      </c>
      <c r="C66">
        <f>Data_preprocessing!Q66</f>
        <v>55000</v>
      </c>
      <c r="D66" t="str">
        <f>Data_preprocessing!R66</f>
        <v>Female</v>
      </c>
      <c r="E66" t="str">
        <f>Data_preprocessing!S66</f>
        <v>Finance</v>
      </c>
      <c r="F66" t="str">
        <f>Data_preprocessing!T66</f>
        <v>Manager</v>
      </c>
      <c r="G66" s="2">
        <f>Data_preprocessing!U66</f>
        <v>43195</v>
      </c>
      <c r="H66" t="str">
        <f>Data_preprocessing!V66</f>
        <v>F</v>
      </c>
      <c r="I66" t="str">
        <f>Data_preprocessing!Y66</f>
        <v>user@domain.com</v>
      </c>
      <c r="J66" t="str">
        <f>Data_preprocessing!Z66</f>
        <v>555-555-5555</v>
      </c>
      <c r="K66">
        <f t="shared" ref="K66:K129" ca="1" si="3">DATEDIF(G66,TODAY(),"Y")</f>
        <v>7</v>
      </c>
      <c r="L66" t="str">
        <f t="shared" ref="L66:L129" si="4">IF(C66&lt;60000,"Low",IF(C66&lt;65000,"Medium","High"))</f>
        <v>Low</v>
      </c>
      <c r="M66" t="str">
        <f t="shared" si="2"/>
        <v>Poor</v>
      </c>
    </row>
    <row r="67" spans="1:13" x14ac:dyDescent="0.25">
      <c r="A67" t="str">
        <f>Data_preprocessing!M67</f>
        <v>Jack</v>
      </c>
      <c r="B67">
        <f>Data_preprocessing!O67</f>
        <v>25</v>
      </c>
      <c r="C67">
        <f>Data_preprocessing!Q67</f>
        <v>60000</v>
      </c>
      <c r="D67" t="str">
        <f>Data_preprocessing!R67</f>
        <v>Female</v>
      </c>
      <c r="E67" t="str">
        <f>Data_preprocessing!S67</f>
        <v>Marketing</v>
      </c>
      <c r="F67" t="str">
        <f>Data_preprocessing!T67</f>
        <v>Assistant</v>
      </c>
      <c r="G67" s="2">
        <f>Data_preprocessing!U67</f>
        <v>43549</v>
      </c>
      <c r="H67" t="str">
        <f>Data_preprocessing!V67</f>
        <v>D</v>
      </c>
      <c r="I67" t="str">
        <f>Data_preprocessing!Y67</f>
        <v>Email not provided</v>
      </c>
      <c r="J67" t="str">
        <f>Data_preprocessing!Z67</f>
        <v>555-555-5555</v>
      </c>
      <c r="K67">
        <f t="shared" ca="1" si="3"/>
        <v>6</v>
      </c>
      <c r="L67" t="str">
        <f t="shared" si="4"/>
        <v>Medium</v>
      </c>
      <c r="M67" t="str">
        <f t="shared" ref="M67:M130" si="5">IF(H67="A","Excellent",IF(H67="B","Good",IF(H67="C","Average",IF(H67="D","Below Average","Poor"))))</f>
        <v>Below Average</v>
      </c>
    </row>
    <row r="68" spans="1:13" x14ac:dyDescent="0.25">
      <c r="A68" t="str">
        <f>Data_preprocessing!M68</f>
        <v>David</v>
      </c>
      <c r="B68">
        <f>Data_preprocessing!O68</f>
        <v>25</v>
      </c>
      <c r="C68">
        <f>Data_preprocessing!Q68</f>
        <v>60000</v>
      </c>
      <c r="D68" t="str">
        <f>Data_preprocessing!R68</f>
        <v>Other</v>
      </c>
      <c r="E68" t="str">
        <f>Data_preprocessing!S68</f>
        <v>Sales</v>
      </c>
      <c r="F68" t="str">
        <f>Data_preprocessing!T68</f>
        <v>Manager</v>
      </c>
      <c r="G68" s="2">
        <f>Data_preprocessing!U68</f>
        <v>43195</v>
      </c>
      <c r="H68" t="str">
        <f>Data_preprocessing!V68</f>
        <v>D</v>
      </c>
      <c r="I68" t="str">
        <f>Data_preprocessing!Y68</f>
        <v>email@example.com</v>
      </c>
      <c r="J68" t="str">
        <f>Data_preprocessing!Z68</f>
        <v>555-555-5555</v>
      </c>
      <c r="K68">
        <f t="shared" ca="1" si="3"/>
        <v>7</v>
      </c>
      <c r="L68" t="str">
        <f t="shared" si="4"/>
        <v>Medium</v>
      </c>
      <c r="M68" t="str">
        <f t="shared" si="5"/>
        <v>Below Average</v>
      </c>
    </row>
    <row r="69" spans="1:13" x14ac:dyDescent="0.25">
      <c r="A69" t="str">
        <f>Data_preprocessing!M69</f>
        <v>Hannah</v>
      </c>
      <c r="B69">
        <f>Data_preprocessing!O69</f>
        <v>40</v>
      </c>
      <c r="C69">
        <f>Data_preprocessing!Q69</f>
        <v>60000</v>
      </c>
      <c r="D69" t="str">
        <f>Data_preprocessing!R69</f>
        <v>Male</v>
      </c>
      <c r="E69" t="str">
        <f>Data_preprocessing!S69</f>
        <v>Sales</v>
      </c>
      <c r="F69" t="str">
        <f>Data_preprocessing!T69</f>
        <v>Director</v>
      </c>
      <c r="G69" s="2">
        <f>Data_preprocessing!U69</f>
        <v>43800</v>
      </c>
      <c r="H69" t="str">
        <f>Data_preprocessing!V69</f>
        <v>F</v>
      </c>
      <c r="I69" t="str">
        <f>Data_preprocessing!Y69</f>
        <v>Email not provided</v>
      </c>
      <c r="J69" t="str">
        <f>Data_preprocessing!Z69</f>
        <v>Phone not provided</v>
      </c>
      <c r="K69">
        <f t="shared" ca="1" si="3"/>
        <v>6</v>
      </c>
      <c r="L69" t="str">
        <f t="shared" si="4"/>
        <v>Medium</v>
      </c>
      <c r="M69" t="str">
        <f t="shared" si="5"/>
        <v>Poor</v>
      </c>
    </row>
    <row r="70" spans="1:13" x14ac:dyDescent="0.25">
      <c r="A70" t="str">
        <f>Data_preprocessing!M70</f>
        <v>Grace</v>
      </c>
      <c r="B70">
        <f>Data_preprocessing!O70</f>
        <v>35</v>
      </c>
      <c r="C70">
        <f>Data_preprocessing!Q70</f>
        <v>60000</v>
      </c>
      <c r="D70" t="str">
        <f>Data_preprocessing!R70</f>
        <v>Other</v>
      </c>
      <c r="E70" t="str">
        <f>Data_preprocessing!S70</f>
        <v>IT</v>
      </c>
      <c r="F70" t="str">
        <f>Data_preprocessing!T70</f>
        <v>Analyst</v>
      </c>
      <c r="G70" s="2">
        <f>Data_preprocessing!U70</f>
        <v>43845</v>
      </c>
      <c r="H70" t="str">
        <f>Data_preprocessing!V70</f>
        <v>F</v>
      </c>
      <c r="I70" t="str">
        <f>Data_preprocessing!Y70</f>
        <v>email@example.com</v>
      </c>
      <c r="J70" t="str">
        <f>Data_preprocessing!Z70</f>
        <v>555-555-5555</v>
      </c>
      <c r="K70">
        <f t="shared" ca="1" si="3"/>
        <v>6</v>
      </c>
      <c r="L70" t="str">
        <f t="shared" si="4"/>
        <v>Medium</v>
      </c>
      <c r="M70" t="str">
        <f t="shared" si="5"/>
        <v>Poor</v>
      </c>
    </row>
    <row r="71" spans="1:13" x14ac:dyDescent="0.25">
      <c r="A71" t="str">
        <f>Data_preprocessing!M71</f>
        <v>Ivy</v>
      </c>
      <c r="B71">
        <f>Data_preprocessing!O71</f>
        <v>50</v>
      </c>
      <c r="C71">
        <f>Data_preprocessing!Q71</f>
        <v>55000</v>
      </c>
      <c r="D71" t="str">
        <f>Data_preprocessing!R71</f>
        <v>Female</v>
      </c>
      <c r="E71" t="str">
        <f>Data_preprocessing!S71</f>
        <v>Marketing</v>
      </c>
      <c r="F71" t="str">
        <f>Data_preprocessing!T71</f>
        <v>Analyst</v>
      </c>
      <c r="G71" s="2">
        <f>Data_preprocessing!U71</f>
        <v>43800</v>
      </c>
      <c r="H71" t="str">
        <f>Data_preprocessing!V71</f>
        <v>A</v>
      </c>
      <c r="I71" t="str">
        <f>Data_preprocessing!Y71</f>
        <v>user@domain.com</v>
      </c>
      <c r="J71" t="str">
        <f>Data_preprocessing!Z71</f>
        <v>Phone not provided</v>
      </c>
      <c r="K71">
        <f t="shared" ca="1" si="3"/>
        <v>6</v>
      </c>
      <c r="L71" t="str">
        <f t="shared" si="4"/>
        <v>Low</v>
      </c>
      <c r="M71" t="str">
        <f t="shared" si="5"/>
        <v>Excellent</v>
      </c>
    </row>
    <row r="72" spans="1:13" x14ac:dyDescent="0.25">
      <c r="A72" t="str">
        <f>Data_preprocessing!M72</f>
        <v>Hannah</v>
      </c>
      <c r="B72">
        <f>Data_preprocessing!O72</f>
        <v>30</v>
      </c>
      <c r="C72">
        <f>Data_preprocessing!Q72</f>
        <v>55000</v>
      </c>
      <c r="D72" t="str">
        <f>Data_preprocessing!R72</f>
        <v>Male</v>
      </c>
      <c r="E72" t="str">
        <f>Data_preprocessing!S72</f>
        <v>HR</v>
      </c>
      <c r="F72" t="str">
        <f>Data_preprocessing!T72</f>
        <v>Manager</v>
      </c>
      <c r="G72" s="2">
        <f>Data_preprocessing!U72</f>
        <v>43881</v>
      </c>
      <c r="H72" t="str">
        <f>Data_preprocessing!V72</f>
        <v>B</v>
      </c>
      <c r="I72" t="str">
        <f>Data_preprocessing!Y72</f>
        <v>user@domain.com</v>
      </c>
      <c r="J72" t="str">
        <f>Data_preprocessing!Z72</f>
        <v>Phone not provided</v>
      </c>
      <c r="K72">
        <f t="shared" ca="1" si="3"/>
        <v>5</v>
      </c>
      <c r="L72" t="str">
        <f t="shared" si="4"/>
        <v>Low</v>
      </c>
      <c r="M72" t="str">
        <f t="shared" si="5"/>
        <v>Good</v>
      </c>
    </row>
    <row r="73" spans="1:13" x14ac:dyDescent="0.25">
      <c r="A73" t="str">
        <f>Data_preprocessing!M73</f>
        <v>Eve</v>
      </c>
      <c r="B73">
        <f>Data_preprocessing!O73</f>
        <v>35</v>
      </c>
      <c r="C73">
        <f>Data_preprocessing!Q73</f>
        <v>60000</v>
      </c>
      <c r="D73" t="str">
        <f>Data_preprocessing!R73</f>
        <v>Male</v>
      </c>
      <c r="E73" t="str">
        <f>Data_preprocessing!S73</f>
        <v>Finance</v>
      </c>
      <c r="F73" t="str">
        <f>Data_preprocessing!T73</f>
        <v>Director</v>
      </c>
      <c r="G73" s="2">
        <f>Data_preprocessing!U73</f>
        <v>43549</v>
      </c>
      <c r="H73" t="str">
        <f>Data_preprocessing!V73</f>
        <v>F</v>
      </c>
      <c r="I73" t="str">
        <f>Data_preprocessing!Y73</f>
        <v>email@example.com</v>
      </c>
      <c r="J73" t="str">
        <f>Data_preprocessing!Z73</f>
        <v>Phone not provided</v>
      </c>
      <c r="K73">
        <f t="shared" ca="1" si="3"/>
        <v>6</v>
      </c>
      <c r="L73" t="str">
        <f t="shared" si="4"/>
        <v>Medium</v>
      </c>
      <c r="M73" t="str">
        <f t="shared" si="5"/>
        <v>Poor</v>
      </c>
    </row>
    <row r="74" spans="1:13" x14ac:dyDescent="0.25">
      <c r="A74" t="str">
        <f>Data_preprocessing!M74</f>
        <v>Bob</v>
      </c>
      <c r="B74">
        <f>Data_preprocessing!O74</f>
        <v>30</v>
      </c>
      <c r="C74">
        <f>Data_preprocessing!Q74</f>
        <v>50000</v>
      </c>
      <c r="D74" t="str">
        <f>Data_preprocessing!R74</f>
        <v>Other</v>
      </c>
      <c r="E74" t="str">
        <f>Data_preprocessing!S74</f>
        <v>IT</v>
      </c>
      <c r="F74" t="str">
        <f>Data_preprocessing!T74</f>
        <v>Analyst</v>
      </c>
      <c r="G74" s="2">
        <f>Data_preprocessing!U74</f>
        <v>43881</v>
      </c>
      <c r="H74" t="str">
        <f>Data_preprocessing!V74</f>
        <v>F</v>
      </c>
      <c r="I74" t="str">
        <f>Data_preprocessing!Y74</f>
        <v>user@domain.com</v>
      </c>
      <c r="J74" t="str">
        <f>Data_preprocessing!Z74</f>
        <v>098-765-4321</v>
      </c>
      <c r="K74">
        <f t="shared" ca="1" si="3"/>
        <v>5</v>
      </c>
      <c r="L74" t="str">
        <f t="shared" si="4"/>
        <v>Low</v>
      </c>
      <c r="M74" t="str">
        <f t="shared" si="5"/>
        <v>Poor</v>
      </c>
    </row>
    <row r="75" spans="1:13" x14ac:dyDescent="0.25">
      <c r="A75" t="str">
        <f>Data_preprocessing!M75</f>
        <v>Eve</v>
      </c>
      <c r="B75">
        <f>Data_preprocessing!O75</f>
        <v>40</v>
      </c>
      <c r="C75">
        <f>Data_preprocessing!Q75</f>
        <v>60000</v>
      </c>
      <c r="D75" t="str">
        <f>Data_preprocessing!R75</f>
        <v>Female</v>
      </c>
      <c r="E75" t="str">
        <f>Data_preprocessing!S75</f>
        <v>Finance</v>
      </c>
      <c r="F75" t="str">
        <f>Data_preprocessing!T75</f>
        <v>Director</v>
      </c>
      <c r="G75" s="2">
        <f>Data_preprocessing!U75</f>
        <v>43549</v>
      </c>
      <c r="H75" t="str">
        <f>Data_preprocessing!V75</f>
        <v>C</v>
      </c>
      <c r="I75" t="str">
        <f>Data_preprocessing!Y75</f>
        <v>Email not provided</v>
      </c>
      <c r="J75" t="str">
        <f>Data_preprocessing!Z75</f>
        <v>123-456-7890</v>
      </c>
      <c r="K75">
        <f t="shared" ca="1" si="3"/>
        <v>6</v>
      </c>
      <c r="L75" t="str">
        <f t="shared" si="4"/>
        <v>Medium</v>
      </c>
      <c r="M75" t="str">
        <f t="shared" si="5"/>
        <v>Average</v>
      </c>
    </row>
    <row r="76" spans="1:13" x14ac:dyDescent="0.25">
      <c r="A76" t="str">
        <f>Data_preprocessing!M76</f>
        <v>Hannah</v>
      </c>
      <c r="B76">
        <f>Data_preprocessing!O76</f>
        <v>25</v>
      </c>
      <c r="C76">
        <f>Data_preprocessing!Q76</f>
        <v>70000</v>
      </c>
      <c r="D76" t="str">
        <f>Data_preprocessing!R76</f>
        <v>Other</v>
      </c>
      <c r="E76" t="str">
        <f>Data_preprocessing!S76</f>
        <v>HR</v>
      </c>
      <c r="F76" t="str">
        <f>Data_preprocessing!T76</f>
        <v>Analyst</v>
      </c>
      <c r="G76" s="2">
        <f>Data_preprocessing!U76</f>
        <v>43800</v>
      </c>
      <c r="H76" t="str">
        <f>Data_preprocessing!V76</f>
        <v>F</v>
      </c>
      <c r="I76" t="str">
        <f>Data_preprocessing!Y76</f>
        <v>user@domain.com</v>
      </c>
      <c r="J76" t="str">
        <f>Data_preprocessing!Z76</f>
        <v>098-765-4321</v>
      </c>
      <c r="K76">
        <f t="shared" ca="1" si="3"/>
        <v>6</v>
      </c>
      <c r="L76" t="str">
        <f t="shared" si="4"/>
        <v>High</v>
      </c>
      <c r="M76" t="str">
        <f t="shared" si="5"/>
        <v>Poor</v>
      </c>
    </row>
    <row r="77" spans="1:13" x14ac:dyDescent="0.25">
      <c r="A77" t="str">
        <f>Data_preprocessing!M77</f>
        <v>Jack</v>
      </c>
      <c r="B77">
        <f>Data_preprocessing!O77</f>
        <v>25</v>
      </c>
      <c r="C77">
        <f>Data_preprocessing!Q77</f>
        <v>55000</v>
      </c>
      <c r="D77" t="str">
        <f>Data_preprocessing!R77</f>
        <v>Other</v>
      </c>
      <c r="E77" t="str">
        <f>Data_preprocessing!S77</f>
        <v>HR</v>
      </c>
      <c r="F77" t="str">
        <f>Data_preprocessing!T77</f>
        <v>Director</v>
      </c>
      <c r="G77" s="2">
        <f>Data_preprocessing!U77</f>
        <v>43195</v>
      </c>
      <c r="H77" t="str">
        <f>Data_preprocessing!V77</f>
        <v>B</v>
      </c>
      <c r="I77" t="str">
        <f>Data_preprocessing!Y77</f>
        <v>Email not provided</v>
      </c>
      <c r="J77" t="str">
        <f>Data_preprocessing!Z77</f>
        <v>098-765-4321</v>
      </c>
      <c r="K77">
        <f t="shared" ca="1" si="3"/>
        <v>7</v>
      </c>
      <c r="L77" t="str">
        <f t="shared" si="4"/>
        <v>Low</v>
      </c>
      <c r="M77" t="str">
        <f t="shared" si="5"/>
        <v>Good</v>
      </c>
    </row>
    <row r="78" spans="1:13" x14ac:dyDescent="0.25">
      <c r="A78" t="str">
        <f>Data_preprocessing!M78</f>
        <v>Ivy</v>
      </c>
      <c r="B78">
        <f>Data_preprocessing!O78</f>
        <v>35</v>
      </c>
      <c r="C78">
        <f>Data_preprocessing!Q78</f>
        <v>55000</v>
      </c>
      <c r="D78" t="str">
        <f>Data_preprocessing!R78</f>
        <v>Other</v>
      </c>
      <c r="E78" t="str">
        <f>Data_preprocessing!S78</f>
        <v>Sales</v>
      </c>
      <c r="F78" t="str">
        <f>Data_preprocessing!T78</f>
        <v>Clerk</v>
      </c>
      <c r="G78" s="2">
        <f>Data_preprocessing!U78</f>
        <v>43195</v>
      </c>
      <c r="H78" t="str">
        <f>Data_preprocessing!V78</f>
        <v>D</v>
      </c>
      <c r="I78" t="str">
        <f>Data_preprocessing!Y78</f>
        <v>Email not provided</v>
      </c>
      <c r="J78" t="str">
        <f>Data_preprocessing!Z78</f>
        <v>098-765-4321</v>
      </c>
      <c r="K78">
        <f t="shared" ca="1" si="3"/>
        <v>7</v>
      </c>
      <c r="L78" t="str">
        <f t="shared" si="4"/>
        <v>Low</v>
      </c>
      <c r="M78" t="str">
        <f t="shared" si="5"/>
        <v>Below Average</v>
      </c>
    </row>
    <row r="79" spans="1:13" x14ac:dyDescent="0.25">
      <c r="A79" t="str">
        <f>Data_preprocessing!M79</f>
        <v>Ivy</v>
      </c>
      <c r="B79">
        <f>Data_preprocessing!O79</f>
        <v>25</v>
      </c>
      <c r="C79">
        <f>Data_preprocessing!Q79</f>
        <v>60000</v>
      </c>
      <c r="D79" t="str">
        <f>Data_preprocessing!R79</f>
        <v>Male</v>
      </c>
      <c r="E79" t="str">
        <f>Data_preprocessing!S79</f>
        <v>HR</v>
      </c>
      <c r="F79" t="str">
        <f>Data_preprocessing!T79</f>
        <v>Director</v>
      </c>
      <c r="G79" s="2">
        <f>Data_preprocessing!U79</f>
        <v>43549</v>
      </c>
      <c r="H79" t="str">
        <f>Data_preprocessing!V79</f>
        <v>D</v>
      </c>
      <c r="I79" t="str">
        <f>Data_preprocessing!Y79</f>
        <v>name@company.org</v>
      </c>
      <c r="J79" t="str">
        <f>Data_preprocessing!Z79</f>
        <v>098-765-4321</v>
      </c>
      <c r="K79">
        <f t="shared" ca="1" si="3"/>
        <v>6</v>
      </c>
      <c r="L79" t="str">
        <f t="shared" si="4"/>
        <v>Medium</v>
      </c>
      <c r="M79" t="str">
        <f t="shared" si="5"/>
        <v>Below Average</v>
      </c>
    </row>
    <row r="80" spans="1:13" x14ac:dyDescent="0.25">
      <c r="A80" t="str">
        <f>Data_preprocessing!M80</f>
        <v>Alice</v>
      </c>
      <c r="B80">
        <f>Data_preprocessing!O80</f>
        <v>25</v>
      </c>
      <c r="C80">
        <f>Data_preprocessing!Q80</f>
        <v>65000</v>
      </c>
      <c r="D80" t="str">
        <f>Data_preprocessing!R80</f>
        <v>Male</v>
      </c>
      <c r="E80" t="str">
        <f>Data_preprocessing!S80</f>
        <v>Finance</v>
      </c>
      <c r="F80" t="str">
        <f>Data_preprocessing!T80</f>
        <v>Director</v>
      </c>
      <c r="G80" s="2">
        <f>Data_preprocessing!U80</f>
        <v>43195</v>
      </c>
      <c r="H80" t="str">
        <f>Data_preprocessing!V80</f>
        <v>D</v>
      </c>
      <c r="I80" t="str">
        <f>Data_preprocessing!Y80</f>
        <v>user@domain.com</v>
      </c>
      <c r="J80" t="str">
        <f>Data_preprocessing!Z80</f>
        <v>123-456-7890</v>
      </c>
      <c r="K80">
        <f t="shared" ca="1" si="3"/>
        <v>7</v>
      </c>
      <c r="L80" t="str">
        <f t="shared" si="4"/>
        <v>High</v>
      </c>
      <c r="M80" t="str">
        <f t="shared" si="5"/>
        <v>Below Average</v>
      </c>
    </row>
    <row r="81" spans="1:13" x14ac:dyDescent="0.25">
      <c r="A81" t="str">
        <f>Data_preprocessing!M81</f>
        <v>Ivy</v>
      </c>
      <c r="B81">
        <f>Data_preprocessing!O81</f>
        <v>35</v>
      </c>
      <c r="C81">
        <f>Data_preprocessing!Q81</f>
        <v>70000</v>
      </c>
      <c r="D81" t="str">
        <f>Data_preprocessing!R81</f>
        <v>Female</v>
      </c>
      <c r="E81" t="str">
        <f>Data_preprocessing!S81</f>
        <v>Marketing</v>
      </c>
      <c r="F81" t="str">
        <f>Data_preprocessing!T81</f>
        <v>Manager</v>
      </c>
      <c r="G81" s="2">
        <f>Data_preprocessing!U81</f>
        <v>43800</v>
      </c>
      <c r="H81" t="str">
        <f>Data_preprocessing!V81</f>
        <v>D</v>
      </c>
      <c r="I81" t="str">
        <f>Data_preprocessing!Y81</f>
        <v>user@domain.com</v>
      </c>
      <c r="J81" t="str">
        <f>Data_preprocessing!Z81</f>
        <v>555-555-5555</v>
      </c>
      <c r="K81">
        <f t="shared" ca="1" si="3"/>
        <v>6</v>
      </c>
      <c r="L81" t="str">
        <f t="shared" si="4"/>
        <v>High</v>
      </c>
      <c r="M81" t="str">
        <f t="shared" si="5"/>
        <v>Below Average</v>
      </c>
    </row>
    <row r="82" spans="1:13" x14ac:dyDescent="0.25">
      <c r="A82" t="str">
        <f>Data_preprocessing!M82</f>
        <v>Grace</v>
      </c>
      <c r="B82">
        <f>Data_preprocessing!O82</f>
        <v>50</v>
      </c>
      <c r="C82">
        <f>Data_preprocessing!Q82</f>
        <v>70000</v>
      </c>
      <c r="D82" t="str">
        <f>Data_preprocessing!R82</f>
        <v>Female</v>
      </c>
      <c r="E82" t="str">
        <f>Data_preprocessing!S82</f>
        <v>Marketing</v>
      </c>
      <c r="F82" t="str">
        <f>Data_preprocessing!T82</f>
        <v>Clerk</v>
      </c>
      <c r="G82" s="2">
        <f>Data_preprocessing!U82</f>
        <v>43195</v>
      </c>
      <c r="H82" t="str">
        <f>Data_preprocessing!V82</f>
        <v>C</v>
      </c>
      <c r="I82" t="str">
        <f>Data_preprocessing!Y82</f>
        <v>Email not provided</v>
      </c>
      <c r="J82" t="str">
        <f>Data_preprocessing!Z82</f>
        <v>098-765-4321</v>
      </c>
      <c r="K82">
        <f t="shared" ca="1" si="3"/>
        <v>7</v>
      </c>
      <c r="L82" t="str">
        <f t="shared" si="4"/>
        <v>High</v>
      </c>
      <c r="M82" t="str">
        <f t="shared" si="5"/>
        <v>Average</v>
      </c>
    </row>
    <row r="83" spans="1:13" x14ac:dyDescent="0.25">
      <c r="A83" t="str">
        <f>Data_preprocessing!M83</f>
        <v>Ivy</v>
      </c>
      <c r="B83">
        <f>Data_preprocessing!O83</f>
        <v>50</v>
      </c>
      <c r="C83">
        <f>Data_preprocessing!Q83</f>
        <v>55000</v>
      </c>
      <c r="D83" t="str">
        <f>Data_preprocessing!R83</f>
        <v>Other</v>
      </c>
      <c r="E83" t="str">
        <f>Data_preprocessing!S83</f>
        <v>Sales</v>
      </c>
      <c r="F83" t="str">
        <f>Data_preprocessing!T83</f>
        <v>Assistant</v>
      </c>
      <c r="G83" s="2">
        <f>Data_preprocessing!U83</f>
        <v>43800</v>
      </c>
      <c r="H83" t="str">
        <f>Data_preprocessing!V83</f>
        <v>F</v>
      </c>
      <c r="I83" t="str">
        <f>Data_preprocessing!Y83</f>
        <v>Email not provided</v>
      </c>
      <c r="J83" t="str">
        <f>Data_preprocessing!Z83</f>
        <v>Phone not provided</v>
      </c>
      <c r="K83">
        <f t="shared" ca="1" si="3"/>
        <v>6</v>
      </c>
      <c r="L83" t="str">
        <f t="shared" si="4"/>
        <v>Low</v>
      </c>
      <c r="M83" t="str">
        <f t="shared" si="5"/>
        <v>Poor</v>
      </c>
    </row>
    <row r="84" spans="1:13" x14ac:dyDescent="0.25">
      <c r="A84" t="str">
        <f>Data_preprocessing!M84</f>
        <v>Hannah</v>
      </c>
      <c r="B84">
        <f>Data_preprocessing!O84</f>
        <v>35</v>
      </c>
      <c r="C84">
        <f>Data_preprocessing!Q84</f>
        <v>50000</v>
      </c>
      <c r="D84" t="str">
        <f>Data_preprocessing!R84</f>
        <v>Other</v>
      </c>
      <c r="E84" t="str">
        <f>Data_preprocessing!S84</f>
        <v>Finance</v>
      </c>
      <c r="F84" t="str">
        <f>Data_preprocessing!T84</f>
        <v>Manager</v>
      </c>
      <c r="G84" s="2">
        <f>Data_preprocessing!U84</f>
        <v>43881</v>
      </c>
      <c r="H84" t="str">
        <f>Data_preprocessing!V84</f>
        <v>D</v>
      </c>
      <c r="I84" t="str">
        <f>Data_preprocessing!Y84</f>
        <v>email@example.com</v>
      </c>
      <c r="J84" t="str">
        <f>Data_preprocessing!Z84</f>
        <v>Phone not provided</v>
      </c>
      <c r="K84">
        <f t="shared" ca="1" si="3"/>
        <v>5</v>
      </c>
      <c r="L84" t="str">
        <f t="shared" si="4"/>
        <v>Low</v>
      </c>
      <c r="M84" t="str">
        <f t="shared" si="5"/>
        <v>Below Average</v>
      </c>
    </row>
    <row r="85" spans="1:13" x14ac:dyDescent="0.25">
      <c r="A85" t="str">
        <f>Data_preprocessing!M85</f>
        <v>Alice</v>
      </c>
      <c r="B85">
        <f>Data_preprocessing!O85</f>
        <v>40</v>
      </c>
      <c r="C85">
        <f>Data_preprocessing!Q85</f>
        <v>65000</v>
      </c>
      <c r="D85" t="str">
        <f>Data_preprocessing!R85</f>
        <v>Other</v>
      </c>
      <c r="E85" t="str">
        <f>Data_preprocessing!S85</f>
        <v>Finance</v>
      </c>
      <c r="F85" t="str">
        <f>Data_preprocessing!T85</f>
        <v>Assistant</v>
      </c>
      <c r="G85" s="2">
        <f>Data_preprocessing!U85</f>
        <v>43800</v>
      </c>
      <c r="H85" t="str">
        <f>Data_preprocessing!V85</f>
        <v>A</v>
      </c>
      <c r="I85" t="str">
        <f>Data_preprocessing!Y85</f>
        <v>email@example.com</v>
      </c>
      <c r="J85" t="str">
        <f>Data_preprocessing!Z85</f>
        <v>Phone not provided</v>
      </c>
      <c r="K85">
        <f t="shared" ca="1" si="3"/>
        <v>6</v>
      </c>
      <c r="L85" t="str">
        <f t="shared" si="4"/>
        <v>High</v>
      </c>
      <c r="M85" t="str">
        <f t="shared" si="5"/>
        <v>Excellent</v>
      </c>
    </row>
    <row r="86" spans="1:13" x14ac:dyDescent="0.25">
      <c r="A86" t="str">
        <f>Data_preprocessing!M86</f>
        <v>Hannah</v>
      </c>
      <c r="B86">
        <f>Data_preprocessing!O86</f>
        <v>25</v>
      </c>
      <c r="C86">
        <f>Data_preprocessing!Q86</f>
        <v>70000</v>
      </c>
      <c r="D86" t="str">
        <f>Data_preprocessing!R86</f>
        <v>Female</v>
      </c>
      <c r="E86" t="str">
        <f>Data_preprocessing!S86</f>
        <v>HR</v>
      </c>
      <c r="F86" t="str">
        <f>Data_preprocessing!T86</f>
        <v>Analyst</v>
      </c>
      <c r="G86" s="2">
        <f>Data_preprocessing!U86</f>
        <v>43845</v>
      </c>
      <c r="H86" t="str">
        <f>Data_preprocessing!V86</f>
        <v>D</v>
      </c>
      <c r="I86" t="str">
        <f>Data_preprocessing!Y86</f>
        <v>email@example.com</v>
      </c>
      <c r="J86" t="str">
        <f>Data_preprocessing!Z86</f>
        <v>Phone not provided</v>
      </c>
      <c r="K86">
        <f t="shared" ca="1" si="3"/>
        <v>6</v>
      </c>
      <c r="L86" t="str">
        <f t="shared" si="4"/>
        <v>High</v>
      </c>
      <c r="M86" t="str">
        <f t="shared" si="5"/>
        <v>Below Average</v>
      </c>
    </row>
    <row r="87" spans="1:13" x14ac:dyDescent="0.25">
      <c r="A87" t="str">
        <f>Data_preprocessing!M87</f>
        <v>Hannah</v>
      </c>
      <c r="B87">
        <f>Data_preprocessing!O87</f>
        <v>25</v>
      </c>
      <c r="C87">
        <f>Data_preprocessing!Q87</f>
        <v>55000</v>
      </c>
      <c r="D87" t="str">
        <f>Data_preprocessing!R87</f>
        <v>Male</v>
      </c>
      <c r="E87" t="str">
        <f>Data_preprocessing!S87</f>
        <v>Finance</v>
      </c>
      <c r="F87" t="str">
        <f>Data_preprocessing!T87</f>
        <v>Assistant</v>
      </c>
      <c r="G87" s="2">
        <f>Data_preprocessing!U87</f>
        <v>43845</v>
      </c>
      <c r="H87" t="str">
        <f>Data_preprocessing!V87</f>
        <v>F</v>
      </c>
      <c r="I87" t="str">
        <f>Data_preprocessing!Y87</f>
        <v>Email not provided</v>
      </c>
      <c r="J87" t="str">
        <f>Data_preprocessing!Z87</f>
        <v>098-765-4321</v>
      </c>
      <c r="K87">
        <f t="shared" ca="1" si="3"/>
        <v>6</v>
      </c>
      <c r="L87" t="str">
        <f t="shared" si="4"/>
        <v>Low</v>
      </c>
      <c r="M87" t="str">
        <f t="shared" si="5"/>
        <v>Poor</v>
      </c>
    </row>
    <row r="88" spans="1:13" x14ac:dyDescent="0.25">
      <c r="A88" t="str">
        <f>Data_preprocessing!M88</f>
        <v>Charlie</v>
      </c>
      <c r="B88">
        <f>Data_preprocessing!O88</f>
        <v>40</v>
      </c>
      <c r="C88">
        <f>Data_preprocessing!Q88</f>
        <v>70000</v>
      </c>
      <c r="D88" t="str">
        <f>Data_preprocessing!R88</f>
        <v>Male</v>
      </c>
      <c r="E88" t="str">
        <f>Data_preprocessing!S88</f>
        <v>IT</v>
      </c>
      <c r="F88" t="str">
        <f>Data_preprocessing!T88</f>
        <v>Director</v>
      </c>
      <c r="G88" s="2">
        <f>Data_preprocessing!U88</f>
        <v>43845</v>
      </c>
      <c r="H88" t="str">
        <f>Data_preprocessing!V88</f>
        <v>D</v>
      </c>
      <c r="I88" t="str">
        <f>Data_preprocessing!Y88</f>
        <v>email@example.com</v>
      </c>
      <c r="J88" t="str">
        <f>Data_preprocessing!Z88</f>
        <v>123-456-7890</v>
      </c>
      <c r="K88">
        <f t="shared" ca="1" si="3"/>
        <v>6</v>
      </c>
      <c r="L88" t="str">
        <f t="shared" si="4"/>
        <v>High</v>
      </c>
      <c r="M88" t="str">
        <f t="shared" si="5"/>
        <v>Below Average</v>
      </c>
    </row>
    <row r="89" spans="1:13" x14ac:dyDescent="0.25">
      <c r="A89" t="str">
        <f>Data_preprocessing!M89</f>
        <v>Alice</v>
      </c>
      <c r="B89">
        <f>Data_preprocessing!O89</f>
        <v>50</v>
      </c>
      <c r="C89">
        <f>Data_preprocessing!Q89</f>
        <v>65000</v>
      </c>
      <c r="D89" t="str">
        <f>Data_preprocessing!R89</f>
        <v>Other</v>
      </c>
      <c r="E89" t="str">
        <f>Data_preprocessing!S89</f>
        <v>HR</v>
      </c>
      <c r="F89" t="str">
        <f>Data_preprocessing!T89</f>
        <v>Assistant</v>
      </c>
      <c r="G89" s="2">
        <f>Data_preprocessing!U89</f>
        <v>43549</v>
      </c>
      <c r="H89" t="str">
        <f>Data_preprocessing!V89</f>
        <v>C</v>
      </c>
      <c r="I89" t="str">
        <f>Data_preprocessing!Y89</f>
        <v>email@example.com</v>
      </c>
      <c r="J89" t="str">
        <f>Data_preprocessing!Z89</f>
        <v>555-555-5555</v>
      </c>
      <c r="K89">
        <f t="shared" ca="1" si="3"/>
        <v>6</v>
      </c>
      <c r="L89" t="str">
        <f t="shared" si="4"/>
        <v>High</v>
      </c>
      <c r="M89" t="str">
        <f t="shared" si="5"/>
        <v>Average</v>
      </c>
    </row>
    <row r="90" spans="1:13" x14ac:dyDescent="0.25">
      <c r="A90" t="str">
        <f>Data_preprocessing!M90</f>
        <v>Hannah</v>
      </c>
      <c r="B90">
        <f>Data_preprocessing!O90</f>
        <v>35</v>
      </c>
      <c r="C90">
        <f>Data_preprocessing!Q90</f>
        <v>65000</v>
      </c>
      <c r="D90" t="str">
        <f>Data_preprocessing!R90</f>
        <v>Other</v>
      </c>
      <c r="E90" t="str">
        <f>Data_preprocessing!S90</f>
        <v>IT</v>
      </c>
      <c r="F90" t="str">
        <f>Data_preprocessing!T90</f>
        <v>Manager</v>
      </c>
      <c r="G90" s="2">
        <f>Data_preprocessing!U90</f>
        <v>43549</v>
      </c>
      <c r="H90" t="str">
        <f>Data_preprocessing!V90</f>
        <v>B</v>
      </c>
      <c r="I90" t="str">
        <f>Data_preprocessing!Y90</f>
        <v>name@company.org</v>
      </c>
      <c r="J90" t="str">
        <f>Data_preprocessing!Z90</f>
        <v>Phone not provided</v>
      </c>
      <c r="K90">
        <f t="shared" ca="1" si="3"/>
        <v>6</v>
      </c>
      <c r="L90" t="str">
        <f t="shared" si="4"/>
        <v>High</v>
      </c>
      <c r="M90" t="str">
        <f t="shared" si="5"/>
        <v>Good</v>
      </c>
    </row>
    <row r="91" spans="1:13" x14ac:dyDescent="0.25">
      <c r="A91" t="str">
        <f>Data_preprocessing!M91</f>
        <v>Charlie</v>
      </c>
      <c r="B91">
        <f>Data_preprocessing!O91</f>
        <v>35</v>
      </c>
      <c r="C91">
        <f>Data_preprocessing!Q91</f>
        <v>60000</v>
      </c>
      <c r="D91" t="str">
        <f>Data_preprocessing!R91</f>
        <v>Other</v>
      </c>
      <c r="E91" t="str">
        <f>Data_preprocessing!S91</f>
        <v>Sales</v>
      </c>
      <c r="F91" t="str">
        <f>Data_preprocessing!T91</f>
        <v>Manager</v>
      </c>
      <c r="G91" s="2">
        <f>Data_preprocessing!U91</f>
        <v>43549</v>
      </c>
      <c r="H91" t="str">
        <f>Data_preprocessing!V91</f>
        <v>B</v>
      </c>
      <c r="I91" t="str">
        <f>Data_preprocessing!Y91</f>
        <v>email@example.com</v>
      </c>
      <c r="J91" t="str">
        <f>Data_preprocessing!Z91</f>
        <v>555-555-5555</v>
      </c>
      <c r="K91">
        <f t="shared" ca="1" si="3"/>
        <v>6</v>
      </c>
      <c r="L91" t="str">
        <f t="shared" si="4"/>
        <v>Medium</v>
      </c>
      <c r="M91" t="str">
        <f t="shared" si="5"/>
        <v>Good</v>
      </c>
    </row>
    <row r="92" spans="1:13" x14ac:dyDescent="0.25">
      <c r="A92" t="str">
        <f>Data_preprocessing!M92</f>
        <v>Charlie</v>
      </c>
      <c r="B92">
        <f>Data_preprocessing!O92</f>
        <v>35</v>
      </c>
      <c r="C92">
        <f>Data_preprocessing!Q92</f>
        <v>60000</v>
      </c>
      <c r="D92" t="str">
        <f>Data_preprocessing!R92</f>
        <v>Other</v>
      </c>
      <c r="E92" t="str">
        <f>Data_preprocessing!S92</f>
        <v>Marketing</v>
      </c>
      <c r="F92" t="str">
        <f>Data_preprocessing!T92</f>
        <v>Assistant</v>
      </c>
      <c r="G92" s="2">
        <f>Data_preprocessing!U92</f>
        <v>43800</v>
      </c>
      <c r="H92" t="str">
        <f>Data_preprocessing!V92</f>
        <v>F</v>
      </c>
      <c r="I92" t="str">
        <f>Data_preprocessing!Y92</f>
        <v>user@domain.com</v>
      </c>
      <c r="J92" t="str">
        <f>Data_preprocessing!Z92</f>
        <v>123-456-7890</v>
      </c>
      <c r="K92">
        <f t="shared" ca="1" si="3"/>
        <v>6</v>
      </c>
      <c r="L92" t="str">
        <f t="shared" si="4"/>
        <v>Medium</v>
      </c>
      <c r="M92" t="str">
        <f t="shared" si="5"/>
        <v>Poor</v>
      </c>
    </row>
    <row r="93" spans="1:13" x14ac:dyDescent="0.25">
      <c r="A93" t="str">
        <f>Data_preprocessing!M93</f>
        <v>Alice</v>
      </c>
      <c r="B93">
        <f>Data_preprocessing!O93</f>
        <v>50</v>
      </c>
      <c r="C93">
        <f>Data_preprocessing!Q93</f>
        <v>60000</v>
      </c>
      <c r="D93" t="str">
        <f>Data_preprocessing!R93</f>
        <v>Female</v>
      </c>
      <c r="E93" t="str">
        <f>Data_preprocessing!S93</f>
        <v>Sales</v>
      </c>
      <c r="F93" t="str">
        <f>Data_preprocessing!T93</f>
        <v>Manager</v>
      </c>
      <c r="G93" s="2">
        <f>Data_preprocessing!U93</f>
        <v>43549</v>
      </c>
      <c r="H93" t="str">
        <f>Data_preprocessing!V93</f>
        <v>B</v>
      </c>
      <c r="I93" t="str">
        <f>Data_preprocessing!Y93</f>
        <v>Email not provided</v>
      </c>
      <c r="J93" t="str">
        <f>Data_preprocessing!Z93</f>
        <v>Phone not provided</v>
      </c>
      <c r="K93">
        <f t="shared" ca="1" si="3"/>
        <v>6</v>
      </c>
      <c r="L93" t="str">
        <f t="shared" si="4"/>
        <v>Medium</v>
      </c>
      <c r="M93" t="str">
        <f t="shared" si="5"/>
        <v>Good</v>
      </c>
    </row>
    <row r="94" spans="1:13" x14ac:dyDescent="0.25">
      <c r="A94" t="str">
        <f>Data_preprocessing!M94</f>
        <v>Eve</v>
      </c>
      <c r="B94">
        <f>Data_preprocessing!O94</f>
        <v>50</v>
      </c>
      <c r="C94">
        <f>Data_preprocessing!Q94</f>
        <v>55000</v>
      </c>
      <c r="D94" t="str">
        <f>Data_preprocessing!R94</f>
        <v>Male</v>
      </c>
      <c r="E94" t="str">
        <f>Data_preprocessing!S94</f>
        <v>Marketing</v>
      </c>
      <c r="F94" t="str">
        <f>Data_preprocessing!T94</f>
        <v>Manager</v>
      </c>
      <c r="G94" s="2">
        <f>Data_preprocessing!U94</f>
        <v>43881</v>
      </c>
      <c r="H94" t="str">
        <f>Data_preprocessing!V94</f>
        <v>B</v>
      </c>
      <c r="I94" t="str">
        <f>Data_preprocessing!Y94</f>
        <v>Email not provided</v>
      </c>
      <c r="J94" t="str">
        <f>Data_preprocessing!Z94</f>
        <v>555-555-5555</v>
      </c>
      <c r="K94">
        <f t="shared" ca="1" si="3"/>
        <v>5</v>
      </c>
      <c r="L94" t="str">
        <f t="shared" si="4"/>
        <v>Low</v>
      </c>
      <c r="M94" t="str">
        <f t="shared" si="5"/>
        <v>Good</v>
      </c>
    </row>
    <row r="95" spans="1:13" x14ac:dyDescent="0.25">
      <c r="A95" t="str">
        <f>Data_preprocessing!M95</f>
        <v>Jack</v>
      </c>
      <c r="B95">
        <f>Data_preprocessing!O95</f>
        <v>40</v>
      </c>
      <c r="C95">
        <f>Data_preprocessing!Q95</f>
        <v>65000</v>
      </c>
      <c r="D95" t="str">
        <f>Data_preprocessing!R95</f>
        <v>Other</v>
      </c>
      <c r="E95" t="str">
        <f>Data_preprocessing!S95</f>
        <v>Sales</v>
      </c>
      <c r="F95" t="str">
        <f>Data_preprocessing!T95</f>
        <v>Assistant</v>
      </c>
      <c r="G95" s="2">
        <f>Data_preprocessing!U95</f>
        <v>43845</v>
      </c>
      <c r="H95" t="str">
        <f>Data_preprocessing!V95</f>
        <v>A</v>
      </c>
      <c r="I95" t="str">
        <f>Data_preprocessing!Y95</f>
        <v>name@company.org</v>
      </c>
      <c r="J95" t="str">
        <f>Data_preprocessing!Z95</f>
        <v>123-456-7890</v>
      </c>
      <c r="K95">
        <f t="shared" ca="1" si="3"/>
        <v>6</v>
      </c>
      <c r="L95" t="str">
        <f t="shared" si="4"/>
        <v>High</v>
      </c>
      <c r="M95" t="str">
        <f t="shared" si="5"/>
        <v>Excellent</v>
      </c>
    </row>
    <row r="96" spans="1:13" x14ac:dyDescent="0.25">
      <c r="A96" t="str">
        <f>Data_preprocessing!M96</f>
        <v>Grace</v>
      </c>
      <c r="B96">
        <f>Data_preprocessing!O96</f>
        <v>25</v>
      </c>
      <c r="C96">
        <f>Data_preprocessing!Q96</f>
        <v>60000</v>
      </c>
      <c r="D96" t="str">
        <f>Data_preprocessing!R96</f>
        <v>Female</v>
      </c>
      <c r="E96" t="str">
        <f>Data_preprocessing!S96</f>
        <v>Finance</v>
      </c>
      <c r="F96" t="str">
        <f>Data_preprocessing!T96</f>
        <v>Clerk</v>
      </c>
      <c r="G96" s="2">
        <f>Data_preprocessing!U96</f>
        <v>43800</v>
      </c>
      <c r="H96" t="str">
        <f>Data_preprocessing!V96</f>
        <v>F</v>
      </c>
      <c r="I96" t="str">
        <f>Data_preprocessing!Y96</f>
        <v>Email not provided</v>
      </c>
      <c r="J96" t="str">
        <f>Data_preprocessing!Z96</f>
        <v>555-555-5555</v>
      </c>
      <c r="K96">
        <f t="shared" ca="1" si="3"/>
        <v>6</v>
      </c>
      <c r="L96" t="str">
        <f t="shared" si="4"/>
        <v>Medium</v>
      </c>
      <c r="M96" t="str">
        <f t="shared" si="5"/>
        <v>Poor</v>
      </c>
    </row>
    <row r="97" spans="1:13" x14ac:dyDescent="0.25">
      <c r="A97" t="str">
        <f>Data_preprocessing!M97</f>
        <v>Jack</v>
      </c>
      <c r="B97">
        <f>Data_preprocessing!O97</f>
        <v>40</v>
      </c>
      <c r="C97">
        <f>Data_preprocessing!Q97</f>
        <v>60000</v>
      </c>
      <c r="D97" t="str">
        <f>Data_preprocessing!R97</f>
        <v>Other</v>
      </c>
      <c r="E97" t="str">
        <f>Data_preprocessing!S97</f>
        <v>IT</v>
      </c>
      <c r="F97" t="str">
        <f>Data_preprocessing!T97</f>
        <v>Clerk</v>
      </c>
      <c r="G97" s="2">
        <f>Data_preprocessing!U97</f>
        <v>43845</v>
      </c>
      <c r="H97" t="str">
        <f>Data_preprocessing!V97</f>
        <v>F</v>
      </c>
      <c r="I97" t="str">
        <f>Data_preprocessing!Y97</f>
        <v>Email not provided</v>
      </c>
      <c r="J97" t="str">
        <f>Data_preprocessing!Z97</f>
        <v>098-765-4321</v>
      </c>
      <c r="K97">
        <f t="shared" ca="1" si="3"/>
        <v>6</v>
      </c>
      <c r="L97" t="str">
        <f t="shared" si="4"/>
        <v>Medium</v>
      </c>
      <c r="M97" t="str">
        <f t="shared" si="5"/>
        <v>Poor</v>
      </c>
    </row>
    <row r="98" spans="1:13" x14ac:dyDescent="0.25">
      <c r="A98" t="str">
        <f>Data_preprocessing!M98</f>
        <v>Ivy</v>
      </c>
      <c r="B98">
        <f>Data_preprocessing!O98</f>
        <v>40</v>
      </c>
      <c r="C98">
        <f>Data_preprocessing!Q98</f>
        <v>70000</v>
      </c>
      <c r="D98" t="str">
        <f>Data_preprocessing!R98</f>
        <v>Other</v>
      </c>
      <c r="E98" t="str">
        <f>Data_preprocessing!S98</f>
        <v>Marketing</v>
      </c>
      <c r="F98" t="str">
        <f>Data_preprocessing!T98</f>
        <v>Analyst</v>
      </c>
      <c r="G98" s="2">
        <f>Data_preprocessing!U98</f>
        <v>43549</v>
      </c>
      <c r="H98" t="str">
        <f>Data_preprocessing!V98</f>
        <v>B</v>
      </c>
      <c r="I98" t="str">
        <f>Data_preprocessing!Y98</f>
        <v>user@domain.com</v>
      </c>
      <c r="J98" t="str">
        <f>Data_preprocessing!Z98</f>
        <v>123-456-7890</v>
      </c>
      <c r="K98">
        <f t="shared" ca="1" si="3"/>
        <v>6</v>
      </c>
      <c r="L98" t="str">
        <f t="shared" si="4"/>
        <v>High</v>
      </c>
      <c r="M98" t="str">
        <f t="shared" si="5"/>
        <v>Good</v>
      </c>
    </row>
    <row r="99" spans="1:13" x14ac:dyDescent="0.25">
      <c r="A99" t="str">
        <f>Data_preprocessing!M99</f>
        <v>Grace</v>
      </c>
      <c r="B99">
        <f>Data_preprocessing!O99</f>
        <v>50</v>
      </c>
      <c r="C99">
        <f>Data_preprocessing!Q99</f>
        <v>70000</v>
      </c>
      <c r="D99" t="str">
        <f>Data_preprocessing!R99</f>
        <v>Male</v>
      </c>
      <c r="E99" t="str">
        <f>Data_preprocessing!S99</f>
        <v>HR</v>
      </c>
      <c r="F99" t="str">
        <f>Data_preprocessing!T99</f>
        <v>Manager</v>
      </c>
      <c r="G99" s="2">
        <f>Data_preprocessing!U99</f>
        <v>43800</v>
      </c>
      <c r="H99" t="str">
        <f>Data_preprocessing!V99</f>
        <v>B</v>
      </c>
      <c r="I99" t="str">
        <f>Data_preprocessing!Y99</f>
        <v>email@example.com</v>
      </c>
      <c r="J99" t="str">
        <f>Data_preprocessing!Z99</f>
        <v>555-555-5555</v>
      </c>
      <c r="K99">
        <f t="shared" ca="1" si="3"/>
        <v>6</v>
      </c>
      <c r="L99" t="str">
        <f t="shared" si="4"/>
        <v>High</v>
      </c>
      <c r="M99" t="str">
        <f t="shared" si="5"/>
        <v>Good</v>
      </c>
    </row>
    <row r="100" spans="1:13" x14ac:dyDescent="0.25">
      <c r="A100" t="str">
        <f>Data_preprocessing!M100</f>
        <v>Ivy</v>
      </c>
      <c r="B100">
        <f>Data_preprocessing!O100</f>
        <v>35</v>
      </c>
      <c r="C100">
        <f>Data_preprocessing!Q100</f>
        <v>60000</v>
      </c>
      <c r="D100" t="str">
        <f>Data_preprocessing!R100</f>
        <v>Other</v>
      </c>
      <c r="E100" t="str">
        <f>Data_preprocessing!S100</f>
        <v>IT</v>
      </c>
      <c r="F100" t="str">
        <f>Data_preprocessing!T100</f>
        <v>Assistant</v>
      </c>
      <c r="G100" s="2">
        <f>Data_preprocessing!U100</f>
        <v>43195</v>
      </c>
      <c r="H100" t="str">
        <f>Data_preprocessing!V100</f>
        <v>B</v>
      </c>
      <c r="I100" t="str">
        <f>Data_preprocessing!Y100</f>
        <v>user@domain.com</v>
      </c>
      <c r="J100" t="str">
        <f>Data_preprocessing!Z100</f>
        <v>098-765-4321</v>
      </c>
      <c r="K100">
        <f t="shared" ca="1" si="3"/>
        <v>7</v>
      </c>
      <c r="L100" t="str">
        <f t="shared" si="4"/>
        <v>Medium</v>
      </c>
      <c r="M100" t="str">
        <f t="shared" si="5"/>
        <v>Good</v>
      </c>
    </row>
    <row r="101" spans="1:13" x14ac:dyDescent="0.25">
      <c r="A101" t="str">
        <f>Data_preprocessing!M101</f>
        <v>Hannah</v>
      </c>
      <c r="B101">
        <f>Data_preprocessing!O101</f>
        <v>30</v>
      </c>
      <c r="C101">
        <f>Data_preprocessing!Q101</f>
        <v>70000</v>
      </c>
      <c r="D101" t="str">
        <f>Data_preprocessing!R101</f>
        <v>Male</v>
      </c>
      <c r="E101" t="str">
        <f>Data_preprocessing!S101</f>
        <v>HR</v>
      </c>
      <c r="F101" t="str">
        <f>Data_preprocessing!T101</f>
        <v>Manager</v>
      </c>
      <c r="G101" s="2">
        <f>Data_preprocessing!U101</f>
        <v>43881</v>
      </c>
      <c r="H101" t="str">
        <f>Data_preprocessing!V101</f>
        <v>C</v>
      </c>
      <c r="I101" t="str">
        <f>Data_preprocessing!Y101</f>
        <v>email@example.com</v>
      </c>
      <c r="J101" t="str">
        <f>Data_preprocessing!Z101</f>
        <v>098-765-4321</v>
      </c>
      <c r="K101">
        <f t="shared" ca="1" si="3"/>
        <v>5</v>
      </c>
      <c r="L101" t="str">
        <f t="shared" si="4"/>
        <v>High</v>
      </c>
      <c r="M101" t="str">
        <f t="shared" si="5"/>
        <v>Average</v>
      </c>
    </row>
    <row r="102" spans="1:13" x14ac:dyDescent="0.25">
      <c r="A102" t="str">
        <f>Data_preprocessing!M102</f>
        <v>Bob</v>
      </c>
      <c r="B102">
        <f>Data_preprocessing!O102</f>
        <v>25</v>
      </c>
      <c r="C102">
        <f>Data_preprocessing!Q102</f>
        <v>65000</v>
      </c>
      <c r="D102" t="str">
        <f>Data_preprocessing!R102</f>
        <v>Male</v>
      </c>
      <c r="E102" t="str">
        <f>Data_preprocessing!S102</f>
        <v>IT</v>
      </c>
      <c r="F102" t="str">
        <f>Data_preprocessing!T102</f>
        <v>Director</v>
      </c>
      <c r="G102" s="2">
        <f>Data_preprocessing!U102</f>
        <v>43549</v>
      </c>
      <c r="H102" t="str">
        <f>Data_preprocessing!V102</f>
        <v>D</v>
      </c>
      <c r="I102" t="str">
        <f>Data_preprocessing!Y102</f>
        <v>email@example.com</v>
      </c>
      <c r="J102" t="str">
        <f>Data_preprocessing!Z102</f>
        <v>123-456-7890</v>
      </c>
      <c r="K102">
        <f t="shared" ca="1" si="3"/>
        <v>6</v>
      </c>
      <c r="L102" t="str">
        <f t="shared" si="4"/>
        <v>High</v>
      </c>
      <c r="M102" t="str">
        <f t="shared" si="5"/>
        <v>Below Average</v>
      </c>
    </row>
    <row r="103" spans="1:13" x14ac:dyDescent="0.25">
      <c r="A103" t="str">
        <f>Data_preprocessing!M103</f>
        <v>Alice</v>
      </c>
      <c r="B103">
        <f>Data_preprocessing!O103</f>
        <v>50</v>
      </c>
      <c r="C103">
        <f>Data_preprocessing!Q103</f>
        <v>50000</v>
      </c>
      <c r="D103" t="str">
        <f>Data_preprocessing!R103</f>
        <v>Male</v>
      </c>
      <c r="E103" t="str">
        <f>Data_preprocessing!S103</f>
        <v>IT</v>
      </c>
      <c r="F103" t="str">
        <f>Data_preprocessing!T103</f>
        <v>Manager</v>
      </c>
      <c r="G103" s="2">
        <f>Data_preprocessing!U103</f>
        <v>43549</v>
      </c>
      <c r="H103" t="str">
        <f>Data_preprocessing!V103</f>
        <v>C</v>
      </c>
      <c r="I103" t="str">
        <f>Data_preprocessing!Y103</f>
        <v>Email not provided</v>
      </c>
      <c r="J103" t="str">
        <f>Data_preprocessing!Z103</f>
        <v>Phone not provided</v>
      </c>
      <c r="K103">
        <f t="shared" ca="1" si="3"/>
        <v>6</v>
      </c>
      <c r="L103" t="str">
        <f t="shared" si="4"/>
        <v>Low</v>
      </c>
      <c r="M103" t="str">
        <f t="shared" si="5"/>
        <v>Average</v>
      </c>
    </row>
    <row r="104" spans="1:13" x14ac:dyDescent="0.25">
      <c r="A104" t="str">
        <f>Data_preprocessing!M104</f>
        <v>Grace</v>
      </c>
      <c r="B104">
        <f>Data_preprocessing!O104</f>
        <v>35</v>
      </c>
      <c r="C104">
        <f>Data_preprocessing!Q104</f>
        <v>65000</v>
      </c>
      <c r="D104" t="str">
        <f>Data_preprocessing!R104</f>
        <v>Female</v>
      </c>
      <c r="E104" t="str">
        <f>Data_preprocessing!S104</f>
        <v>Sales</v>
      </c>
      <c r="F104" t="str">
        <f>Data_preprocessing!T104</f>
        <v>Manager</v>
      </c>
      <c r="G104" s="2">
        <f>Data_preprocessing!U104</f>
        <v>43881</v>
      </c>
      <c r="H104" t="str">
        <f>Data_preprocessing!V104</f>
        <v>F</v>
      </c>
      <c r="I104" t="str">
        <f>Data_preprocessing!Y104</f>
        <v>email@example.com</v>
      </c>
      <c r="J104" t="str">
        <f>Data_preprocessing!Z104</f>
        <v>Phone not provided</v>
      </c>
      <c r="K104">
        <f t="shared" ca="1" si="3"/>
        <v>5</v>
      </c>
      <c r="L104" t="str">
        <f t="shared" si="4"/>
        <v>High</v>
      </c>
      <c r="M104" t="str">
        <f t="shared" si="5"/>
        <v>Poor</v>
      </c>
    </row>
    <row r="105" spans="1:13" x14ac:dyDescent="0.25">
      <c r="A105" t="str">
        <f>Data_preprocessing!M105</f>
        <v>Grace</v>
      </c>
      <c r="B105">
        <f>Data_preprocessing!O105</f>
        <v>30</v>
      </c>
      <c r="C105">
        <f>Data_preprocessing!Q105</f>
        <v>60000</v>
      </c>
      <c r="D105" t="str">
        <f>Data_preprocessing!R105</f>
        <v>Female</v>
      </c>
      <c r="E105" t="str">
        <f>Data_preprocessing!S105</f>
        <v>Marketing</v>
      </c>
      <c r="F105" t="str">
        <f>Data_preprocessing!T105</f>
        <v>Clerk</v>
      </c>
      <c r="G105" s="2">
        <f>Data_preprocessing!U105</f>
        <v>43881</v>
      </c>
      <c r="H105" t="str">
        <f>Data_preprocessing!V105</f>
        <v>A</v>
      </c>
      <c r="I105" t="str">
        <f>Data_preprocessing!Y105</f>
        <v>name@company.org</v>
      </c>
      <c r="J105" t="str">
        <f>Data_preprocessing!Z105</f>
        <v>123-456-7890</v>
      </c>
      <c r="K105">
        <f t="shared" ca="1" si="3"/>
        <v>5</v>
      </c>
      <c r="L105" t="str">
        <f t="shared" si="4"/>
        <v>Medium</v>
      </c>
      <c r="M105" t="str">
        <f t="shared" si="5"/>
        <v>Excellent</v>
      </c>
    </row>
    <row r="106" spans="1:13" x14ac:dyDescent="0.25">
      <c r="A106" t="str">
        <f>Data_preprocessing!M106</f>
        <v>Hannah</v>
      </c>
      <c r="B106">
        <f>Data_preprocessing!O106</f>
        <v>30</v>
      </c>
      <c r="C106">
        <f>Data_preprocessing!Q106</f>
        <v>60000</v>
      </c>
      <c r="D106" t="str">
        <f>Data_preprocessing!R106</f>
        <v>Male</v>
      </c>
      <c r="E106" t="str">
        <f>Data_preprocessing!S106</f>
        <v>Marketing</v>
      </c>
      <c r="F106" t="str">
        <f>Data_preprocessing!T106</f>
        <v>Assistant</v>
      </c>
      <c r="G106" s="2">
        <f>Data_preprocessing!U106</f>
        <v>43195</v>
      </c>
      <c r="H106" t="str">
        <f>Data_preprocessing!V106</f>
        <v>D</v>
      </c>
      <c r="I106" t="str">
        <f>Data_preprocessing!Y106</f>
        <v>name@company.org</v>
      </c>
      <c r="J106" t="str">
        <f>Data_preprocessing!Z106</f>
        <v>098-765-4321</v>
      </c>
      <c r="K106">
        <f t="shared" ca="1" si="3"/>
        <v>7</v>
      </c>
      <c r="L106" t="str">
        <f t="shared" si="4"/>
        <v>Medium</v>
      </c>
      <c r="M106" t="str">
        <f t="shared" si="5"/>
        <v>Below Average</v>
      </c>
    </row>
    <row r="107" spans="1:13" x14ac:dyDescent="0.25">
      <c r="A107" t="str">
        <f>Data_preprocessing!M107</f>
        <v>Eve</v>
      </c>
      <c r="B107">
        <f>Data_preprocessing!O107</f>
        <v>50</v>
      </c>
      <c r="C107">
        <f>Data_preprocessing!Q107</f>
        <v>65000</v>
      </c>
      <c r="D107" t="str">
        <f>Data_preprocessing!R107</f>
        <v>Other</v>
      </c>
      <c r="E107" t="str">
        <f>Data_preprocessing!S107</f>
        <v>IT</v>
      </c>
      <c r="F107" t="str">
        <f>Data_preprocessing!T107</f>
        <v>Manager</v>
      </c>
      <c r="G107" s="2">
        <f>Data_preprocessing!U107</f>
        <v>43549</v>
      </c>
      <c r="H107" t="str">
        <f>Data_preprocessing!V107</f>
        <v>A</v>
      </c>
      <c r="I107" t="str">
        <f>Data_preprocessing!Y107</f>
        <v>name@company.org</v>
      </c>
      <c r="J107" t="str">
        <f>Data_preprocessing!Z107</f>
        <v>098-765-4321</v>
      </c>
      <c r="K107">
        <f t="shared" ca="1" si="3"/>
        <v>6</v>
      </c>
      <c r="L107" t="str">
        <f t="shared" si="4"/>
        <v>High</v>
      </c>
      <c r="M107" t="str">
        <f t="shared" si="5"/>
        <v>Excellent</v>
      </c>
    </row>
    <row r="108" spans="1:13" x14ac:dyDescent="0.25">
      <c r="A108" t="str">
        <f>Data_preprocessing!M108</f>
        <v>Charlie</v>
      </c>
      <c r="B108">
        <f>Data_preprocessing!O108</f>
        <v>35</v>
      </c>
      <c r="C108">
        <f>Data_preprocessing!Q108</f>
        <v>70000</v>
      </c>
      <c r="D108" t="str">
        <f>Data_preprocessing!R108</f>
        <v>Male</v>
      </c>
      <c r="E108" t="str">
        <f>Data_preprocessing!S108</f>
        <v>Finance</v>
      </c>
      <c r="F108" t="str">
        <f>Data_preprocessing!T108</f>
        <v>Clerk</v>
      </c>
      <c r="G108" s="2">
        <f>Data_preprocessing!U108</f>
        <v>43549</v>
      </c>
      <c r="H108" t="str">
        <f>Data_preprocessing!V108</f>
        <v>F</v>
      </c>
      <c r="I108" t="str">
        <f>Data_preprocessing!Y108</f>
        <v>Email not provided</v>
      </c>
      <c r="J108" t="str">
        <f>Data_preprocessing!Z108</f>
        <v>123-456-7890</v>
      </c>
      <c r="K108">
        <f t="shared" ca="1" si="3"/>
        <v>6</v>
      </c>
      <c r="L108" t="str">
        <f t="shared" si="4"/>
        <v>High</v>
      </c>
      <c r="M108" t="str">
        <f t="shared" si="5"/>
        <v>Poor</v>
      </c>
    </row>
    <row r="109" spans="1:13" x14ac:dyDescent="0.25">
      <c r="A109" t="str">
        <f>Data_preprocessing!M109</f>
        <v>Hannah</v>
      </c>
      <c r="B109">
        <f>Data_preprocessing!O109</f>
        <v>25</v>
      </c>
      <c r="C109">
        <f>Data_preprocessing!Q109</f>
        <v>70000</v>
      </c>
      <c r="D109" t="str">
        <f>Data_preprocessing!R109</f>
        <v>Other</v>
      </c>
      <c r="E109" t="str">
        <f>Data_preprocessing!S109</f>
        <v>Finance</v>
      </c>
      <c r="F109" t="str">
        <f>Data_preprocessing!T109</f>
        <v>Analyst</v>
      </c>
      <c r="G109" s="2">
        <f>Data_preprocessing!U109</f>
        <v>43845</v>
      </c>
      <c r="H109" t="str">
        <f>Data_preprocessing!V109</f>
        <v>F</v>
      </c>
      <c r="I109" t="str">
        <f>Data_preprocessing!Y109</f>
        <v>user@domain.com</v>
      </c>
      <c r="J109" t="str">
        <f>Data_preprocessing!Z109</f>
        <v>Phone not provided</v>
      </c>
      <c r="K109">
        <f t="shared" ca="1" si="3"/>
        <v>6</v>
      </c>
      <c r="L109" t="str">
        <f t="shared" si="4"/>
        <v>High</v>
      </c>
      <c r="M109" t="str">
        <f t="shared" si="5"/>
        <v>Poor</v>
      </c>
    </row>
    <row r="110" spans="1:13" x14ac:dyDescent="0.25">
      <c r="A110" t="str">
        <f>Data_preprocessing!M110</f>
        <v>Frank</v>
      </c>
      <c r="B110">
        <f>Data_preprocessing!O110</f>
        <v>30</v>
      </c>
      <c r="C110">
        <f>Data_preprocessing!Q110</f>
        <v>60000</v>
      </c>
      <c r="D110" t="str">
        <f>Data_preprocessing!R110</f>
        <v>Male</v>
      </c>
      <c r="E110" t="str">
        <f>Data_preprocessing!S110</f>
        <v>HR</v>
      </c>
      <c r="F110" t="str">
        <f>Data_preprocessing!T110</f>
        <v>Clerk</v>
      </c>
      <c r="G110" s="2">
        <f>Data_preprocessing!U110</f>
        <v>43800</v>
      </c>
      <c r="H110" t="str">
        <f>Data_preprocessing!V110</f>
        <v>A</v>
      </c>
      <c r="I110" t="str">
        <f>Data_preprocessing!Y110</f>
        <v>Email not provided</v>
      </c>
      <c r="J110" t="str">
        <f>Data_preprocessing!Z110</f>
        <v>Phone not provided</v>
      </c>
      <c r="K110">
        <f t="shared" ca="1" si="3"/>
        <v>6</v>
      </c>
      <c r="L110" t="str">
        <f t="shared" si="4"/>
        <v>Medium</v>
      </c>
      <c r="M110" t="str">
        <f t="shared" si="5"/>
        <v>Excellent</v>
      </c>
    </row>
    <row r="111" spans="1:13" x14ac:dyDescent="0.25">
      <c r="A111" t="str">
        <f>Data_preprocessing!M111</f>
        <v>Charlie</v>
      </c>
      <c r="B111">
        <f>Data_preprocessing!O111</f>
        <v>50</v>
      </c>
      <c r="C111">
        <f>Data_preprocessing!Q111</f>
        <v>60000</v>
      </c>
      <c r="D111" t="str">
        <f>Data_preprocessing!R111</f>
        <v>Other</v>
      </c>
      <c r="E111" t="str">
        <f>Data_preprocessing!S111</f>
        <v>HR</v>
      </c>
      <c r="F111" t="str">
        <f>Data_preprocessing!T111</f>
        <v>Clerk</v>
      </c>
      <c r="G111" s="2">
        <f>Data_preprocessing!U111</f>
        <v>43800</v>
      </c>
      <c r="H111" t="str">
        <f>Data_preprocessing!V111</f>
        <v>A</v>
      </c>
      <c r="I111" t="str">
        <f>Data_preprocessing!Y111</f>
        <v>email@example.com</v>
      </c>
      <c r="J111" t="str">
        <f>Data_preprocessing!Z111</f>
        <v>555-555-5555</v>
      </c>
      <c r="K111">
        <f t="shared" ca="1" si="3"/>
        <v>6</v>
      </c>
      <c r="L111" t="str">
        <f t="shared" si="4"/>
        <v>Medium</v>
      </c>
      <c r="M111" t="str">
        <f t="shared" si="5"/>
        <v>Excellent</v>
      </c>
    </row>
    <row r="112" spans="1:13" x14ac:dyDescent="0.25">
      <c r="A112" t="str">
        <f>Data_preprocessing!M112</f>
        <v>Alice</v>
      </c>
      <c r="B112">
        <f>Data_preprocessing!O112</f>
        <v>50</v>
      </c>
      <c r="C112">
        <f>Data_preprocessing!Q112</f>
        <v>55000</v>
      </c>
      <c r="D112" t="str">
        <f>Data_preprocessing!R112</f>
        <v>Female</v>
      </c>
      <c r="E112" t="str">
        <f>Data_preprocessing!S112</f>
        <v>Sales</v>
      </c>
      <c r="F112" t="str">
        <f>Data_preprocessing!T112</f>
        <v>Clerk</v>
      </c>
      <c r="G112" s="2">
        <f>Data_preprocessing!U112</f>
        <v>43845</v>
      </c>
      <c r="H112" t="str">
        <f>Data_preprocessing!V112</f>
        <v>A</v>
      </c>
      <c r="I112" t="str">
        <f>Data_preprocessing!Y112</f>
        <v>Email not provided</v>
      </c>
      <c r="J112" t="str">
        <f>Data_preprocessing!Z112</f>
        <v>123-456-7890</v>
      </c>
      <c r="K112">
        <f t="shared" ca="1" si="3"/>
        <v>6</v>
      </c>
      <c r="L112" t="str">
        <f t="shared" si="4"/>
        <v>Low</v>
      </c>
      <c r="M112" t="str">
        <f t="shared" si="5"/>
        <v>Excellent</v>
      </c>
    </row>
    <row r="113" spans="1:13" x14ac:dyDescent="0.25">
      <c r="A113" t="str">
        <f>Data_preprocessing!M113</f>
        <v>Charlie</v>
      </c>
      <c r="B113">
        <f>Data_preprocessing!O113</f>
        <v>35</v>
      </c>
      <c r="C113">
        <f>Data_preprocessing!Q113</f>
        <v>60000</v>
      </c>
      <c r="D113" t="str">
        <f>Data_preprocessing!R113</f>
        <v>Other</v>
      </c>
      <c r="E113" t="str">
        <f>Data_preprocessing!S113</f>
        <v>IT</v>
      </c>
      <c r="F113" t="str">
        <f>Data_preprocessing!T113</f>
        <v>Manager</v>
      </c>
      <c r="G113" s="2">
        <f>Data_preprocessing!U113</f>
        <v>43800</v>
      </c>
      <c r="H113" t="str">
        <f>Data_preprocessing!V113</f>
        <v>F</v>
      </c>
      <c r="I113" t="str">
        <f>Data_preprocessing!Y113</f>
        <v>user@domain.com</v>
      </c>
      <c r="J113" t="str">
        <f>Data_preprocessing!Z113</f>
        <v>Phone not provided</v>
      </c>
      <c r="K113">
        <f t="shared" ca="1" si="3"/>
        <v>6</v>
      </c>
      <c r="L113" t="str">
        <f t="shared" si="4"/>
        <v>Medium</v>
      </c>
      <c r="M113" t="str">
        <f t="shared" si="5"/>
        <v>Poor</v>
      </c>
    </row>
    <row r="114" spans="1:13" x14ac:dyDescent="0.25">
      <c r="A114" t="str">
        <f>Data_preprocessing!M114</f>
        <v>Eve</v>
      </c>
      <c r="B114">
        <f>Data_preprocessing!O114</f>
        <v>35</v>
      </c>
      <c r="C114">
        <f>Data_preprocessing!Q114</f>
        <v>70000</v>
      </c>
      <c r="D114" t="str">
        <f>Data_preprocessing!R114</f>
        <v>Male</v>
      </c>
      <c r="E114" t="str">
        <f>Data_preprocessing!S114</f>
        <v>HR</v>
      </c>
      <c r="F114" t="str">
        <f>Data_preprocessing!T114</f>
        <v>Manager</v>
      </c>
      <c r="G114" s="2">
        <f>Data_preprocessing!U114</f>
        <v>43881</v>
      </c>
      <c r="H114" t="str">
        <f>Data_preprocessing!V114</f>
        <v>B</v>
      </c>
      <c r="I114" t="str">
        <f>Data_preprocessing!Y114</f>
        <v>user@domain.com</v>
      </c>
      <c r="J114" t="str">
        <f>Data_preprocessing!Z114</f>
        <v>Phone not provided</v>
      </c>
      <c r="K114">
        <f t="shared" ca="1" si="3"/>
        <v>5</v>
      </c>
      <c r="L114" t="str">
        <f t="shared" si="4"/>
        <v>High</v>
      </c>
      <c r="M114" t="str">
        <f t="shared" si="5"/>
        <v>Good</v>
      </c>
    </row>
    <row r="115" spans="1:13" x14ac:dyDescent="0.25">
      <c r="A115" t="str">
        <f>Data_preprocessing!M115</f>
        <v>Charlie</v>
      </c>
      <c r="B115">
        <f>Data_preprocessing!O115</f>
        <v>25</v>
      </c>
      <c r="C115">
        <f>Data_preprocessing!Q115</f>
        <v>65000</v>
      </c>
      <c r="D115" t="str">
        <f>Data_preprocessing!R115</f>
        <v>Female</v>
      </c>
      <c r="E115" t="str">
        <f>Data_preprocessing!S115</f>
        <v>HR</v>
      </c>
      <c r="F115" t="str">
        <f>Data_preprocessing!T115</f>
        <v>Analyst</v>
      </c>
      <c r="G115" s="2">
        <f>Data_preprocessing!U115</f>
        <v>43800</v>
      </c>
      <c r="H115" t="str">
        <f>Data_preprocessing!V115</f>
        <v>A</v>
      </c>
      <c r="I115" t="str">
        <f>Data_preprocessing!Y115</f>
        <v>Email not provided</v>
      </c>
      <c r="J115" t="str">
        <f>Data_preprocessing!Z115</f>
        <v>098-765-4321</v>
      </c>
      <c r="K115">
        <f t="shared" ca="1" si="3"/>
        <v>6</v>
      </c>
      <c r="L115" t="str">
        <f t="shared" si="4"/>
        <v>High</v>
      </c>
      <c r="M115" t="str">
        <f t="shared" si="5"/>
        <v>Excellent</v>
      </c>
    </row>
    <row r="116" spans="1:13" x14ac:dyDescent="0.25">
      <c r="A116" t="str">
        <f>Data_preprocessing!M116</f>
        <v>Alice</v>
      </c>
      <c r="B116">
        <f>Data_preprocessing!O116</f>
        <v>40</v>
      </c>
      <c r="C116">
        <f>Data_preprocessing!Q116</f>
        <v>70000</v>
      </c>
      <c r="D116" t="str">
        <f>Data_preprocessing!R116</f>
        <v>Other</v>
      </c>
      <c r="E116" t="str">
        <f>Data_preprocessing!S116</f>
        <v>IT</v>
      </c>
      <c r="F116" t="str">
        <f>Data_preprocessing!T116</f>
        <v>Director</v>
      </c>
      <c r="G116" s="2">
        <f>Data_preprocessing!U116</f>
        <v>43800</v>
      </c>
      <c r="H116" t="str">
        <f>Data_preprocessing!V116</f>
        <v>D</v>
      </c>
      <c r="I116" t="str">
        <f>Data_preprocessing!Y116</f>
        <v>name@company.org</v>
      </c>
      <c r="J116" t="str">
        <f>Data_preprocessing!Z116</f>
        <v>555-555-5555</v>
      </c>
      <c r="K116">
        <f t="shared" ca="1" si="3"/>
        <v>6</v>
      </c>
      <c r="L116" t="str">
        <f t="shared" si="4"/>
        <v>High</v>
      </c>
      <c r="M116" t="str">
        <f t="shared" si="5"/>
        <v>Below Average</v>
      </c>
    </row>
    <row r="117" spans="1:13" x14ac:dyDescent="0.25">
      <c r="A117" t="str">
        <f>Data_preprocessing!M117</f>
        <v>Eve</v>
      </c>
      <c r="B117">
        <f>Data_preprocessing!O117</f>
        <v>35</v>
      </c>
      <c r="C117">
        <f>Data_preprocessing!Q117</f>
        <v>65000</v>
      </c>
      <c r="D117" t="str">
        <f>Data_preprocessing!R117</f>
        <v>Other</v>
      </c>
      <c r="E117" t="str">
        <f>Data_preprocessing!S117</f>
        <v>Sales</v>
      </c>
      <c r="F117" t="str">
        <f>Data_preprocessing!T117</f>
        <v>Director</v>
      </c>
      <c r="G117" s="2">
        <f>Data_preprocessing!U117</f>
        <v>43845</v>
      </c>
      <c r="H117" t="str">
        <f>Data_preprocessing!V117</f>
        <v>F</v>
      </c>
      <c r="I117" t="str">
        <f>Data_preprocessing!Y117</f>
        <v>name@company.org</v>
      </c>
      <c r="J117" t="str">
        <f>Data_preprocessing!Z117</f>
        <v>123-456-7890</v>
      </c>
      <c r="K117">
        <f t="shared" ca="1" si="3"/>
        <v>6</v>
      </c>
      <c r="L117" t="str">
        <f t="shared" si="4"/>
        <v>High</v>
      </c>
      <c r="M117" t="str">
        <f t="shared" si="5"/>
        <v>Poor</v>
      </c>
    </row>
    <row r="118" spans="1:13" x14ac:dyDescent="0.25">
      <c r="A118" t="str">
        <f>Data_preprocessing!M118</f>
        <v>Jack</v>
      </c>
      <c r="B118">
        <f>Data_preprocessing!O118</f>
        <v>30</v>
      </c>
      <c r="C118">
        <f>Data_preprocessing!Q118</f>
        <v>60000</v>
      </c>
      <c r="D118" t="str">
        <f>Data_preprocessing!R118</f>
        <v>Other</v>
      </c>
      <c r="E118" t="str">
        <f>Data_preprocessing!S118</f>
        <v>HR</v>
      </c>
      <c r="F118" t="str">
        <f>Data_preprocessing!T118</f>
        <v>Director</v>
      </c>
      <c r="G118" s="2">
        <f>Data_preprocessing!U118</f>
        <v>43195</v>
      </c>
      <c r="H118" t="str">
        <f>Data_preprocessing!V118</f>
        <v>C</v>
      </c>
      <c r="I118" t="str">
        <f>Data_preprocessing!Y118</f>
        <v>user@domain.com</v>
      </c>
      <c r="J118" t="str">
        <f>Data_preprocessing!Z118</f>
        <v>098-765-4321</v>
      </c>
      <c r="K118">
        <f t="shared" ca="1" si="3"/>
        <v>7</v>
      </c>
      <c r="L118" t="str">
        <f t="shared" si="4"/>
        <v>Medium</v>
      </c>
      <c r="M118" t="str">
        <f t="shared" si="5"/>
        <v>Average</v>
      </c>
    </row>
    <row r="119" spans="1:13" x14ac:dyDescent="0.25">
      <c r="A119" t="str">
        <f>Data_preprocessing!M119</f>
        <v>Grace</v>
      </c>
      <c r="B119">
        <f>Data_preprocessing!O119</f>
        <v>30</v>
      </c>
      <c r="C119">
        <f>Data_preprocessing!Q119</f>
        <v>60000</v>
      </c>
      <c r="D119" t="str">
        <f>Data_preprocessing!R119</f>
        <v>Other</v>
      </c>
      <c r="E119" t="str">
        <f>Data_preprocessing!S119</f>
        <v>Sales</v>
      </c>
      <c r="F119" t="str">
        <f>Data_preprocessing!T119</f>
        <v>Analyst</v>
      </c>
      <c r="G119" s="2">
        <f>Data_preprocessing!U119</f>
        <v>43800</v>
      </c>
      <c r="H119" t="str">
        <f>Data_preprocessing!V119</f>
        <v>C</v>
      </c>
      <c r="I119" t="str">
        <f>Data_preprocessing!Y119</f>
        <v>Email not provided</v>
      </c>
      <c r="J119" t="str">
        <f>Data_preprocessing!Z119</f>
        <v>098-765-4321</v>
      </c>
      <c r="K119">
        <f t="shared" ca="1" si="3"/>
        <v>6</v>
      </c>
      <c r="L119" t="str">
        <f t="shared" si="4"/>
        <v>Medium</v>
      </c>
      <c r="M119" t="str">
        <f t="shared" si="5"/>
        <v>Average</v>
      </c>
    </row>
    <row r="120" spans="1:13" x14ac:dyDescent="0.25">
      <c r="A120" t="str">
        <f>Data_preprocessing!M120</f>
        <v>Grace</v>
      </c>
      <c r="B120">
        <f>Data_preprocessing!O120</f>
        <v>35</v>
      </c>
      <c r="C120">
        <f>Data_preprocessing!Q120</f>
        <v>70000</v>
      </c>
      <c r="D120" t="str">
        <f>Data_preprocessing!R120</f>
        <v>Other</v>
      </c>
      <c r="E120" t="str">
        <f>Data_preprocessing!S120</f>
        <v>Marketing</v>
      </c>
      <c r="F120" t="str">
        <f>Data_preprocessing!T120</f>
        <v>Director</v>
      </c>
      <c r="G120" s="2">
        <f>Data_preprocessing!U120</f>
        <v>43800</v>
      </c>
      <c r="H120" t="str">
        <f>Data_preprocessing!V120</f>
        <v>D</v>
      </c>
      <c r="I120" t="str">
        <f>Data_preprocessing!Y120</f>
        <v>Email not provided</v>
      </c>
      <c r="J120" t="str">
        <f>Data_preprocessing!Z120</f>
        <v>Phone not provided</v>
      </c>
      <c r="K120">
        <f t="shared" ca="1" si="3"/>
        <v>6</v>
      </c>
      <c r="L120" t="str">
        <f t="shared" si="4"/>
        <v>High</v>
      </c>
      <c r="M120" t="str">
        <f t="shared" si="5"/>
        <v>Below Average</v>
      </c>
    </row>
    <row r="121" spans="1:13" x14ac:dyDescent="0.25">
      <c r="A121" t="str">
        <f>Data_preprocessing!M121</f>
        <v>Ivy</v>
      </c>
      <c r="B121">
        <f>Data_preprocessing!O121</f>
        <v>50</v>
      </c>
      <c r="C121">
        <f>Data_preprocessing!Q121</f>
        <v>65000</v>
      </c>
      <c r="D121" t="str">
        <f>Data_preprocessing!R121</f>
        <v>Female</v>
      </c>
      <c r="E121" t="str">
        <f>Data_preprocessing!S121</f>
        <v>Sales</v>
      </c>
      <c r="F121" t="str">
        <f>Data_preprocessing!T121</f>
        <v>Director</v>
      </c>
      <c r="G121" s="2">
        <f>Data_preprocessing!U121</f>
        <v>43195</v>
      </c>
      <c r="H121" t="str">
        <f>Data_preprocessing!V121</f>
        <v>B</v>
      </c>
      <c r="I121" t="str">
        <f>Data_preprocessing!Y121</f>
        <v>email@example.com</v>
      </c>
      <c r="J121" t="str">
        <f>Data_preprocessing!Z121</f>
        <v>Phone not provided</v>
      </c>
      <c r="K121">
        <f t="shared" ca="1" si="3"/>
        <v>7</v>
      </c>
      <c r="L121" t="str">
        <f t="shared" si="4"/>
        <v>High</v>
      </c>
      <c r="M121" t="str">
        <f t="shared" si="5"/>
        <v>Good</v>
      </c>
    </row>
    <row r="122" spans="1:13" x14ac:dyDescent="0.25">
      <c r="A122" t="str">
        <f>Data_preprocessing!M122</f>
        <v>Jack</v>
      </c>
      <c r="B122">
        <f>Data_preprocessing!O122</f>
        <v>30</v>
      </c>
      <c r="C122">
        <f>Data_preprocessing!Q122</f>
        <v>60000</v>
      </c>
      <c r="D122" t="str">
        <f>Data_preprocessing!R122</f>
        <v>Female</v>
      </c>
      <c r="E122" t="str">
        <f>Data_preprocessing!S122</f>
        <v>Finance</v>
      </c>
      <c r="F122" t="str">
        <f>Data_preprocessing!T122</f>
        <v>Clerk</v>
      </c>
      <c r="G122" s="2">
        <f>Data_preprocessing!U122</f>
        <v>43845</v>
      </c>
      <c r="H122" t="str">
        <f>Data_preprocessing!V122</f>
        <v>A</v>
      </c>
      <c r="I122" t="str">
        <f>Data_preprocessing!Y122</f>
        <v>name@company.org</v>
      </c>
      <c r="J122" t="str">
        <f>Data_preprocessing!Z122</f>
        <v>123-456-7890</v>
      </c>
      <c r="K122">
        <f t="shared" ca="1" si="3"/>
        <v>6</v>
      </c>
      <c r="L122" t="str">
        <f t="shared" si="4"/>
        <v>Medium</v>
      </c>
      <c r="M122" t="str">
        <f t="shared" si="5"/>
        <v>Excellent</v>
      </c>
    </row>
    <row r="123" spans="1:13" x14ac:dyDescent="0.25">
      <c r="A123" t="str">
        <f>Data_preprocessing!M123</f>
        <v>Jack</v>
      </c>
      <c r="B123">
        <f>Data_preprocessing!O123</f>
        <v>35</v>
      </c>
      <c r="C123">
        <f>Data_preprocessing!Q123</f>
        <v>55000</v>
      </c>
      <c r="D123" t="str">
        <f>Data_preprocessing!R123</f>
        <v>Female</v>
      </c>
      <c r="E123" t="str">
        <f>Data_preprocessing!S123</f>
        <v>Finance</v>
      </c>
      <c r="F123" t="str">
        <f>Data_preprocessing!T123</f>
        <v>Manager</v>
      </c>
      <c r="G123" s="2">
        <f>Data_preprocessing!U123</f>
        <v>43195</v>
      </c>
      <c r="H123" t="str">
        <f>Data_preprocessing!V123</f>
        <v>F</v>
      </c>
      <c r="I123" t="str">
        <f>Data_preprocessing!Y123</f>
        <v>user@domain.com</v>
      </c>
      <c r="J123" t="str">
        <f>Data_preprocessing!Z123</f>
        <v>123-456-7890</v>
      </c>
      <c r="K123">
        <f t="shared" ca="1" si="3"/>
        <v>7</v>
      </c>
      <c r="L123" t="str">
        <f t="shared" si="4"/>
        <v>Low</v>
      </c>
      <c r="M123" t="str">
        <f t="shared" si="5"/>
        <v>Poor</v>
      </c>
    </row>
    <row r="124" spans="1:13" x14ac:dyDescent="0.25">
      <c r="A124" t="str">
        <f>Data_preprocessing!M124</f>
        <v>Charlie</v>
      </c>
      <c r="B124">
        <f>Data_preprocessing!O124</f>
        <v>25</v>
      </c>
      <c r="C124">
        <f>Data_preprocessing!Q124</f>
        <v>65000</v>
      </c>
      <c r="D124" t="str">
        <f>Data_preprocessing!R124</f>
        <v>Female</v>
      </c>
      <c r="E124" t="str">
        <f>Data_preprocessing!S124</f>
        <v>Sales</v>
      </c>
      <c r="F124" t="str">
        <f>Data_preprocessing!T124</f>
        <v>Manager</v>
      </c>
      <c r="G124" s="2">
        <f>Data_preprocessing!U124</f>
        <v>43845</v>
      </c>
      <c r="H124" t="str">
        <f>Data_preprocessing!V124</f>
        <v>A</v>
      </c>
      <c r="I124" t="str">
        <f>Data_preprocessing!Y124</f>
        <v>Email not provided</v>
      </c>
      <c r="J124" t="str">
        <f>Data_preprocessing!Z124</f>
        <v>123-456-7890</v>
      </c>
      <c r="K124">
        <f t="shared" ca="1" si="3"/>
        <v>6</v>
      </c>
      <c r="L124" t="str">
        <f t="shared" si="4"/>
        <v>High</v>
      </c>
      <c r="M124" t="str">
        <f t="shared" si="5"/>
        <v>Excellent</v>
      </c>
    </row>
    <row r="125" spans="1:13" x14ac:dyDescent="0.25">
      <c r="A125" t="str">
        <f>Data_preprocessing!M125</f>
        <v>Grace</v>
      </c>
      <c r="B125">
        <f>Data_preprocessing!O125</f>
        <v>35</v>
      </c>
      <c r="C125">
        <f>Data_preprocessing!Q125</f>
        <v>60000</v>
      </c>
      <c r="D125" t="str">
        <f>Data_preprocessing!R125</f>
        <v>Male</v>
      </c>
      <c r="E125" t="str">
        <f>Data_preprocessing!S125</f>
        <v>Finance</v>
      </c>
      <c r="F125" t="str">
        <f>Data_preprocessing!T125</f>
        <v>Clerk</v>
      </c>
      <c r="G125" s="2">
        <f>Data_preprocessing!U125</f>
        <v>43881</v>
      </c>
      <c r="H125" t="str">
        <f>Data_preprocessing!V125</f>
        <v>F</v>
      </c>
      <c r="I125" t="str">
        <f>Data_preprocessing!Y125</f>
        <v>name@company.org</v>
      </c>
      <c r="J125" t="str">
        <f>Data_preprocessing!Z125</f>
        <v>098-765-4321</v>
      </c>
      <c r="K125">
        <f t="shared" ca="1" si="3"/>
        <v>5</v>
      </c>
      <c r="L125" t="str">
        <f t="shared" si="4"/>
        <v>Medium</v>
      </c>
      <c r="M125" t="str">
        <f t="shared" si="5"/>
        <v>Poor</v>
      </c>
    </row>
    <row r="126" spans="1:13" x14ac:dyDescent="0.25">
      <c r="A126" t="str">
        <f>Data_preprocessing!M126</f>
        <v>Alice</v>
      </c>
      <c r="B126">
        <f>Data_preprocessing!O126</f>
        <v>30</v>
      </c>
      <c r="C126">
        <f>Data_preprocessing!Q126</f>
        <v>55000</v>
      </c>
      <c r="D126" t="str">
        <f>Data_preprocessing!R126</f>
        <v>Female</v>
      </c>
      <c r="E126" t="str">
        <f>Data_preprocessing!S126</f>
        <v>Marketing</v>
      </c>
      <c r="F126" t="str">
        <f>Data_preprocessing!T126</f>
        <v>Clerk</v>
      </c>
      <c r="G126" s="2">
        <f>Data_preprocessing!U126</f>
        <v>43845</v>
      </c>
      <c r="H126" t="str">
        <f>Data_preprocessing!V126</f>
        <v>C</v>
      </c>
      <c r="I126" t="str">
        <f>Data_preprocessing!Y126</f>
        <v>email@example.com</v>
      </c>
      <c r="J126" t="str">
        <f>Data_preprocessing!Z126</f>
        <v>Phone not provided</v>
      </c>
      <c r="K126">
        <f t="shared" ca="1" si="3"/>
        <v>6</v>
      </c>
      <c r="L126" t="str">
        <f t="shared" si="4"/>
        <v>Low</v>
      </c>
      <c r="M126" t="str">
        <f t="shared" si="5"/>
        <v>Average</v>
      </c>
    </row>
    <row r="127" spans="1:13" x14ac:dyDescent="0.25">
      <c r="A127" t="str">
        <f>Data_preprocessing!M127</f>
        <v>David</v>
      </c>
      <c r="B127">
        <f>Data_preprocessing!O127</f>
        <v>40</v>
      </c>
      <c r="C127">
        <f>Data_preprocessing!Q127</f>
        <v>55000</v>
      </c>
      <c r="D127" t="str">
        <f>Data_preprocessing!R127</f>
        <v>Other</v>
      </c>
      <c r="E127" t="str">
        <f>Data_preprocessing!S127</f>
        <v>IT</v>
      </c>
      <c r="F127" t="str">
        <f>Data_preprocessing!T127</f>
        <v>Clerk</v>
      </c>
      <c r="G127" s="2">
        <f>Data_preprocessing!U127</f>
        <v>43881</v>
      </c>
      <c r="H127" t="str">
        <f>Data_preprocessing!V127</f>
        <v>A</v>
      </c>
      <c r="I127" t="str">
        <f>Data_preprocessing!Y127</f>
        <v>Email not provided</v>
      </c>
      <c r="J127" t="str">
        <f>Data_preprocessing!Z127</f>
        <v>555-555-5555</v>
      </c>
      <c r="K127">
        <f t="shared" ca="1" si="3"/>
        <v>5</v>
      </c>
      <c r="L127" t="str">
        <f t="shared" si="4"/>
        <v>Low</v>
      </c>
      <c r="M127" t="str">
        <f t="shared" si="5"/>
        <v>Excellent</v>
      </c>
    </row>
    <row r="128" spans="1:13" x14ac:dyDescent="0.25">
      <c r="A128" t="str">
        <f>Data_preprocessing!M128</f>
        <v>David</v>
      </c>
      <c r="B128">
        <f>Data_preprocessing!O128</f>
        <v>25</v>
      </c>
      <c r="C128">
        <f>Data_preprocessing!Q128</f>
        <v>50000</v>
      </c>
      <c r="D128" t="str">
        <f>Data_preprocessing!R128</f>
        <v>Other</v>
      </c>
      <c r="E128" t="str">
        <f>Data_preprocessing!S128</f>
        <v>Finance</v>
      </c>
      <c r="F128" t="str">
        <f>Data_preprocessing!T128</f>
        <v>Manager</v>
      </c>
      <c r="G128" s="2">
        <f>Data_preprocessing!U128</f>
        <v>43881</v>
      </c>
      <c r="H128" t="str">
        <f>Data_preprocessing!V128</f>
        <v>D</v>
      </c>
      <c r="I128" t="str">
        <f>Data_preprocessing!Y128</f>
        <v>user@domain.com</v>
      </c>
      <c r="J128" t="str">
        <f>Data_preprocessing!Z128</f>
        <v>098-765-4321</v>
      </c>
      <c r="K128">
        <f t="shared" ca="1" si="3"/>
        <v>5</v>
      </c>
      <c r="L128" t="str">
        <f t="shared" si="4"/>
        <v>Low</v>
      </c>
      <c r="M128" t="str">
        <f t="shared" si="5"/>
        <v>Below Average</v>
      </c>
    </row>
    <row r="129" spans="1:13" x14ac:dyDescent="0.25">
      <c r="A129" t="str">
        <f>Data_preprocessing!M129</f>
        <v>Eve</v>
      </c>
      <c r="B129">
        <f>Data_preprocessing!O129</f>
        <v>25</v>
      </c>
      <c r="C129">
        <f>Data_preprocessing!Q129</f>
        <v>70000</v>
      </c>
      <c r="D129" t="str">
        <f>Data_preprocessing!R129</f>
        <v>Female</v>
      </c>
      <c r="E129" t="str">
        <f>Data_preprocessing!S129</f>
        <v>Finance</v>
      </c>
      <c r="F129" t="str">
        <f>Data_preprocessing!T129</f>
        <v>Director</v>
      </c>
      <c r="G129" s="2">
        <f>Data_preprocessing!U129</f>
        <v>43845</v>
      </c>
      <c r="H129" t="str">
        <f>Data_preprocessing!V129</f>
        <v>B</v>
      </c>
      <c r="I129" t="str">
        <f>Data_preprocessing!Y129</f>
        <v>name@company.org</v>
      </c>
      <c r="J129" t="str">
        <f>Data_preprocessing!Z129</f>
        <v>555-555-5555</v>
      </c>
      <c r="K129">
        <f t="shared" ca="1" si="3"/>
        <v>6</v>
      </c>
      <c r="L129" t="str">
        <f t="shared" si="4"/>
        <v>High</v>
      </c>
      <c r="M129" t="str">
        <f t="shared" si="5"/>
        <v>Good</v>
      </c>
    </row>
    <row r="130" spans="1:13" x14ac:dyDescent="0.25">
      <c r="A130" t="str">
        <f>Data_preprocessing!M130</f>
        <v>Grace</v>
      </c>
      <c r="B130">
        <f>Data_preprocessing!O130</f>
        <v>35</v>
      </c>
      <c r="C130">
        <f>Data_preprocessing!Q130</f>
        <v>65000</v>
      </c>
      <c r="D130" t="str">
        <f>Data_preprocessing!R130</f>
        <v>Other</v>
      </c>
      <c r="E130" t="str">
        <f>Data_preprocessing!S130</f>
        <v>Sales</v>
      </c>
      <c r="F130" t="str">
        <f>Data_preprocessing!T130</f>
        <v>Clerk</v>
      </c>
      <c r="G130" s="2">
        <f>Data_preprocessing!U130</f>
        <v>43549</v>
      </c>
      <c r="H130" t="str">
        <f>Data_preprocessing!V130</f>
        <v>D</v>
      </c>
      <c r="I130" t="str">
        <f>Data_preprocessing!Y130</f>
        <v>Email not provided</v>
      </c>
      <c r="J130" t="str">
        <f>Data_preprocessing!Z130</f>
        <v>Phone not provided</v>
      </c>
      <c r="K130">
        <f t="shared" ref="K130:K193" ca="1" si="6">DATEDIF(G130,TODAY(),"Y")</f>
        <v>6</v>
      </c>
      <c r="L130" t="str">
        <f t="shared" ref="L130:L193" si="7">IF(C130&lt;60000,"Low",IF(C130&lt;65000,"Medium","High"))</f>
        <v>High</v>
      </c>
      <c r="M130" t="str">
        <f t="shared" si="5"/>
        <v>Below Average</v>
      </c>
    </row>
    <row r="131" spans="1:13" x14ac:dyDescent="0.25">
      <c r="A131" t="str">
        <f>Data_preprocessing!M131</f>
        <v>Grace</v>
      </c>
      <c r="B131">
        <f>Data_preprocessing!O131</f>
        <v>35</v>
      </c>
      <c r="C131">
        <f>Data_preprocessing!Q131</f>
        <v>55000</v>
      </c>
      <c r="D131" t="str">
        <f>Data_preprocessing!R131</f>
        <v>Female</v>
      </c>
      <c r="E131" t="str">
        <f>Data_preprocessing!S131</f>
        <v>Marketing</v>
      </c>
      <c r="F131" t="str">
        <f>Data_preprocessing!T131</f>
        <v>Analyst</v>
      </c>
      <c r="G131" s="2">
        <f>Data_preprocessing!U131</f>
        <v>43845</v>
      </c>
      <c r="H131" t="str">
        <f>Data_preprocessing!V131</f>
        <v>B</v>
      </c>
      <c r="I131" t="str">
        <f>Data_preprocessing!Y131</f>
        <v>email@example.com</v>
      </c>
      <c r="J131" t="str">
        <f>Data_preprocessing!Z131</f>
        <v>Phone not provided</v>
      </c>
      <c r="K131">
        <f t="shared" ca="1" si="6"/>
        <v>6</v>
      </c>
      <c r="L131" t="str">
        <f t="shared" si="7"/>
        <v>Low</v>
      </c>
      <c r="M131" t="str">
        <f t="shared" ref="M131:M194" si="8">IF(H131="A","Excellent",IF(H131="B","Good",IF(H131="C","Average",IF(H131="D","Below Average","Poor"))))</f>
        <v>Good</v>
      </c>
    </row>
    <row r="132" spans="1:13" x14ac:dyDescent="0.25">
      <c r="A132" t="str">
        <f>Data_preprocessing!M132</f>
        <v>David</v>
      </c>
      <c r="B132">
        <f>Data_preprocessing!O132</f>
        <v>40</v>
      </c>
      <c r="C132">
        <f>Data_preprocessing!Q132</f>
        <v>50000</v>
      </c>
      <c r="D132" t="str">
        <f>Data_preprocessing!R132</f>
        <v>Other</v>
      </c>
      <c r="E132" t="str">
        <f>Data_preprocessing!S132</f>
        <v>IT</v>
      </c>
      <c r="F132" t="str">
        <f>Data_preprocessing!T132</f>
        <v>Clerk</v>
      </c>
      <c r="G132" s="2">
        <f>Data_preprocessing!U132</f>
        <v>43800</v>
      </c>
      <c r="H132" t="str">
        <f>Data_preprocessing!V132</f>
        <v>A</v>
      </c>
      <c r="I132" t="str">
        <f>Data_preprocessing!Y132</f>
        <v>email@example.com</v>
      </c>
      <c r="J132" t="str">
        <f>Data_preprocessing!Z132</f>
        <v>123-456-7890</v>
      </c>
      <c r="K132">
        <f t="shared" ca="1" si="6"/>
        <v>6</v>
      </c>
      <c r="L132" t="str">
        <f t="shared" si="7"/>
        <v>Low</v>
      </c>
      <c r="M132" t="str">
        <f t="shared" si="8"/>
        <v>Excellent</v>
      </c>
    </row>
    <row r="133" spans="1:13" x14ac:dyDescent="0.25">
      <c r="A133" t="str">
        <f>Data_preprocessing!M133</f>
        <v>Grace</v>
      </c>
      <c r="B133">
        <f>Data_preprocessing!O133</f>
        <v>50</v>
      </c>
      <c r="C133">
        <f>Data_preprocessing!Q133</f>
        <v>60000</v>
      </c>
      <c r="D133" t="str">
        <f>Data_preprocessing!R133</f>
        <v>Male</v>
      </c>
      <c r="E133" t="str">
        <f>Data_preprocessing!S133</f>
        <v>Sales</v>
      </c>
      <c r="F133" t="str">
        <f>Data_preprocessing!T133</f>
        <v>Assistant</v>
      </c>
      <c r="G133" s="2">
        <f>Data_preprocessing!U133</f>
        <v>43800</v>
      </c>
      <c r="H133" t="str">
        <f>Data_preprocessing!V133</f>
        <v>A</v>
      </c>
      <c r="I133" t="str">
        <f>Data_preprocessing!Y133</f>
        <v>name@company.org</v>
      </c>
      <c r="J133" t="str">
        <f>Data_preprocessing!Z133</f>
        <v>555-555-5555</v>
      </c>
      <c r="K133">
        <f t="shared" ca="1" si="6"/>
        <v>6</v>
      </c>
      <c r="L133" t="str">
        <f t="shared" si="7"/>
        <v>Medium</v>
      </c>
      <c r="M133" t="str">
        <f t="shared" si="8"/>
        <v>Excellent</v>
      </c>
    </row>
    <row r="134" spans="1:13" x14ac:dyDescent="0.25">
      <c r="A134" t="str">
        <f>Data_preprocessing!M134</f>
        <v>Charlie</v>
      </c>
      <c r="B134">
        <f>Data_preprocessing!O134</f>
        <v>25</v>
      </c>
      <c r="C134">
        <f>Data_preprocessing!Q134</f>
        <v>60000</v>
      </c>
      <c r="D134" t="str">
        <f>Data_preprocessing!R134</f>
        <v>Male</v>
      </c>
      <c r="E134" t="str">
        <f>Data_preprocessing!S134</f>
        <v>Sales</v>
      </c>
      <c r="F134" t="str">
        <f>Data_preprocessing!T134</f>
        <v>Clerk</v>
      </c>
      <c r="G134" s="2">
        <f>Data_preprocessing!U134</f>
        <v>43549</v>
      </c>
      <c r="H134" t="str">
        <f>Data_preprocessing!V134</f>
        <v>B</v>
      </c>
      <c r="I134" t="str">
        <f>Data_preprocessing!Y134</f>
        <v>Email not provided</v>
      </c>
      <c r="J134" t="str">
        <f>Data_preprocessing!Z134</f>
        <v>098-765-4321</v>
      </c>
      <c r="K134">
        <f t="shared" ca="1" si="6"/>
        <v>6</v>
      </c>
      <c r="L134" t="str">
        <f t="shared" si="7"/>
        <v>Medium</v>
      </c>
      <c r="M134" t="str">
        <f t="shared" si="8"/>
        <v>Good</v>
      </c>
    </row>
    <row r="135" spans="1:13" x14ac:dyDescent="0.25">
      <c r="A135" t="str">
        <f>Data_preprocessing!M135</f>
        <v>Frank</v>
      </c>
      <c r="B135">
        <f>Data_preprocessing!O135</f>
        <v>40</v>
      </c>
      <c r="C135">
        <f>Data_preprocessing!Q135</f>
        <v>65000</v>
      </c>
      <c r="D135" t="str">
        <f>Data_preprocessing!R135</f>
        <v>Female</v>
      </c>
      <c r="E135" t="str">
        <f>Data_preprocessing!S135</f>
        <v>Marketing</v>
      </c>
      <c r="F135" t="str">
        <f>Data_preprocessing!T135</f>
        <v>Manager</v>
      </c>
      <c r="G135" s="2">
        <f>Data_preprocessing!U135</f>
        <v>43881</v>
      </c>
      <c r="H135" t="str">
        <f>Data_preprocessing!V135</f>
        <v>C</v>
      </c>
      <c r="I135" t="str">
        <f>Data_preprocessing!Y135</f>
        <v>email@example.com</v>
      </c>
      <c r="J135" t="str">
        <f>Data_preprocessing!Z135</f>
        <v>555-555-5555</v>
      </c>
      <c r="K135">
        <f t="shared" ca="1" si="6"/>
        <v>5</v>
      </c>
      <c r="L135" t="str">
        <f t="shared" si="7"/>
        <v>High</v>
      </c>
      <c r="M135" t="str">
        <f t="shared" si="8"/>
        <v>Average</v>
      </c>
    </row>
    <row r="136" spans="1:13" x14ac:dyDescent="0.25">
      <c r="A136" t="str">
        <f>Data_preprocessing!M136</f>
        <v>Bob</v>
      </c>
      <c r="B136">
        <f>Data_preprocessing!O136</f>
        <v>35</v>
      </c>
      <c r="C136">
        <f>Data_preprocessing!Q136</f>
        <v>55000</v>
      </c>
      <c r="D136" t="str">
        <f>Data_preprocessing!R136</f>
        <v>Female</v>
      </c>
      <c r="E136" t="str">
        <f>Data_preprocessing!S136</f>
        <v>IT</v>
      </c>
      <c r="F136" t="str">
        <f>Data_preprocessing!T136</f>
        <v>Clerk</v>
      </c>
      <c r="G136" s="2">
        <f>Data_preprocessing!U136</f>
        <v>43549</v>
      </c>
      <c r="H136" t="str">
        <f>Data_preprocessing!V136</f>
        <v>F</v>
      </c>
      <c r="I136" t="str">
        <f>Data_preprocessing!Y136</f>
        <v>user@domain.com</v>
      </c>
      <c r="J136" t="str">
        <f>Data_preprocessing!Z136</f>
        <v>Phone not provided</v>
      </c>
      <c r="K136">
        <f t="shared" ca="1" si="6"/>
        <v>6</v>
      </c>
      <c r="L136" t="str">
        <f t="shared" si="7"/>
        <v>Low</v>
      </c>
      <c r="M136" t="str">
        <f t="shared" si="8"/>
        <v>Poor</v>
      </c>
    </row>
    <row r="137" spans="1:13" x14ac:dyDescent="0.25">
      <c r="A137" t="str">
        <f>Data_preprocessing!M137</f>
        <v>Jack</v>
      </c>
      <c r="B137">
        <f>Data_preprocessing!O137</f>
        <v>35</v>
      </c>
      <c r="C137">
        <f>Data_preprocessing!Q137</f>
        <v>70000</v>
      </c>
      <c r="D137" t="str">
        <f>Data_preprocessing!R137</f>
        <v>Female</v>
      </c>
      <c r="E137" t="str">
        <f>Data_preprocessing!S137</f>
        <v>Marketing</v>
      </c>
      <c r="F137" t="str">
        <f>Data_preprocessing!T137</f>
        <v>Assistant</v>
      </c>
      <c r="G137" s="2">
        <f>Data_preprocessing!U137</f>
        <v>43800</v>
      </c>
      <c r="H137" t="str">
        <f>Data_preprocessing!V137</f>
        <v>D</v>
      </c>
      <c r="I137" t="str">
        <f>Data_preprocessing!Y137</f>
        <v>email@example.com</v>
      </c>
      <c r="J137" t="str">
        <f>Data_preprocessing!Z137</f>
        <v>123-456-7890</v>
      </c>
      <c r="K137">
        <f t="shared" ca="1" si="6"/>
        <v>6</v>
      </c>
      <c r="L137" t="str">
        <f t="shared" si="7"/>
        <v>High</v>
      </c>
      <c r="M137" t="str">
        <f t="shared" si="8"/>
        <v>Below Average</v>
      </c>
    </row>
    <row r="138" spans="1:13" x14ac:dyDescent="0.25">
      <c r="A138" t="str">
        <f>Data_preprocessing!M138</f>
        <v>Ivy</v>
      </c>
      <c r="B138">
        <f>Data_preprocessing!O138</f>
        <v>25</v>
      </c>
      <c r="C138">
        <f>Data_preprocessing!Q138</f>
        <v>50000</v>
      </c>
      <c r="D138" t="str">
        <f>Data_preprocessing!R138</f>
        <v>Other</v>
      </c>
      <c r="E138" t="str">
        <f>Data_preprocessing!S138</f>
        <v>IT</v>
      </c>
      <c r="F138" t="str">
        <f>Data_preprocessing!T138</f>
        <v>Analyst</v>
      </c>
      <c r="G138" s="2">
        <f>Data_preprocessing!U138</f>
        <v>43549</v>
      </c>
      <c r="H138" t="str">
        <f>Data_preprocessing!V138</f>
        <v>D</v>
      </c>
      <c r="I138" t="str">
        <f>Data_preprocessing!Y138</f>
        <v>Email not provided</v>
      </c>
      <c r="J138" t="str">
        <f>Data_preprocessing!Z138</f>
        <v>555-555-5555</v>
      </c>
      <c r="K138">
        <f t="shared" ca="1" si="6"/>
        <v>6</v>
      </c>
      <c r="L138" t="str">
        <f t="shared" si="7"/>
        <v>Low</v>
      </c>
      <c r="M138" t="str">
        <f t="shared" si="8"/>
        <v>Below Average</v>
      </c>
    </row>
    <row r="139" spans="1:13" x14ac:dyDescent="0.25">
      <c r="A139" t="str">
        <f>Data_preprocessing!M139</f>
        <v>Eve</v>
      </c>
      <c r="B139">
        <f>Data_preprocessing!O139</f>
        <v>35</v>
      </c>
      <c r="C139">
        <f>Data_preprocessing!Q139</f>
        <v>55000</v>
      </c>
      <c r="D139" t="str">
        <f>Data_preprocessing!R139</f>
        <v>Female</v>
      </c>
      <c r="E139" t="str">
        <f>Data_preprocessing!S139</f>
        <v>Marketing</v>
      </c>
      <c r="F139" t="str">
        <f>Data_preprocessing!T139</f>
        <v>Director</v>
      </c>
      <c r="G139" s="2">
        <f>Data_preprocessing!U139</f>
        <v>43845</v>
      </c>
      <c r="H139" t="str">
        <f>Data_preprocessing!V139</f>
        <v>D</v>
      </c>
      <c r="I139" t="str">
        <f>Data_preprocessing!Y139</f>
        <v>Email not provided</v>
      </c>
      <c r="J139" t="str">
        <f>Data_preprocessing!Z139</f>
        <v>Phone not provided</v>
      </c>
      <c r="K139">
        <f t="shared" ca="1" si="6"/>
        <v>6</v>
      </c>
      <c r="L139" t="str">
        <f t="shared" si="7"/>
        <v>Low</v>
      </c>
      <c r="M139" t="str">
        <f t="shared" si="8"/>
        <v>Below Average</v>
      </c>
    </row>
    <row r="140" spans="1:13" x14ac:dyDescent="0.25">
      <c r="A140" t="str">
        <f>Data_preprocessing!M140</f>
        <v>Frank</v>
      </c>
      <c r="B140">
        <f>Data_preprocessing!O140</f>
        <v>30</v>
      </c>
      <c r="C140">
        <f>Data_preprocessing!Q140</f>
        <v>70000</v>
      </c>
      <c r="D140" t="str">
        <f>Data_preprocessing!R140</f>
        <v>Male</v>
      </c>
      <c r="E140" t="str">
        <f>Data_preprocessing!S140</f>
        <v>Sales</v>
      </c>
      <c r="F140" t="str">
        <f>Data_preprocessing!T140</f>
        <v>Clerk</v>
      </c>
      <c r="G140" s="2">
        <f>Data_preprocessing!U140</f>
        <v>43549</v>
      </c>
      <c r="H140" t="str">
        <f>Data_preprocessing!V140</f>
        <v>A</v>
      </c>
      <c r="I140" t="str">
        <f>Data_preprocessing!Y140</f>
        <v>Email not provided</v>
      </c>
      <c r="J140" t="str">
        <f>Data_preprocessing!Z140</f>
        <v>098-765-4321</v>
      </c>
      <c r="K140">
        <f t="shared" ca="1" si="6"/>
        <v>6</v>
      </c>
      <c r="L140" t="str">
        <f t="shared" si="7"/>
        <v>High</v>
      </c>
      <c r="M140" t="str">
        <f t="shared" si="8"/>
        <v>Excellent</v>
      </c>
    </row>
    <row r="141" spans="1:13" x14ac:dyDescent="0.25">
      <c r="A141" t="str">
        <f>Data_preprocessing!M141</f>
        <v>David</v>
      </c>
      <c r="B141">
        <f>Data_preprocessing!O141</f>
        <v>35</v>
      </c>
      <c r="C141">
        <f>Data_preprocessing!Q141</f>
        <v>55000</v>
      </c>
      <c r="D141" t="str">
        <f>Data_preprocessing!R141</f>
        <v>Other</v>
      </c>
      <c r="E141" t="str">
        <f>Data_preprocessing!S141</f>
        <v>Sales</v>
      </c>
      <c r="F141" t="str">
        <f>Data_preprocessing!T141</f>
        <v>Assistant</v>
      </c>
      <c r="G141" s="2">
        <f>Data_preprocessing!U141</f>
        <v>43881</v>
      </c>
      <c r="H141" t="str">
        <f>Data_preprocessing!V141</f>
        <v>D</v>
      </c>
      <c r="I141" t="str">
        <f>Data_preprocessing!Y141</f>
        <v>name@company.org</v>
      </c>
      <c r="J141" t="str">
        <f>Data_preprocessing!Z141</f>
        <v>Phone not provided</v>
      </c>
      <c r="K141">
        <f t="shared" ca="1" si="6"/>
        <v>5</v>
      </c>
      <c r="L141" t="str">
        <f t="shared" si="7"/>
        <v>Low</v>
      </c>
      <c r="M141" t="str">
        <f t="shared" si="8"/>
        <v>Below Average</v>
      </c>
    </row>
    <row r="142" spans="1:13" x14ac:dyDescent="0.25">
      <c r="A142" t="str">
        <f>Data_preprocessing!M142</f>
        <v>Jack</v>
      </c>
      <c r="B142">
        <f>Data_preprocessing!O142</f>
        <v>50</v>
      </c>
      <c r="C142">
        <f>Data_preprocessing!Q142</f>
        <v>65000</v>
      </c>
      <c r="D142" t="str">
        <f>Data_preprocessing!R142</f>
        <v>Female</v>
      </c>
      <c r="E142" t="str">
        <f>Data_preprocessing!S142</f>
        <v>HR</v>
      </c>
      <c r="F142" t="str">
        <f>Data_preprocessing!T142</f>
        <v>Assistant</v>
      </c>
      <c r="G142" s="2">
        <f>Data_preprocessing!U142</f>
        <v>43845</v>
      </c>
      <c r="H142" t="str">
        <f>Data_preprocessing!V142</f>
        <v>F</v>
      </c>
      <c r="I142" t="str">
        <f>Data_preprocessing!Y142</f>
        <v>Email not provided</v>
      </c>
      <c r="J142" t="str">
        <f>Data_preprocessing!Z142</f>
        <v>098-765-4321</v>
      </c>
      <c r="K142">
        <f t="shared" ca="1" si="6"/>
        <v>6</v>
      </c>
      <c r="L142" t="str">
        <f t="shared" si="7"/>
        <v>High</v>
      </c>
      <c r="M142" t="str">
        <f t="shared" si="8"/>
        <v>Poor</v>
      </c>
    </row>
    <row r="143" spans="1:13" x14ac:dyDescent="0.25">
      <c r="A143" t="str">
        <f>Data_preprocessing!M143</f>
        <v>Grace</v>
      </c>
      <c r="B143">
        <f>Data_preprocessing!O143</f>
        <v>50</v>
      </c>
      <c r="C143">
        <f>Data_preprocessing!Q143</f>
        <v>65000</v>
      </c>
      <c r="D143" t="str">
        <f>Data_preprocessing!R143</f>
        <v>Other</v>
      </c>
      <c r="E143" t="str">
        <f>Data_preprocessing!S143</f>
        <v>Finance</v>
      </c>
      <c r="F143" t="str">
        <f>Data_preprocessing!T143</f>
        <v>Analyst</v>
      </c>
      <c r="G143" s="2">
        <f>Data_preprocessing!U143</f>
        <v>43195</v>
      </c>
      <c r="H143" t="str">
        <f>Data_preprocessing!V143</f>
        <v>F</v>
      </c>
      <c r="I143" t="str">
        <f>Data_preprocessing!Y143</f>
        <v>email@example.com</v>
      </c>
      <c r="J143" t="str">
        <f>Data_preprocessing!Z143</f>
        <v>123-456-7890</v>
      </c>
      <c r="K143">
        <f t="shared" ca="1" si="6"/>
        <v>7</v>
      </c>
      <c r="L143" t="str">
        <f t="shared" si="7"/>
        <v>High</v>
      </c>
      <c r="M143" t="str">
        <f t="shared" si="8"/>
        <v>Poor</v>
      </c>
    </row>
    <row r="144" spans="1:13" x14ac:dyDescent="0.25">
      <c r="A144" t="str">
        <f>Data_preprocessing!M144</f>
        <v>Ivy</v>
      </c>
      <c r="B144">
        <f>Data_preprocessing!O144</f>
        <v>35</v>
      </c>
      <c r="C144">
        <f>Data_preprocessing!Q144</f>
        <v>65000</v>
      </c>
      <c r="D144" t="str">
        <f>Data_preprocessing!R144</f>
        <v>Other</v>
      </c>
      <c r="E144" t="str">
        <f>Data_preprocessing!S144</f>
        <v>Marketing</v>
      </c>
      <c r="F144" t="str">
        <f>Data_preprocessing!T144</f>
        <v>Manager</v>
      </c>
      <c r="G144" s="2">
        <f>Data_preprocessing!U144</f>
        <v>43800</v>
      </c>
      <c r="H144" t="str">
        <f>Data_preprocessing!V144</f>
        <v>B</v>
      </c>
      <c r="I144" t="str">
        <f>Data_preprocessing!Y144</f>
        <v>email@example.com</v>
      </c>
      <c r="J144" t="str">
        <f>Data_preprocessing!Z144</f>
        <v>098-765-4321</v>
      </c>
      <c r="K144">
        <f t="shared" ca="1" si="6"/>
        <v>6</v>
      </c>
      <c r="L144" t="str">
        <f t="shared" si="7"/>
        <v>High</v>
      </c>
      <c r="M144" t="str">
        <f t="shared" si="8"/>
        <v>Good</v>
      </c>
    </row>
    <row r="145" spans="1:13" x14ac:dyDescent="0.25">
      <c r="A145" t="str">
        <f>Data_preprocessing!M145</f>
        <v>Grace</v>
      </c>
      <c r="B145">
        <f>Data_preprocessing!O145</f>
        <v>35</v>
      </c>
      <c r="C145">
        <f>Data_preprocessing!Q145</f>
        <v>60000</v>
      </c>
      <c r="D145" t="str">
        <f>Data_preprocessing!R145</f>
        <v>Female</v>
      </c>
      <c r="E145" t="str">
        <f>Data_preprocessing!S145</f>
        <v>HR</v>
      </c>
      <c r="F145" t="str">
        <f>Data_preprocessing!T145</f>
        <v>Clerk</v>
      </c>
      <c r="G145" s="2">
        <f>Data_preprocessing!U145</f>
        <v>43800</v>
      </c>
      <c r="H145" t="str">
        <f>Data_preprocessing!V145</f>
        <v>A</v>
      </c>
      <c r="I145" t="str">
        <f>Data_preprocessing!Y145</f>
        <v>Email not provided</v>
      </c>
      <c r="J145" t="str">
        <f>Data_preprocessing!Z145</f>
        <v>098-765-4321</v>
      </c>
      <c r="K145">
        <f t="shared" ca="1" si="6"/>
        <v>6</v>
      </c>
      <c r="L145" t="str">
        <f t="shared" si="7"/>
        <v>Medium</v>
      </c>
      <c r="M145" t="str">
        <f t="shared" si="8"/>
        <v>Excellent</v>
      </c>
    </row>
    <row r="146" spans="1:13" x14ac:dyDescent="0.25">
      <c r="A146" t="str">
        <f>Data_preprocessing!M146</f>
        <v>Alice</v>
      </c>
      <c r="B146">
        <f>Data_preprocessing!O146</f>
        <v>35</v>
      </c>
      <c r="C146">
        <f>Data_preprocessing!Q146</f>
        <v>60000</v>
      </c>
      <c r="D146" t="str">
        <f>Data_preprocessing!R146</f>
        <v>Other</v>
      </c>
      <c r="E146" t="str">
        <f>Data_preprocessing!S146</f>
        <v>Finance</v>
      </c>
      <c r="F146" t="str">
        <f>Data_preprocessing!T146</f>
        <v>Assistant</v>
      </c>
      <c r="G146" s="2">
        <f>Data_preprocessing!U146</f>
        <v>43549</v>
      </c>
      <c r="H146" t="str">
        <f>Data_preprocessing!V146</f>
        <v>F</v>
      </c>
      <c r="I146" t="str">
        <f>Data_preprocessing!Y146</f>
        <v>Email not provided</v>
      </c>
      <c r="J146" t="str">
        <f>Data_preprocessing!Z146</f>
        <v>098-765-4321</v>
      </c>
      <c r="K146">
        <f t="shared" ca="1" si="6"/>
        <v>6</v>
      </c>
      <c r="L146" t="str">
        <f t="shared" si="7"/>
        <v>Medium</v>
      </c>
      <c r="M146" t="str">
        <f t="shared" si="8"/>
        <v>Poor</v>
      </c>
    </row>
    <row r="147" spans="1:13" x14ac:dyDescent="0.25">
      <c r="A147" t="str">
        <f>Data_preprocessing!M147</f>
        <v>Alice</v>
      </c>
      <c r="B147">
        <f>Data_preprocessing!O147</f>
        <v>40</v>
      </c>
      <c r="C147">
        <f>Data_preprocessing!Q147</f>
        <v>50000</v>
      </c>
      <c r="D147" t="str">
        <f>Data_preprocessing!R147</f>
        <v>Male</v>
      </c>
      <c r="E147" t="str">
        <f>Data_preprocessing!S147</f>
        <v>Marketing</v>
      </c>
      <c r="F147" t="str">
        <f>Data_preprocessing!T147</f>
        <v>Analyst</v>
      </c>
      <c r="G147" s="2">
        <f>Data_preprocessing!U147</f>
        <v>43845</v>
      </c>
      <c r="H147" t="str">
        <f>Data_preprocessing!V147</f>
        <v>C</v>
      </c>
      <c r="I147" t="str">
        <f>Data_preprocessing!Y147</f>
        <v>user@domain.com</v>
      </c>
      <c r="J147" t="str">
        <f>Data_preprocessing!Z147</f>
        <v>098-765-4321</v>
      </c>
      <c r="K147">
        <f t="shared" ca="1" si="6"/>
        <v>6</v>
      </c>
      <c r="L147" t="str">
        <f t="shared" si="7"/>
        <v>Low</v>
      </c>
      <c r="M147" t="str">
        <f t="shared" si="8"/>
        <v>Average</v>
      </c>
    </row>
    <row r="148" spans="1:13" x14ac:dyDescent="0.25">
      <c r="A148" t="str">
        <f>Data_preprocessing!M148</f>
        <v>Ivy</v>
      </c>
      <c r="B148">
        <f>Data_preprocessing!O148</f>
        <v>50</v>
      </c>
      <c r="C148">
        <f>Data_preprocessing!Q148</f>
        <v>65000</v>
      </c>
      <c r="D148" t="str">
        <f>Data_preprocessing!R148</f>
        <v>Male</v>
      </c>
      <c r="E148" t="str">
        <f>Data_preprocessing!S148</f>
        <v>IT</v>
      </c>
      <c r="F148" t="str">
        <f>Data_preprocessing!T148</f>
        <v>Director</v>
      </c>
      <c r="G148" s="2">
        <f>Data_preprocessing!U148</f>
        <v>43195</v>
      </c>
      <c r="H148" t="str">
        <f>Data_preprocessing!V148</f>
        <v>A</v>
      </c>
      <c r="I148" t="str">
        <f>Data_preprocessing!Y148</f>
        <v>Email not provided</v>
      </c>
      <c r="J148" t="str">
        <f>Data_preprocessing!Z148</f>
        <v>123-456-7890</v>
      </c>
      <c r="K148">
        <f t="shared" ca="1" si="6"/>
        <v>7</v>
      </c>
      <c r="L148" t="str">
        <f t="shared" si="7"/>
        <v>High</v>
      </c>
      <c r="M148" t="str">
        <f t="shared" si="8"/>
        <v>Excellent</v>
      </c>
    </row>
    <row r="149" spans="1:13" x14ac:dyDescent="0.25">
      <c r="A149" t="str">
        <f>Data_preprocessing!M149</f>
        <v>Ivy</v>
      </c>
      <c r="B149">
        <f>Data_preprocessing!O149</f>
        <v>40</v>
      </c>
      <c r="C149">
        <f>Data_preprocessing!Q149</f>
        <v>70000</v>
      </c>
      <c r="D149" t="str">
        <f>Data_preprocessing!R149</f>
        <v>Other</v>
      </c>
      <c r="E149" t="str">
        <f>Data_preprocessing!S149</f>
        <v>Finance</v>
      </c>
      <c r="F149" t="str">
        <f>Data_preprocessing!T149</f>
        <v>Assistant</v>
      </c>
      <c r="G149" s="2">
        <f>Data_preprocessing!U149</f>
        <v>43845</v>
      </c>
      <c r="H149" t="str">
        <f>Data_preprocessing!V149</f>
        <v>A</v>
      </c>
      <c r="I149" t="str">
        <f>Data_preprocessing!Y149</f>
        <v>user@domain.com</v>
      </c>
      <c r="J149" t="str">
        <f>Data_preprocessing!Z149</f>
        <v>Phone not provided</v>
      </c>
      <c r="K149">
        <f t="shared" ca="1" si="6"/>
        <v>6</v>
      </c>
      <c r="L149" t="str">
        <f t="shared" si="7"/>
        <v>High</v>
      </c>
      <c r="M149" t="str">
        <f t="shared" si="8"/>
        <v>Excellent</v>
      </c>
    </row>
    <row r="150" spans="1:13" x14ac:dyDescent="0.25">
      <c r="A150" t="str">
        <f>Data_preprocessing!M150</f>
        <v>David</v>
      </c>
      <c r="B150">
        <f>Data_preprocessing!O150</f>
        <v>50</v>
      </c>
      <c r="C150">
        <f>Data_preprocessing!Q150</f>
        <v>55000</v>
      </c>
      <c r="D150" t="str">
        <f>Data_preprocessing!R150</f>
        <v>Female</v>
      </c>
      <c r="E150" t="str">
        <f>Data_preprocessing!S150</f>
        <v>Sales</v>
      </c>
      <c r="F150" t="str">
        <f>Data_preprocessing!T150</f>
        <v>Analyst</v>
      </c>
      <c r="G150" s="2">
        <f>Data_preprocessing!U150</f>
        <v>43800</v>
      </c>
      <c r="H150" t="str">
        <f>Data_preprocessing!V150</f>
        <v>F</v>
      </c>
      <c r="I150" t="str">
        <f>Data_preprocessing!Y150</f>
        <v>email@example.com</v>
      </c>
      <c r="J150" t="str">
        <f>Data_preprocessing!Z150</f>
        <v>555-555-5555</v>
      </c>
      <c r="K150">
        <f t="shared" ca="1" si="6"/>
        <v>6</v>
      </c>
      <c r="L150" t="str">
        <f t="shared" si="7"/>
        <v>Low</v>
      </c>
      <c r="M150" t="str">
        <f t="shared" si="8"/>
        <v>Poor</v>
      </c>
    </row>
    <row r="151" spans="1:13" x14ac:dyDescent="0.25">
      <c r="A151" t="str">
        <f>Data_preprocessing!M151</f>
        <v>Ivy</v>
      </c>
      <c r="B151">
        <f>Data_preprocessing!O151</f>
        <v>30</v>
      </c>
      <c r="C151">
        <f>Data_preprocessing!Q151</f>
        <v>60000</v>
      </c>
      <c r="D151" t="str">
        <f>Data_preprocessing!R151</f>
        <v>Other</v>
      </c>
      <c r="E151" t="str">
        <f>Data_preprocessing!S151</f>
        <v>HR</v>
      </c>
      <c r="F151" t="str">
        <f>Data_preprocessing!T151</f>
        <v>Manager</v>
      </c>
      <c r="G151" s="2">
        <f>Data_preprocessing!U151</f>
        <v>43845</v>
      </c>
      <c r="H151" t="str">
        <f>Data_preprocessing!V151</f>
        <v>C</v>
      </c>
      <c r="I151" t="str">
        <f>Data_preprocessing!Y151</f>
        <v>user@domain.com</v>
      </c>
      <c r="J151" t="str">
        <f>Data_preprocessing!Z151</f>
        <v>Phone not provided</v>
      </c>
      <c r="K151">
        <f t="shared" ca="1" si="6"/>
        <v>6</v>
      </c>
      <c r="L151" t="str">
        <f t="shared" si="7"/>
        <v>Medium</v>
      </c>
      <c r="M151" t="str">
        <f t="shared" si="8"/>
        <v>Average</v>
      </c>
    </row>
    <row r="152" spans="1:13" x14ac:dyDescent="0.25">
      <c r="A152" t="str">
        <f>Data_preprocessing!M152</f>
        <v>Charlie</v>
      </c>
      <c r="B152">
        <f>Data_preprocessing!O152</f>
        <v>30</v>
      </c>
      <c r="C152">
        <f>Data_preprocessing!Q152</f>
        <v>70000</v>
      </c>
      <c r="D152" t="str">
        <f>Data_preprocessing!R152</f>
        <v>Male</v>
      </c>
      <c r="E152" t="str">
        <f>Data_preprocessing!S152</f>
        <v>Finance</v>
      </c>
      <c r="F152" t="str">
        <f>Data_preprocessing!T152</f>
        <v>Manager</v>
      </c>
      <c r="G152" s="2">
        <f>Data_preprocessing!U152</f>
        <v>43195</v>
      </c>
      <c r="H152" t="str">
        <f>Data_preprocessing!V152</f>
        <v>B</v>
      </c>
      <c r="I152" t="str">
        <f>Data_preprocessing!Y152</f>
        <v>user@domain.com</v>
      </c>
      <c r="J152" t="str">
        <f>Data_preprocessing!Z152</f>
        <v>555-555-5555</v>
      </c>
      <c r="K152">
        <f t="shared" ca="1" si="6"/>
        <v>7</v>
      </c>
      <c r="L152" t="str">
        <f t="shared" si="7"/>
        <v>High</v>
      </c>
      <c r="M152" t="str">
        <f t="shared" si="8"/>
        <v>Good</v>
      </c>
    </row>
    <row r="153" spans="1:13" x14ac:dyDescent="0.25">
      <c r="A153" t="str">
        <f>Data_preprocessing!M153</f>
        <v>Grace</v>
      </c>
      <c r="B153">
        <f>Data_preprocessing!O153</f>
        <v>25</v>
      </c>
      <c r="C153">
        <f>Data_preprocessing!Q153</f>
        <v>60000</v>
      </c>
      <c r="D153" t="str">
        <f>Data_preprocessing!R153</f>
        <v>Other</v>
      </c>
      <c r="E153" t="str">
        <f>Data_preprocessing!S153</f>
        <v>Finance</v>
      </c>
      <c r="F153" t="str">
        <f>Data_preprocessing!T153</f>
        <v>Assistant</v>
      </c>
      <c r="G153" s="2">
        <f>Data_preprocessing!U153</f>
        <v>43549</v>
      </c>
      <c r="H153" t="str">
        <f>Data_preprocessing!V153</f>
        <v>F</v>
      </c>
      <c r="I153" t="str">
        <f>Data_preprocessing!Y153</f>
        <v>name@company.org</v>
      </c>
      <c r="J153" t="str">
        <f>Data_preprocessing!Z153</f>
        <v>555-555-5555</v>
      </c>
      <c r="K153">
        <f t="shared" ca="1" si="6"/>
        <v>6</v>
      </c>
      <c r="L153" t="str">
        <f t="shared" si="7"/>
        <v>Medium</v>
      </c>
      <c r="M153" t="str">
        <f t="shared" si="8"/>
        <v>Poor</v>
      </c>
    </row>
    <row r="154" spans="1:13" x14ac:dyDescent="0.25">
      <c r="A154" t="str">
        <f>Data_preprocessing!M154</f>
        <v>Frank</v>
      </c>
      <c r="B154">
        <f>Data_preprocessing!O154</f>
        <v>40</v>
      </c>
      <c r="C154">
        <f>Data_preprocessing!Q154</f>
        <v>60000</v>
      </c>
      <c r="D154" t="str">
        <f>Data_preprocessing!R154</f>
        <v>Other</v>
      </c>
      <c r="E154" t="str">
        <f>Data_preprocessing!S154</f>
        <v>Sales</v>
      </c>
      <c r="F154" t="str">
        <f>Data_preprocessing!T154</f>
        <v>Assistant</v>
      </c>
      <c r="G154" s="2">
        <f>Data_preprocessing!U154</f>
        <v>43881</v>
      </c>
      <c r="H154" t="str">
        <f>Data_preprocessing!V154</f>
        <v>C</v>
      </c>
      <c r="I154" t="str">
        <f>Data_preprocessing!Y154</f>
        <v>Email not provided</v>
      </c>
      <c r="J154" t="str">
        <f>Data_preprocessing!Z154</f>
        <v>Phone not provided</v>
      </c>
      <c r="K154">
        <f t="shared" ca="1" si="6"/>
        <v>5</v>
      </c>
      <c r="L154" t="str">
        <f t="shared" si="7"/>
        <v>Medium</v>
      </c>
      <c r="M154" t="str">
        <f t="shared" si="8"/>
        <v>Average</v>
      </c>
    </row>
    <row r="155" spans="1:13" x14ac:dyDescent="0.25">
      <c r="A155" t="str">
        <f>Data_preprocessing!M155</f>
        <v>Hannah</v>
      </c>
      <c r="B155">
        <f>Data_preprocessing!O155</f>
        <v>35</v>
      </c>
      <c r="C155">
        <f>Data_preprocessing!Q155</f>
        <v>70000</v>
      </c>
      <c r="D155" t="str">
        <f>Data_preprocessing!R155</f>
        <v>Male</v>
      </c>
      <c r="E155" t="str">
        <f>Data_preprocessing!S155</f>
        <v>Marketing</v>
      </c>
      <c r="F155" t="str">
        <f>Data_preprocessing!T155</f>
        <v>Clerk</v>
      </c>
      <c r="G155" s="2">
        <f>Data_preprocessing!U155</f>
        <v>43845</v>
      </c>
      <c r="H155" t="str">
        <f>Data_preprocessing!V155</f>
        <v>A</v>
      </c>
      <c r="I155" t="str">
        <f>Data_preprocessing!Y155</f>
        <v>user@domain.com</v>
      </c>
      <c r="J155" t="str">
        <f>Data_preprocessing!Z155</f>
        <v>123-456-7890</v>
      </c>
      <c r="K155">
        <f t="shared" ca="1" si="6"/>
        <v>6</v>
      </c>
      <c r="L155" t="str">
        <f t="shared" si="7"/>
        <v>High</v>
      </c>
      <c r="M155" t="str">
        <f t="shared" si="8"/>
        <v>Excellent</v>
      </c>
    </row>
    <row r="156" spans="1:13" x14ac:dyDescent="0.25">
      <c r="A156" t="str">
        <f>Data_preprocessing!M156</f>
        <v>Ivy</v>
      </c>
      <c r="B156">
        <f>Data_preprocessing!O156</f>
        <v>40</v>
      </c>
      <c r="C156">
        <f>Data_preprocessing!Q156</f>
        <v>60000</v>
      </c>
      <c r="D156" t="str">
        <f>Data_preprocessing!R156</f>
        <v>Other</v>
      </c>
      <c r="E156" t="str">
        <f>Data_preprocessing!S156</f>
        <v>IT</v>
      </c>
      <c r="F156" t="str">
        <f>Data_preprocessing!T156</f>
        <v>Analyst</v>
      </c>
      <c r="G156" s="2">
        <f>Data_preprocessing!U156</f>
        <v>43881</v>
      </c>
      <c r="H156" t="str">
        <f>Data_preprocessing!V156</f>
        <v>C</v>
      </c>
      <c r="I156" t="str">
        <f>Data_preprocessing!Y156</f>
        <v>email@example.com</v>
      </c>
      <c r="J156" t="str">
        <f>Data_preprocessing!Z156</f>
        <v>Phone not provided</v>
      </c>
      <c r="K156">
        <f t="shared" ca="1" si="6"/>
        <v>5</v>
      </c>
      <c r="L156" t="str">
        <f t="shared" si="7"/>
        <v>Medium</v>
      </c>
      <c r="M156" t="str">
        <f t="shared" si="8"/>
        <v>Average</v>
      </c>
    </row>
    <row r="157" spans="1:13" x14ac:dyDescent="0.25">
      <c r="A157" t="str">
        <f>Data_preprocessing!M157</f>
        <v>Eve</v>
      </c>
      <c r="B157">
        <f>Data_preprocessing!O157</f>
        <v>35</v>
      </c>
      <c r="C157">
        <f>Data_preprocessing!Q157</f>
        <v>65000</v>
      </c>
      <c r="D157" t="str">
        <f>Data_preprocessing!R157</f>
        <v>Other</v>
      </c>
      <c r="E157" t="str">
        <f>Data_preprocessing!S157</f>
        <v>Sales</v>
      </c>
      <c r="F157" t="str">
        <f>Data_preprocessing!T157</f>
        <v>Assistant</v>
      </c>
      <c r="G157" s="2">
        <f>Data_preprocessing!U157</f>
        <v>43800</v>
      </c>
      <c r="H157" t="str">
        <f>Data_preprocessing!V157</f>
        <v>A</v>
      </c>
      <c r="I157" t="str">
        <f>Data_preprocessing!Y157</f>
        <v>Email not provided</v>
      </c>
      <c r="J157" t="str">
        <f>Data_preprocessing!Z157</f>
        <v>123-456-7890</v>
      </c>
      <c r="K157">
        <f t="shared" ca="1" si="6"/>
        <v>6</v>
      </c>
      <c r="L157" t="str">
        <f t="shared" si="7"/>
        <v>High</v>
      </c>
      <c r="M157" t="str">
        <f t="shared" si="8"/>
        <v>Excellent</v>
      </c>
    </row>
    <row r="158" spans="1:13" x14ac:dyDescent="0.25">
      <c r="A158" t="str">
        <f>Data_preprocessing!M158</f>
        <v>Alice</v>
      </c>
      <c r="B158">
        <f>Data_preprocessing!O158</f>
        <v>35</v>
      </c>
      <c r="C158">
        <f>Data_preprocessing!Q158</f>
        <v>50000</v>
      </c>
      <c r="D158" t="str">
        <f>Data_preprocessing!R158</f>
        <v>Female</v>
      </c>
      <c r="E158" t="str">
        <f>Data_preprocessing!S158</f>
        <v>IT</v>
      </c>
      <c r="F158" t="str">
        <f>Data_preprocessing!T158</f>
        <v>Clerk</v>
      </c>
      <c r="G158" s="2">
        <f>Data_preprocessing!U158</f>
        <v>43549</v>
      </c>
      <c r="H158" t="str">
        <f>Data_preprocessing!V158</f>
        <v>F</v>
      </c>
      <c r="I158" t="str">
        <f>Data_preprocessing!Y158</f>
        <v>user@domain.com</v>
      </c>
      <c r="J158" t="str">
        <f>Data_preprocessing!Z158</f>
        <v>555-555-5555</v>
      </c>
      <c r="K158">
        <f t="shared" ca="1" si="6"/>
        <v>6</v>
      </c>
      <c r="L158" t="str">
        <f t="shared" si="7"/>
        <v>Low</v>
      </c>
      <c r="M158" t="str">
        <f t="shared" si="8"/>
        <v>Poor</v>
      </c>
    </row>
    <row r="159" spans="1:13" x14ac:dyDescent="0.25">
      <c r="A159" t="str">
        <f>Data_preprocessing!M159</f>
        <v>Charlie</v>
      </c>
      <c r="B159">
        <f>Data_preprocessing!O159</f>
        <v>40</v>
      </c>
      <c r="C159">
        <f>Data_preprocessing!Q159</f>
        <v>55000</v>
      </c>
      <c r="D159" t="str">
        <f>Data_preprocessing!R159</f>
        <v>Female</v>
      </c>
      <c r="E159" t="str">
        <f>Data_preprocessing!S159</f>
        <v>Marketing</v>
      </c>
      <c r="F159" t="str">
        <f>Data_preprocessing!T159</f>
        <v>Clerk</v>
      </c>
      <c r="G159" s="2">
        <f>Data_preprocessing!U159</f>
        <v>43549</v>
      </c>
      <c r="H159" t="str">
        <f>Data_preprocessing!V159</f>
        <v>F</v>
      </c>
      <c r="I159" t="str">
        <f>Data_preprocessing!Y159</f>
        <v>Email not provided</v>
      </c>
      <c r="J159" t="str">
        <f>Data_preprocessing!Z159</f>
        <v>123-456-7890</v>
      </c>
      <c r="K159">
        <f t="shared" ca="1" si="6"/>
        <v>6</v>
      </c>
      <c r="L159" t="str">
        <f t="shared" si="7"/>
        <v>Low</v>
      </c>
      <c r="M159" t="str">
        <f t="shared" si="8"/>
        <v>Poor</v>
      </c>
    </row>
    <row r="160" spans="1:13" x14ac:dyDescent="0.25">
      <c r="A160" t="str">
        <f>Data_preprocessing!M160</f>
        <v>Jack</v>
      </c>
      <c r="B160">
        <f>Data_preprocessing!O160</f>
        <v>35</v>
      </c>
      <c r="C160">
        <f>Data_preprocessing!Q160</f>
        <v>50000</v>
      </c>
      <c r="D160" t="str">
        <f>Data_preprocessing!R160</f>
        <v>Male</v>
      </c>
      <c r="E160" t="str">
        <f>Data_preprocessing!S160</f>
        <v>Finance</v>
      </c>
      <c r="F160" t="str">
        <f>Data_preprocessing!T160</f>
        <v>Assistant</v>
      </c>
      <c r="G160" s="2">
        <f>Data_preprocessing!U160</f>
        <v>43845</v>
      </c>
      <c r="H160" t="str">
        <f>Data_preprocessing!V160</f>
        <v>D</v>
      </c>
      <c r="I160" t="str">
        <f>Data_preprocessing!Y160</f>
        <v>name@company.org</v>
      </c>
      <c r="J160" t="str">
        <f>Data_preprocessing!Z160</f>
        <v>Phone not provided</v>
      </c>
      <c r="K160">
        <f t="shared" ca="1" si="6"/>
        <v>6</v>
      </c>
      <c r="L160" t="str">
        <f t="shared" si="7"/>
        <v>Low</v>
      </c>
      <c r="M160" t="str">
        <f t="shared" si="8"/>
        <v>Below Average</v>
      </c>
    </row>
    <row r="161" spans="1:13" x14ac:dyDescent="0.25">
      <c r="A161" t="str">
        <f>Data_preprocessing!M161</f>
        <v>Hannah</v>
      </c>
      <c r="B161">
        <f>Data_preprocessing!O161</f>
        <v>30</v>
      </c>
      <c r="C161">
        <f>Data_preprocessing!Q161</f>
        <v>55000</v>
      </c>
      <c r="D161" t="str">
        <f>Data_preprocessing!R161</f>
        <v>Male</v>
      </c>
      <c r="E161" t="str">
        <f>Data_preprocessing!S161</f>
        <v>IT</v>
      </c>
      <c r="F161" t="str">
        <f>Data_preprocessing!T161</f>
        <v>Manager</v>
      </c>
      <c r="G161" s="2">
        <f>Data_preprocessing!U161</f>
        <v>43549</v>
      </c>
      <c r="H161" t="str">
        <f>Data_preprocessing!V161</f>
        <v>D</v>
      </c>
      <c r="I161" t="str">
        <f>Data_preprocessing!Y161</f>
        <v>email@example.com</v>
      </c>
      <c r="J161" t="str">
        <f>Data_preprocessing!Z161</f>
        <v>Phone not provided</v>
      </c>
      <c r="K161">
        <f t="shared" ca="1" si="6"/>
        <v>6</v>
      </c>
      <c r="L161" t="str">
        <f t="shared" si="7"/>
        <v>Low</v>
      </c>
      <c r="M161" t="str">
        <f t="shared" si="8"/>
        <v>Below Average</v>
      </c>
    </row>
    <row r="162" spans="1:13" x14ac:dyDescent="0.25">
      <c r="A162" t="str">
        <f>Data_preprocessing!M162</f>
        <v>Frank</v>
      </c>
      <c r="B162">
        <f>Data_preprocessing!O162</f>
        <v>30</v>
      </c>
      <c r="C162">
        <f>Data_preprocessing!Q162</f>
        <v>55000</v>
      </c>
      <c r="D162" t="str">
        <f>Data_preprocessing!R162</f>
        <v>Male</v>
      </c>
      <c r="E162" t="str">
        <f>Data_preprocessing!S162</f>
        <v>HR</v>
      </c>
      <c r="F162" t="str">
        <f>Data_preprocessing!T162</f>
        <v>Analyst</v>
      </c>
      <c r="G162" s="2">
        <f>Data_preprocessing!U162</f>
        <v>43845</v>
      </c>
      <c r="H162" t="str">
        <f>Data_preprocessing!V162</f>
        <v>D</v>
      </c>
      <c r="I162" t="str">
        <f>Data_preprocessing!Y162</f>
        <v>name@company.org</v>
      </c>
      <c r="J162" t="str">
        <f>Data_preprocessing!Z162</f>
        <v>Phone not provided</v>
      </c>
      <c r="K162">
        <f t="shared" ca="1" si="6"/>
        <v>6</v>
      </c>
      <c r="L162" t="str">
        <f t="shared" si="7"/>
        <v>Low</v>
      </c>
      <c r="M162" t="str">
        <f t="shared" si="8"/>
        <v>Below Average</v>
      </c>
    </row>
    <row r="163" spans="1:13" x14ac:dyDescent="0.25">
      <c r="A163" t="str">
        <f>Data_preprocessing!M163</f>
        <v>Hannah</v>
      </c>
      <c r="B163">
        <f>Data_preprocessing!O163</f>
        <v>25</v>
      </c>
      <c r="C163">
        <f>Data_preprocessing!Q163</f>
        <v>50000</v>
      </c>
      <c r="D163" t="str">
        <f>Data_preprocessing!R163</f>
        <v>Female</v>
      </c>
      <c r="E163" t="str">
        <f>Data_preprocessing!S163</f>
        <v>HR</v>
      </c>
      <c r="F163" t="str">
        <f>Data_preprocessing!T163</f>
        <v>Analyst</v>
      </c>
      <c r="G163" s="2">
        <f>Data_preprocessing!U163</f>
        <v>43845</v>
      </c>
      <c r="H163" t="str">
        <f>Data_preprocessing!V163</f>
        <v>F</v>
      </c>
      <c r="I163" t="str">
        <f>Data_preprocessing!Y163</f>
        <v>Email not provided</v>
      </c>
      <c r="J163" t="str">
        <f>Data_preprocessing!Z163</f>
        <v>555-555-5555</v>
      </c>
      <c r="K163">
        <f t="shared" ca="1" si="6"/>
        <v>6</v>
      </c>
      <c r="L163" t="str">
        <f t="shared" si="7"/>
        <v>Low</v>
      </c>
      <c r="M163" t="str">
        <f t="shared" si="8"/>
        <v>Poor</v>
      </c>
    </row>
    <row r="164" spans="1:13" x14ac:dyDescent="0.25">
      <c r="A164" t="str">
        <f>Data_preprocessing!M164</f>
        <v>Ivy</v>
      </c>
      <c r="B164">
        <f>Data_preprocessing!O164</f>
        <v>40</v>
      </c>
      <c r="C164">
        <f>Data_preprocessing!Q164</f>
        <v>70000</v>
      </c>
      <c r="D164" t="str">
        <f>Data_preprocessing!R164</f>
        <v>Male</v>
      </c>
      <c r="E164" t="str">
        <f>Data_preprocessing!S164</f>
        <v>Sales</v>
      </c>
      <c r="F164" t="str">
        <f>Data_preprocessing!T164</f>
        <v>Manager</v>
      </c>
      <c r="G164" s="2">
        <f>Data_preprocessing!U164</f>
        <v>43881</v>
      </c>
      <c r="H164" t="str">
        <f>Data_preprocessing!V164</f>
        <v>B</v>
      </c>
      <c r="I164" t="str">
        <f>Data_preprocessing!Y164</f>
        <v>user@domain.com</v>
      </c>
      <c r="J164" t="str">
        <f>Data_preprocessing!Z164</f>
        <v>Phone not provided</v>
      </c>
      <c r="K164">
        <f t="shared" ca="1" si="6"/>
        <v>5</v>
      </c>
      <c r="L164" t="str">
        <f t="shared" si="7"/>
        <v>High</v>
      </c>
      <c r="M164" t="str">
        <f t="shared" si="8"/>
        <v>Good</v>
      </c>
    </row>
    <row r="165" spans="1:13" x14ac:dyDescent="0.25">
      <c r="A165" t="str">
        <f>Data_preprocessing!M165</f>
        <v>David</v>
      </c>
      <c r="B165">
        <f>Data_preprocessing!O165</f>
        <v>35</v>
      </c>
      <c r="C165">
        <f>Data_preprocessing!Q165</f>
        <v>55000</v>
      </c>
      <c r="D165" t="str">
        <f>Data_preprocessing!R165</f>
        <v>Male</v>
      </c>
      <c r="E165" t="str">
        <f>Data_preprocessing!S165</f>
        <v>Marketing</v>
      </c>
      <c r="F165" t="str">
        <f>Data_preprocessing!T165</f>
        <v>Assistant</v>
      </c>
      <c r="G165" s="2">
        <f>Data_preprocessing!U165</f>
        <v>43549</v>
      </c>
      <c r="H165" t="str">
        <f>Data_preprocessing!V165</f>
        <v>F</v>
      </c>
      <c r="I165" t="str">
        <f>Data_preprocessing!Y165</f>
        <v>user@domain.com</v>
      </c>
      <c r="J165" t="str">
        <f>Data_preprocessing!Z165</f>
        <v>555-555-5555</v>
      </c>
      <c r="K165">
        <f t="shared" ca="1" si="6"/>
        <v>6</v>
      </c>
      <c r="L165" t="str">
        <f t="shared" si="7"/>
        <v>Low</v>
      </c>
      <c r="M165" t="str">
        <f t="shared" si="8"/>
        <v>Poor</v>
      </c>
    </row>
    <row r="166" spans="1:13" x14ac:dyDescent="0.25">
      <c r="A166" t="str">
        <f>Data_preprocessing!M166</f>
        <v>Alice</v>
      </c>
      <c r="B166">
        <f>Data_preprocessing!O166</f>
        <v>35</v>
      </c>
      <c r="C166">
        <f>Data_preprocessing!Q166</f>
        <v>50000</v>
      </c>
      <c r="D166" t="str">
        <f>Data_preprocessing!R166</f>
        <v>Male</v>
      </c>
      <c r="E166" t="str">
        <f>Data_preprocessing!S166</f>
        <v>Sales</v>
      </c>
      <c r="F166" t="str">
        <f>Data_preprocessing!T166</f>
        <v>Analyst</v>
      </c>
      <c r="G166" s="2">
        <f>Data_preprocessing!U166</f>
        <v>43845</v>
      </c>
      <c r="H166" t="str">
        <f>Data_preprocessing!V166</f>
        <v>C</v>
      </c>
      <c r="I166" t="str">
        <f>Data_preprocessing!Y166</f>
        <v>Email not provided</v>
      </c>
      <c r="J166" t="str">
        <f>Data_preprocessing!Z166</f>
        <v>Phone not provided</v>
      </c>
      <c r="K166">
        <f t="shared" ca="1" si="6"/>
        <v>6</v>
      </c>
      <c r="L166" t="str">
        <f t="shared" si="7"/>
        <v>Low</v>
      </c>
      <c r="M166" t="str">
        <f t="shared" si="8"/>
        <v>Average</v>
      </c>
    </row>
    <row r="167" spans="1:13" x14ac:dyDescent="0.25">
      <c r="A167" t="str">
        <f>Data_preprocessing!M167</f>
        <v>Alice</v>
      </c>
      <c r="B167">
        <f>Data_preprocessing!O167</f>
        <v>30</v>
      </c>
      <c r="C167">
        <f>Data_preprocessing!Q167</f>
        <v>55000</v>
      </c>
      <c r="D167" t="str">
        <f>Data_preprocessing!R167</f>
        <v>Female</v>
      </c>
      <c r="E167" t="str">
        <f>Data_preprocessing!S167</f>
        <v>Sales</v>
      </c>
      <c r="F167" t="str">
        <f>Data_preprocessing!T167</f>
        <v>Assistant</v>
      </c>
      <c r="G167" s="2">
        <f>Data_preprocessing!U167</f>
        <v>43881</v>
      </c>
      <c r="H167" t="str">
        <f>Data_preprocessing!V167</f>
        <v>F</v>
      </c>
      <c r="I167" t="str">
        <f>Data_preprocessing!Y167</f>
        <v>user@domain.com</v>
      </c>
      <c r="J167" t="str">
        <f>Data_preprocessing!Z167</f>
        <v>555-555-5555</v>
      </c>
      <c r="K167">
        <f t="shared" ca="1" si="6"/>
        <v>5</v>
      </c>
      <c r="L167" t="str">
        <f t="shared" si="7"/>
        <v>Low</v>
      </c>
      <c r="M167" t="str">
        <f t="shared" si="8"/>
        <v>Poor</v>
      </c>
    </row>
    <row r="168" spans="1:13" x14ac:dyDescent="0.25">
      <c r="A168" t="str">
        <f>Data_preprocessing!M168</f>
        <v>Jack</v>
      </c>
      <c r="B168">
        <f>Data_preprocessing!O168</f>
        <v>30</v>
      </c>
      <c r="C168">
        <f>Data_preprocessing!Q168</f>
        <v>60000</v>
      </c>
      <c r="D168" t="str">
        <f>Data_preprocessing!R168</f>
        <v>Other</v>
      </c>
      <c r="E168" t="str">
        <f>Data_preprocessing!S168</f>
        <v>Sales</v>
      </c>
      <c r="F168" t="str">
        <f>Data_preprocessing!T168</f>
        <v>Assistant</v>
      </c>
      <c r="G168" s="2">
        <f>Data_preprocessing!U168</f>
        <v>43195</v>
      </c>
      <c r="H168" t="str">
        <f>Data_preprocessing!V168</f>
        <v>F</v>
      </c>
      <c r="I168" t="str">
        <f>Data_preprocessing!Y168</f>
        <v>email@example.com</v>
      </c>
      <c r="J168" t="str">
        <f>Data_preprocessing!Z168</f>
        <v>Phone not provided</v>
      </c>
      <c r="K168">
        <f t="shared" ca="1" si="6"/>
        <v>7</v>
      </c>
      <c r="L168" t="str">
        <f t="shared" si="7"/>
        <v>Medium</v>
      </c>
      <c r="M168" t="str">
        <f t="shared" si="8"/>
        <v>Poor</v>
      </c>
    </row>
    <row r="169" spans="1:13" x14ac:dyDescent="0.25">
      <c r="A169" t="str">
        <f>Data_preprocessing!M169</f>
        <v>David</v>
      </c>
      <c r="B169">
        <f>Data_preprocessing!O169</f>
        <v>35</v>
      </c>
      <c r="C169">
        <f>Data_preprocessing!Q169</f>
        <v>70000</v>
      </c>
      <c r="D169" t="str">
        <f>Data_preprocessing!R169</f>
        <v>Male</v>
      </c>
      <c r="E169" t="str">
        <f>Data_preprocessing!S169</f>
        <v>HR</v>
      </c>
      <c r="F169" t="str">
        <f>Data_preprocessing!T169</f>
        <v>Clerk</v>
      </c>
      <c r="G169" s="2">
        <f>Data_preprocessing!U169</f>
        <v>43881</v>
      </c>
      <c r="H169" t="str">
        <f>Data_preprocessing!V169</f>
        <v>A</v>
      </c>
      <c r="I169" t="str">
        <f>Data_preprocessing!Y169</f>
        <v>Email not provided</v>
      </c>
      <c r="J169" t="str">
        <f>Data_preprocessing!Z169</f>
        <v>Phone not provided</v>
      </c>
      <c r="K169">
        <f t="shared" ca="1" si="6"/>
        <v>5</v>
      </c>
      <c r="L169" t="str">
        <f t="shared" si="7"/>
        <v>High</v>
      </c>
      <c r="M169" t="str">
        <f t="shared" si="8"/>
        <v>Excellent</v>
      </c>
    </row>
    <row r="170" spans="1:13" x14ac:dyDescent="0.25">
      <c r="A170" t="str">
        <f>Data_preprocessing!M170</f>
        <v>Grace</v>
      </c>
      <c r="B170">
        <f>Data_preprocessing!O170</f>
        <v>35</v>
      </c>
      <c r="C170">
        <f>Data_preprocessing!Q170</f>
        <v>65000</v>
      </c>
      <c r="D170" t="str">
        <f>Data_preprocessing!R170</f>
        <v>Other</v>
      </c>
      <c r="E170" t="str">
        <f>Data_preprocessing!S170</f>
        <v>HR</v>
      </c>
      <c r="F170" t="str">
        <f>Data_preprocessing!T170</f>
        <v>Manager</v>
      </c>
      <c r="G170" s="2">
        <f>Data_preprocessing!U170</f>
        <v>43881</v>
      </c>
      <c r="H170" t="str">
        <f>Data_preprocessing!V170</f>
        <v>A</v>
      </c>
      <c r="I170" t="str">
        <f>Data_preprocessing!Y170</f>
        <v>name@company.org</v>
      </c>
      <c r="J170" t="str">
        <f>Data_preprocessing!Z170</f>
        <v>555-555-5555</v>
      </c>
      <c r="K170">
        <f t="shared" ca="1" si="6"/>
        <v>5</v>
      </c>
      <c r="L170" t="str">
        <f t="shared" si="7"/>
        <v>High</v>
      </c>
      <c r="M170" t="str">
        <f t="shared" si="8"/>
        <v>Excellent</v>
      </c>
    </row>
    <row r="171" spans="1:13" x14ac:dyDescent="0.25">
      <c r="A171" t="str">
        <f>Data_preprocessing!M171</f>
        <v>Bob</v>
      </c>
      <c r="B171">
        <f>Data_preprocessing!O171</f>
        <v>35</v>
      </c>
      <c r="C171">
        <f>Data_preprocessing!Q171</f>
        <v>55000</v>
      </c>
      <c r="D171" t="str">
        <f>Data_preprocessing!R171</f>
        <v>Male</v>
      </c>
      <c r="E171" t="str">
        <f>Data_preprocessing!S171</f>
        <v>Sales</v>
      </c>
      <c r="F171" t="str">
        <f>Data_preprocessing!T171</f>
        <v>Assistant</v>
      </c>
      <c r="G171" s="2">
        <f>Data_preprocessing!U171</f>
        <v>43845</v>
      </c>
      <c r="H171" t="str">
        <f>Data_preprocessing!V171</f>
        <v>A</v>
      </c>
      <c r="I171" t="str">
        <f>Data_preprocessing!Y171</f>
        <v>Email not provided</v>
      </c>
      <c r="J171" t="str">
        <f>Data_preprocessing!Z171</f>
        <v>Phone not provided</v>
      </c>
      <c r="K171">
        <f t="shared" ca="1" si="6"/>
        <v>6</v>
      </c>
      <c r="L171" t="str">
        <f t="shared" si="7"/>
        <v>Low</v>
      </c>
      <c r="M171" t="str">
        <f t="shared" si="8"/>
        <v>Excellent</v>
      </c>
    </row>
    <row r="172" spans="1:13" x14ac:dyDescent="0.25">
      <c r="A172" t="str">
        <f>Data_preprocessing!M172</f>
        <v>Charlie</v>
      </c>
      <c r="B172">
        <f>Data_preprocessing!O172</f>
        <v>40</v>
      </c>
      <c r="C172">
        <f>Data_preprocessing!Q172</f>
        <v>60000</v>
      </c>
      <c r="D172" t="str">
        <f>Data_preprocessing!R172</f>
        <v>Other</v>
      </c>
      <c r="E172" t="str">
        <f>Data_preprocessing!S172</f>
        <v>HR</v>
      </c>
      <c r="F172" t="str">
        <f>Data_preprocessing!T172</f>
        <v>Director</v>
      </c>
      <c r="G172" s="2">
        <f>Data_preprocessing!U172</f>
        <v>43800</v>
      </c>
      <c r="H172" t="str">
        <f>Data_preprocessing!V172</f>
        <v>F</v>
      </c>
      <c r="I172" t="str">
        <f>Data_preprocessing!Y172</f>
        <v>user@domain.com</v>
      </c>
      <c r="J172" t="str">
        <f>Data_preprocessing!Z172</f>
        <v>Phone not provided</v>
      </c>
      <c r="K172">
        <f t="shared" ca="1" si="6"/>
        <v>6</v>
      </c>
      <c r="L172" t="str">
        <f t="shared" si="7"/>
        <v>Medium</v>
      </c>
      <c r="M172" t="str">
        <f t="shared" si="8"/>
        <v>Poor</v>
      </c>
    </row>
    <row r="173" spans="1:13" x14ac:dyDescent="0.25">
      <c r="A173" t="str">
        <f>Data_preprocessing!M173</f>
        <v>Alice</v>
      </c>
      <c r="B173">
        <f>Data_preprocessing!O173</f>
        <v>40</v>
      </c>
      <c r="C173">
        <f>Data_preprocessing!Q173</f>
        <v>65000</v>
      </c>
      <c r="D173" t="str">
        <f>Data_preprocessing!R173</f>
        <v>Female</v>
      </c>
      <c r="E173" t="str">
        <f>Data_preprocessing!S173</f>
        <v>Marketing</v>
      </c>
      <c r="F173" t="str">
        <f>Data_preprocessing!T173</f>
        <v>Manager</v>
      </c>
      <c r="G173" s="2">
        <f>Data_preprocessing!U173</f>
        <v>43800</v>
      </c>
      <c r="H173" t="str">
        <f>Data_preprocessing!V173</f>
        <v>B</v>
      </c>
      <c r="I173" t="str">
        <f>Data_preprocessing!Y173</f>
        <v>name@company.org</v>
      </c>
      <c r="J173" t="str">
        <f>Data_preprocessing!Z173</f>
        <v>555-555-5555</v>
      </c>
      <c r="K173">
        <f t="shared" ca="1" si="6"/>
        <v>6</v>
      </c>
      <c r="L173" t="str">
        <f t="shared" si="7"/>
        <v>High</v>
      </c>
      <c r="M173" t="str">
        <f t="shared" si="8"/>
        <v>Good</v>
      </c>
    </row>
    <row r="174" spans="1:13" x14ac:dyDescent="0.25">
      <c r="A174" t="str">
        <f>Data_preprocessing!M174</f>
        <v>Eve</v>
      </c>
      <c r="B174">
        <f>Data_preprocessing!O174</f>
        <v>50</v>
      </c>
      <c r="C174">
        <f>Data_preprocessing!Q174</f>
        <v>65000</v>
      </c>
      <c r="D174" t="str">
        <f>Data_preprocessing!R174</f>
        <v>Female</v>
      </c>
      <c r="E174" t="str">
        <f>Data_preprocessing!S174</f>
        <v>Sales</v>
      </c>
      <c r="F174" t="str">
        <f>Data_preprocessing!T174</f>
        <v>Analyst</v>
      </c>
      <c r="G174" s="2">
        <f>Data_preprocessing!U174</f>
        <v>43800</v>
      </c>
      <c r="H174" t="str">
        <f>Data_preprocessing!V174</f>
        <v>C</v>
      </c>
      <c r="I174" t="str">
        <f>Data_preprocessing!Y174</f>
        <v>Email not provided</v>
      </c>
      <c r="J174" t="str">
        <f>Data_preprocessing!Z174</f>
        <v>Phone not provided</v>
      </c>
      <c r="K174">
        <f t="shared" ca="1" si="6"/>
        <v>6</v>
      </c>
      <c r="L174" t="str">
        <f t="shared" si="7"/>
        <v>High</v>
      </c>
      <c r="M174" t="str">
        <f t="shared" si="8"/>
        <v>Average</v>
      </c>
    </row>
    <row r="175" spans="1:13" x14ac:dyDescent="0.25">
      <c r="A175" t="str">
        <f>Data_preprocessing!M175</f>
        <v>Alice</v>
      </c>
      <c r="B175">
        <f>Data_preprocessing!O175</f>
        <v>50</v>
      </c>
      <c r="C175">
        <f>Data_preprocessing!Q175</f>
        <v>55000</v>
      </c>
      <c r="D175" t="str">
        <f>Data_preprocessing!R175</f>
        <v>Male</v>
      </c>
      <c r="E175" t="str">
        <f>Data_preprocessing!S175</f>
        <v>HR</v>
      </c>
      <c r="F175" t="str">
        <f>Data_preprocessing!T175</f>
        <v>Clerk</v>
      </c>
      <c r="G175" s="2">
        <f>Data_preprocessing!U175</f>
        <v>43881</v>
      </c>
      <c r="H175" t="str">
        <f>Data_preprocessing!V175</f>
        <v>C</v>
      </c>
      <c r="I175" t="str">
        <f>Data_preprocessing!Y175</f>
        <v>Email not provided</v>
      </c>
      <c r="J175" t="str">
        <f>Data_preprocessing!Z175</f>
        <v>Phone not provided</v>
      </c>
      <c r="K175">
        <f t="shared" ca="1" si="6"/>
        <v>5</v>
      </c>
      <c r="L175" t="str">
        <f t="shared" si="7"/>
        <v>Low</v>
      </c>
      <c r="M175" t="str">
        <f t="shared" si="8"/>
        <v>Average</v>
      </c>
    </row>
    <row r="176" spans="1:13" x14ac:dyDescent="0.25">
      <c r="A176" t="str">
        <f>Data_preprocessing!M176</f>
        <v>Hannah</v>
      </c>
      <c r="B176">
        <f>Data_preprocessing!O176</f>
        <v>25</v>
      </c>
      <c r="C176">
        <f>Data_preprocessing!Q176</f>
        <v>50000</v>
      </c>
      <c r="D176" t="str">
        <f>Data_preprocessing!R176</f>
        <v>Other</v>
      </c>
      <c r="E176" t="str">
        <f>Data_preprocessing!S176</f>
        <v>IT</v>
      </c>
      <c r="F176" t="str">
        <f>Data_preprocessing!T176</f>
        <v>Analyst</v>
      </c>
      <c r="G176" s="2">
        <f>Data_preprocessing!U176</f>
        <v>43845</v>
      </c>
      <c r="H176" t="str">
        <f>Data_preprocessing!V176</f>
        <v>B</v>
      </c>
      <c r="I176" t="str">
        <f>Data_preprocessing!Y176</f>
        <v>name@company.org</v>
      </c>
      <c r="J176" t="str">
        <f>Data_preprocessing!Z176</f>
        <v>Phone not provided</v>
      </c>
      <c r="K176">
        <f t="shared" ca="1" si="6"/>
        <v>6</v>
      </c>
      <c r="L176" t="str">
        <f t="shared" si="7"/>
        <v>Low</v>
      </c>
      <c r="M176" t="str">
        <f t="shared" si="8"/>
        <v>Good</v>
      </c>
    </row>
    <row r="177" spans="1:13" x14ac:dyDescent="0.25">
      <c r="A177" t="str">
        <f>Data_preprocessing!M177</f>
        <v>Alice</v>
      </c>
      <c r="B177">
        <f>Data_preprocessing!O177</f>
        <v>30</v>
      </c>
      <c r="C177">
        <f>Data_preprocessing!Q177</f>
        <v>55000</v>
      </c>
      <c r="D177" t="str">
        <f>Data_preprocessing!R177</f>
        <v>Female</v>
      </c>
      <c r="E177" t="str">
        <f>Data_preprocessing!S177</f>
        <v>Sales</v>
      </c>
      <c r="F177" t="str">
        <f>Data_preprocessing!T177</f>
        <v>Analyst</v>
      </c>
      <c r="G177" s="2">
        <f>Data_preprocessing!U177</f>
        <v>43549</v>
      </c>
      <c r="H177" t="str">
        <f>Data_preprocessing!V177</f>
        <v>B</v>
      </c>
      <c r="I177" t="str">
        <f>Data_preprocessing!Y177</f>
        <v>name@company.org</v>
      </c>
      <c r="J177" t="str">
        <f>Data_preprocessing!Z177</f>
        <v>Phone not provided</v>
      </c>
      <c r="K177">
        <f t="shared" ca="1" si="6"/>
        <v>6</v>
      </c>
      <c r="L177" t="str">
        <f t="shared" si="7"/>
        <v>Low</v>
      </c>
      <c r="M177" t="str">
        <f t="shared" si="8"/>
        <v>Good</v>
      </c>
    </row>
    <row r="178" spans="1:13" x14ac:dyDescent="0.25">
      <c r="A178" t="str">
        <f>Data_preprocessing!M178</f>
        <v>Alice</v>
      </c>
      <c r="B178">
        <f>Data_preprocessing!O178</f>
        <v>40</v>
      </c>
      <c r="C178">
        <f>Data_preprocessing!Q178</f>
        <v>60000</v>
      </c>
      <c r="D178" t="str">
        <f>Data_preprocessing!R178</f>
        <v>Male</v>
      </c>
      <c r="E178" t="str">
        <f>Data_preprocessing!S178</f>
        <v>Sales</v>
      </c>
      <c r="F178" t="str">
        <f>Data_preprocessing!T178</f>
        <v>Manager</v>
      </c>
      <c r="G178" s="2">
        <f>Data_preprocessing!U178</f>
        <v>43881</v>
      </c>
      <c r="H178" t="str">
        <f>Data_preprocessing!V178</f>
        <v>C</v>
      </c>
      <c r="I178" t="str">
        <f>Data_preprocessing!Y178</f>
        <v>name@company.org</v>
      </c>
      <c r="J178" t="str">
        <f>Data_preprocessing!Z178</f>
        <v>Phone not provided</v>
      </c>
      <c r="K178">
        <f t="shared" ca="1" si="6"/>
        <v>5</v>
      </c>
      <c r="L178" t="str">
        <f t="shared" si="7"/>
        <v>Medium</v>
      </c>
      <c r="M178" t="str">
        <f t="shared" si="8"/>
        <v>Average</v>
      </c>
    </row>
    <row r="179" spans="1:13" x14ac:dyDescent="0.25">
      <c r="A179" t="str">
        <f>Data_preprocessing!M179</f>
        <v>Bob</v>
      </c>
      <c r="B179">
        <f>Data_preprocessing!O179</f>
        <v>35</v>
      </c>
      <c r="C179">
        <f>Data_preprocessing!Q179</f>
        <v>65000</v>
      </c>
      <c r="D179" t="str">
        <f>Data_preprocessing!R179</f>
        <v>Male</v>
      </c>
      <c r="E179" t="str">
        <f>Data_preprocessing!S179</f>
        <v>Marketing</v>
      </c>
      <c r="F179" t="str">
        <f>Data_preprocessing!T179</f>
        <v>Analyst</v>
      </c>
      <c r="G179" s="2">
        <f>Data_preprocessing!U179</f>
        <v>43881</v>
      </c>
      <c r="H179" t="str">
        <f>Data_preprocessing!V179</f>
        <v>D</v>
      </c>
      <c r="I179" t="str">
        <f>Data_preprocessing!Y179</f>
        <v>email@example.com</v>
      </c>
      <c r="J179" t="str">
        <f>Data_preprocessing!Z179</f>
        <v>555-555-5555</v>
      </c>
      <c r="K179">
        <f t="shared" ca="1" si="6"/>
        <v>5</v>
      </c>
      <c r="L179" t="str">
        <f t="shared" si="7"/>
        <v>High</v>
      </c>
      <c r="M179" t="str">
        <f t="shared" si="8"/>
        <v>Below Average</v>
      </c>
    </row>
    <row r="180" spans="1:13" x14ac:dyDescent="0.25">
      <c r="A180" t="str">
        <f>Data_preprocessing!M180</f>
        <v>Bob</v>
      </c>
      <c r="B180">
        <f>Data_preprocessing!O180</f>
        <v>35</v>
      </c>
      <c r="C180">
        <f>Data_preprocessing!Q180</f>
        <v>55000</v>
      </c>
      <c r="D180" t="str">
        <f>Data_preprocessing!R180</f>
        <v>Female</v>
      </c>
      <c r="E180" t="str">
        <f>Data_preprocessing!S180</f>
        <v>Finance</v>
      </c>
      <c r="F180" t="str">
        <f>Data_preprocessing!T180</f>
        <v>Assistant</v>
      </c>
      <c r="G180" s="2">
        <f>Data_preprocessing!U180</f>
        <v>43845</v>
      </c>
      <c r="H180" t="str">
        <f>Data_preprocessing!V180</f>
        <v>A</v>
      </c>
      <c r="I180" t="str">
        <f>Data_preprocessing!Y180</f>
        <v>Email not provided</v>
      </c>
      <c r="J180" t="str">
        <f>Data_preprocessing!Z180</f>
        <v>Phone not provided</v>
      </c>
      <c r="K180">
        <f t="shared" ca="1" si="6"/>
        <v>6</v>
      </c>
      <c r="L180" t="str">
        <f t="shared" si="7"/>
        <v>Low</v>
      </c>
      <c r="M180" t="str">
        <f t="shared" si="8"/>
        <v>Excellent</v>
      </c>
    </row>
    <row r="181" spans="1:13" x14ac:dyDescent="0.25">
      <c r="A181" t="str">
        <f>Data_preprocessing!M181</f>
        <v>Frank</v>
      </c>
      <c r="B181">
        <f>Data_preprocessing!O181</f>
        <v>35</v>
      </c>
      <c r="C181">
        <f>Data_preprocessing!Q181</f>
        <v>50000</v>
      </c>
      <c r="D181" t="str">
        <f>Data_preprocessing!R181</f>
        <v>Female</v>
      </c>
      <c r="E181" t="str">
        <f>Data_preprocessing!S181</f>
        <v>Finance</v>
      </c>
      <c r="F181" t="str">
        <f>Data_preprocessing!T181</f>
        <v>Analyst</v>
      </c>
      <c r="G181" s="2">
        <f>Data_preprocessing!U181</f>
        <v>43195</v>
      </c>
      <c r="H181" t="str">
        <f>Data_preprocessing!V181</f>
        <v>A</v>
      </c>
      <c r="I181" t="str">
        <f>Data_preprocessing!Y181</f>
        <v>name@company.org</v>
      </c>
      <c r="J181" t="str">
        <f>Data_preprocessing!Z181</f>
        <v>Phone not provided</v>
      </c>
      <c r="K181">
        <f t="shared" ca="1" si="6"/>
        <v>7</v>
      </c>
      <c r="L181" t="str">
        <f t="shared" si="7"/>
        <v>Low</v>
      </c>
      <c r="M181" t="str">
        <f t="shared" si="8"/>
        <v>Excellent</v>
      </c>
    </row>
    <row r="182" spans="1:13" x14ac:dyDescent="0.25">
      <c r="A182" t="str">
        <f>Data_preprocessing!M182</f>
        <v>Grace</v>
      </c>
      <c r="B182">
        <f>Data_preprocessing!O182</f>
        <v>30</v>
      </c>
      <c r="C182">
        <f>Data_preprocessing!Q182</f>
        <v>55000</v>
      </c>
      <c r="D182" t="str">
        <f>Data_preprocessing!R182</f>
        <v>Male</v>
      </c>
      <c r="E182" t="str">
        <f>Data_preprocessing!S182</f>
        <v>Marketing</v>
      </c>
      <c r="F182" t="str">
        <f>Data_preprocessing!T182</f>
        <v>Clerk</v>
      </c>
      <c r="G182" s="2">
        <f>Data_preprocessing!U182</f>
        <v>43881</v>
      </c>
      <c r="H182" t="str">
        <f>Data_preprocessing!V182</f>
        <v>C</v>
      </c>
      <c r="I182" t="str">
        <f>Data_preprocessing!Y182</f>
        <v>Email not provided</v>
      </c>
      <c r="J182" t="str">
        <f>Data_preprocessing!Z182</f>
        <v>123-456-7890</v>
      </c>
      <c r="K182">
        <f t="shared" ca="1" si="6"/>
        <v>5</v>
      </c>
      <c r="L182" t="str">
        <f t="shared" si="7"/>
        <v>Low</v>
      </c>
      <c r="M182" t="str">
        <f t="shared" si="8"/>
        <v>Average</v>
      </c>
    </row>
    <row r="183" spans="1:13" x14ac:dyDescent="0.25">
      <c r="A183" t="str">
        <f>Data_preprocessing!M183</f>
        <v>Eve</v>
      </c>
      <c r="B183">
        <f>Data_preprocessing!O183</f>
        <v>50</v>
      </c>
      <c r="C183">
        <f>Data_preprocessing!Q183</f>
        <v>70000</v>
      </c>
      <c r="D183" t="str">
        <f>Data_preprocessing!R183</f>
        <v>Other</v>
      </c>
      <c r="E183" t="str">
        <f>Data_preprocessing!S183</f>
        <v>Marketing</v>
      </c>
      <c r="F183" t="str">
        <f>Data_preprocessing!T183</f>
        <v>Clerk</v>
      </c>
      <c r="G183" s="2">
        <f>Data_preprocessing!U183</f>
        <v>43195</v>
      </c>
      <c r="H183" t="str">
        <f>Data_preprocessing!V183</f>
        <v>B</v>
      </c>
      <c r="I183" t="str">
        <f>Data_preprocessing!Y183</f>
        <v>name@company.org</v>
      </c>
      <c r="J183" t="str">
        <f>Data_preprocessing!Z183</f>
        <v>Phone not provided</v>
      </c>
      <c r="K183">
        <f t="shared" ca="1" si="6"/>
        <v>7</v>
      </c>
      <c r="L183" t="str">
        <f t="shared" si="7"/>
        <v>High</v>
      </c>
      <c r="M183" t="str">
        <f t="shared" si="8"/>
        <v>Good</v>
      </c>
    </row>
    <row r="184" spans="1:13" x14ac:dyDescent="0.25">
      <c r="A184" t="str">
        <f>Data_preprocessing!M184</f>
        <v>Alice</v>
      </c>
      <c r="B184">
        <f>Data_preprocessing!O184</f>
        <v>35</v>
      </c>
      <c r="C184">
        <f>Data_preprocessing!Q184</f>
        <v>50000</v>
      </c>
      <c r="D184" t="str">
        <f>Data_preprocessing!R184</f>
        <v>Other</v>
      </c>
      <c r="E184" t="str">
        <f>Data_preprocessing!S184</f>
        <v>Marketing</v>
      </c>
      <c r="F184" t="str">
        <f>Data_preprocessing!T184</f>
        <v>Director</v>
      </c>
      <c r="G184" s="2">
        <f>Data_preprocessing!U184</f>
        <v>43195</v>
      </c>
      <c r="H184" t="str">
        <f>Data_preprocessing!V184</f>
        <v>D</v>
      </c>
      <c r="I184" t="str">
        <f>Data_preprocessing!Y184</f>
        <v>Email not provided</v>
      </c>
      <c r="J184" t="str">
        <f>Data_preprocessing!Z184</f>
        <v>Phone not provided</v>
      </c>
      <c r="K184">
        <f t="shared" ca="1" si="6"/>
        <v>7</v>
      </c>
      <c r="L184" t="str">
        <f t="shared" si="7"/>
        <v>Low</v>
      </c>
      <c r="M184" t="str">
        <f t="shared" si="8"/>
        <v>Below Average</v>
      </c>
    </row>
    <row r="185" spans="1:13" x14ac:dyDescent="0.25">
      <c r="A185" t="str">
        <f>Data_preprocessing!M185</f>
        <v>Alice</v>
      </c>
      <c r="B185">
        <f>Data_preprocessing!O185</f>
        <v>25</v>
      </c>
      <c r="C185">
        <f>Data_preprocessing!Q185</f>
        <v>60000</v>
      </c>
      <c r="D185" t="str">
        <f>Data_preprocessing!R185</f>
        <v>Other</v>
      </c>
      <c r="E185" t="str">
        <f>Data_preprocessing!S185</f>
        <v>Finance</v>
      </c>
      <c r="F185" t="str">
        <f>Data_preprocessing!T185</f>
        <v>Clerk</v>
      </c>
      <c r="G185" s="2">
        <f>Data_preprocessing!U185</f>
        <v>43800</v>
      </c>
      <c r="H185" t="str">
        <f>Data_preprocessing!V185</f>
        <v>C</v>
      </c>
      <c r="I185" t="str">
        <f>Data_preprocessing!Y185</f>
        <v>Email not provided</v>
      </c>
      <c r="J185" t="str">
        <f>Data_preprocessing!Z185</f>
        <v>123-456-7890</v>
      </c>
      <c r="K185">
        <f t="shared" ca="1" si="6"/>
        <v>6</v>
      </c>
      <c r="L185" t="str">
        <f t="shared" si="7"/>
        <v>Medium</v>
      </c>
      <c r="M185" t="str">
        <f t="shared" si="8"/>
        <v>Average</v>
      </c>
    </row>
    <row r="186" spans="1:13" x14ac:dyDescent="0.25">
      <c r="A186" t="str">
        <f>Data_preprocessing!M186</f>
        <v>Charlie</v>
      </c>
      <c r="B186">
        <f>Data_preprocessing!O186</f>
        <v>30</v>
      </c>
      <c r="C186">
        <f>Data_preprocessing!Q186</f>
        <v>65000</v>
      </c>
      <c r="D186" t="str">
        <f>Data_preprocessing!R186</f>
        <v>Male</v>
      </c>
      <c r="E186" t="str">
        <f>Data_preprocessing!S186</f>
        <v>Marketing</v>
      </c>
      <c r="F186" t="str">
        <f>Data_preprocessing!T186</f>
        <v>Analyst</v>
      </c>
      <c r="G186" s="2">
        <f>Data_preprocessing!U186</f>
        <v>43845</v>
      </c>
      <c r="H186" t="str">
        <f>Data_preprocessing!V186</f>
        <v>A</v>
      </c>
      <c r="I186" t="str">
        <f>Data_preprocessing!Y186</f>
        <v>Email not provided</v>
      </c>
      <c r="J186" t="str">
        <f>Data_preprocessing!Z186</f>
        <v>Phone not provided</v>
      </c>
      <c r="K186">
        <f t="shared" ca="1" si="6"/>
        <v>6</v>
      </c>
      <c r="L186" t="str">
        <f t="shared" si="7"/>
        <v>High</v>
      </c>
      <c r="M186" t="str">
        <f t="shared" si="8"/>
        <v>Excellent</v>
      </c>
    </row>
    <row r="187" spans="1:13" x14ac:dyDescent="0.25">
      <c r="A187" t="str">
        <f>Data_preprocessing!M187</f>
        <v>Bob</v>
      </c>
      <c r="B187">
        <f>Data_preprocessing!O187</f>
        <v>50</v>
      </c>
      <c r="C187">
        <f>Data_preprocessing!Q187</f>
        <v>55000</v>
      </c>
      <c r="D187" t="str">
        <f>Data_preprocessing!R187</f>
        <v>Female</v>
      </c>
      <c r="E187" t="str">
        <f>Data_preprocessing!S187</f>
        <v>HR</v>
      </c>
      <c r="F187" t="str">
        <f>Data_preprocessing!T187</f>
        <v>Clerk</v>
      </c>
      <c r="G187" s="2">
        <f>Data_preprocessing!U187</f>
        <v>43195</v>
      </c>
      <c r="H187" t="str">
        <f>Data_preprocessing!V187</f>
        <v>F</v>
      </c>
      <c r="I187" t="str">
        <f>Data_preprocessing!Y187</f>
        <v>user@domain.com</v>
      </c>
      <c r="J187" t="str">
        <f>Data_preprocessing!Z187</f>
        <v>098-765-4321</v>
      </c>
      <c r="K187">
        <f t="shared" ca="1" si="6"/>
        <v>7</v>
      </c>
      <c r="L187" t="str">
        <f t="shared" si="7"/>
        <v>Low</v>
      </c>
      <c r="M187" t="str">
        <f t="shared" si="8"/>
        <v>Poor</v>
      </c>
    </row>
    <row r="188" spans="1:13" x14ac:dyDescent="0.25">
      <c r="A188" t="str">
        <f>Data_preprocessing!M188</f>
        <v>Eve</v>
      </c>
      <c r="B188">
        <f>Data_preprocessing!O188</f>
        <v>35</v>
      </c>
      <c r="C188">
        <f>Data_preprocessing!Q188</f>
        <v>50000</v>
      </c>
      <c r="D188" t="str">
        <f>Data_preprocessing!R188</f>
        <v>Male</v>
      </c>
      <c r="E188" t="str">
        <f>Data_preprocessing!S188</f>
        <v>Sales</v>
      </c>
      <c r="F188" t="str">
        <f>Data_preprocessing!T188</f>
        <v>Manager</v>
      </c>
      <c r="G188" s="2">
        <f>Data_preprocessing!U188</f>
        <v>43845</v>
      </c>
      <c r="H188" t="str">
        <f>Data_preprocessing!V188</f>
        <v>B</v>
      </c>
      <c r="I188" t="str">
        <f>Data_preprocessing!Y188</f>
        <v>name@company.org</v>
      </c>
      <c r="J188" t="str">
        <f>Data_preprocessing!Z188</f>
        <v>098-765-4321</v>
      </c>
      <c r="K188">
        <f t="shared" ca="1" si="6"/>
        <v>6</v>
      </c>
      <c r="L188" t="str">
        <f t="shared" si="7"/>
        <v>Low</v>
      </c>
      <c r="M188" t="str">
        <f t="shared" si="8"/>
        <v>Good</v>
      </c>
    </row>
    <row r="189" spans="1:13" x14ac:dyDescent="0.25">
      <c r="A189" t="str">
        <f>Data_preprocessing!M189</f>
        <v>Jack</v>
      </c>
      <c r="B189">
        <f>Data_preprocessing!O189</f>
        <v>50</v>
      </c>
      <c r="C189">
        <f>Data_preprocessing!Q189</f>
        <v>70000</v>
      </c>
      <c r="D189" t="str">
        <f>Data_preprocessing!R189</f>
        <v>Female</v>
      </c>
      <c r="E189" t="str">
        <f>Data_preprocessing!S189</f>
        <v>Sales</v>
      </c>
      <c r="F189" t="str">
        <f>Data_preprocessing!T189</f>
        <v>Clerk</v>
      </c>
      <c r="G189" s="2">
        <f>Data_preprocessing!U189</f>
        <v>43800</v>
      </c>
      <c r="H189" t="str">
        <f>Data_preprocessing!V189</f>
        <v>F</v>
      </c>
      <c r="I189" t="str">
        <f>Data_preprocessing!Y189</f>
        <v>user@domain.com</v>
      </c>
      <c r="J189" t="str">
        <f>Data_preprocessing!Z189</f>
        <v>Phone not provided</v>
      </c>
      <c r="K189">
        <f t="shared" ca="1" si="6"/>
        <v>6</v>
      </c>
      <c r="L189" t="str">
        <f t="shared" si="7"/>
        <v>High</v>
      </c>
      <c r="M189" t="str">
        <f t="shared" si="8"/>
        <v>Poor</v>
      </c>
    </row>
    <row r="190" spans="1:13" x14ac:dyDescent="0.25">
      <c r="A190" t="str">
        <f>Data_preprocessing!M190</f>
        <v>Frank</v>
      </c>
      <c r="B190">
        <f>Data_preprocessing!O190</f>
        <v>25</v>
      </c>
      <c r="C190">
        <f>Data_preprocessing!Q190</f>
        <v>50000</v>
      </c>
      <c r="D190" t="str">
        <f>Data_preprocessing!R190</f>
        <v>Other</v>
      </c>
      <c r="E190" t="str">
        <f>Data_preprocessing!S190</f>
        <v>IT</v>
      </c>
      <c r="F190" t="str">
        <f>Data_preprocessing!T190</f>
        <v>Assistant</v>
      </c>
      <c r="G190" s="2">
        <f>Data_preprocessing!U190</f>
        <v>43845</v>
      </c>
      <c r="H190" t="str">
        <f>Data_preprocessing!V190</f>
        <v>C</v>
      </c>
      <c r="I190" t="str">
        <f>Data_preprocessing!Y190</f>
        <v>Email not provided</v>
      </c>
      <c r="J190" t="str">
        <f>Data_preprocessing!Z190</f>
        <v>Phone not provided</v>
      </c>
      <c r="K190">
        <f t="shared" ca="1" si="6"/>
        <v>6</v>
      </c>
      <c r="L190" t="str">
        <f t="shared" si="7"/>
        <v>Low</v>
      </c>
      <c r="M190" t="str">
        <f t="shared" si="8"/>
        <v>Average</v>
      </c>
    </row>
    <row r="191" spans="1:13" x14ac:dyDescent="0.25">
      <c r="A191" t="str">
        <f>Data_preprocessing!M191</f>
        <v>Grace</v>
      </c>
      <c r="B191">
        <f>Data_preprocessing!O191</f>
        <v>30</v>
      </c>
      <c r="C191">
        <f>Data_preprocessing!Q191</f>
        <v>60000</v>
      </c>
      <c r="D191" t="str">
        <f>Data_preprocessing!R191</f>
        <v>Other</v>
      </c>
      <c r="E191" t="str">
        <f>Data_preprocessing!S191</f>
        <v>IT</v>
      </c>
      <c r="F191" t="str">
        <f>Data_preprocessing!T191</f>
        <v>Manager</v>
      </c>
      <c r="G191" s="2">
        <f>Data_preprocessing!U191</f>
        <v>43881</v>
      </c>
      <c r="H191" t="str">
        <f>Data_preprocessing!V191</f>
        <v>A</v>
      </c>
      <c r="I191" t="str">
        <f>Data_preprocessing!Y191</f>
        <v>user@domain.com</v>
      </c>
      <c r="J191" t="str">
        <f>Data_preprocessing!Z191</f>
        <v>098-765-4321</v>
      </c>
      <c r="K191">
        <f t="shared" ca="1" si="6"/>
        <v>5</v>
      </c>
      <c r="L191" t="str">
        <f t="shared" si="7"/>
        <v>Medium</v>
      </c>
      <c r="M191" t="str">
        <f t="shared" si="8"/>
        <v>Excellent</v>
      </c>
    </row>
    <row r="192" spans="1:13" x14ac:dyDescent="0.25">
      <c r="A192" t="str">
        <f>Data_preprocessing!M192</f>
        <v>David</v>
      </c>
      <c r="B192">
        <f>Data_preprocessing!O192</f>
        <v>35</v>
      </c>
      <c r="C192">
        <f>Data_preprocessing!Q192</f>
        <v>70000</v>
      </c>
      <c r="D192" t="str">
        <f>Data_preprocessing!R192</f>
        <v>Female</v>
      </c>
      <c r="E192" t="str">
        <f>Data_preprocessing!S192</f>
        <v>Sales</v>
      </c>
      <c r="F192" t="str">
        <f>Data_preprocessing!T192</f>
        <v>Director</v>
      </c>
      <c r="G192" s="2">
        <f>Data_preprocessing!U192</f>
        <v>43195</v>
      </c>
      <c r="H192" t="str">
        <f>Data_preprocessing!V192</f>
        <v>D</v>
      </c>
      <c r="I192" t="str">
        <f>Data_preprocessing!Y192</f>
        <v>Email not provided</v>
      </c>
      <c r="J192" t="str">
        <f>Data_preprocessing!Z192</f>
        <v>555-555-5555</v>
      </c>
      <c r="K192">
        <f t="shared" ca="1" si="6"/>
        <v>7</v>
      </c>
      <c r="L192" t="str">
        <f t="shared" si="7"/>
        <v>High</v>
      </c>
      <c r="M192" t="str">
        <f t="shared" si="8"/>
        <v>Below Average</v>
      </c>
    </row>
    <row r="193" spans="1:13" x14ac:dyDescent="0.25">
      <c r="A193" t="str">
        <f>Data_preprocessing!M193</f>
        <v>Grace</v>
      </c>
      <c r="B193">
        <f>Data_preprocessing!O193</f>
        <v>25</v>
      </c>
      <c r="C193">
        <f>Data_preprocessing!Q193</f>
        <v>60000</v>
      </c>
      <c r="D193" t="str">
        <f>Data_preprocessing!R193</f>
        <v>Female</v>
      </c>
      <c r="E193" t="str">
        <f>Data_preprocessing!S193</f>
        <v>HR</v>
      </c>
      <c r="F193" t="str">
        <f>Data_preprocessing!T193</f>
        <v>Assistant</v>
      </c>
      <c r="G193" s="2">
        <f>Data_preprocessing!U193</f>
        <v>43845</v>
      </c>
      <c r="H193" t="str">
        <f>Data_preprocessing!V193</f>
        <v>F</v>
      </c>
      <c r="I193" t="str">
        <f>Data_preprocessing!Y193</f>
        <v>Email not provided</v>
      </c>
      <c r="J193" t="str">
        <f>Data_preprocessing!Z193</f>
        <v>555-555-5555</v>
      </c>
      <c r="K193">
        <f t="shared" ca="1" si="6"/>
        <v>6</v>
      </c>
      <c r="L193" t="str">
        <f t="shared" si="7"/>
        <v>Medium</v>
      </c>
      <c r="M193" t="str">
        <f t="shared" si="8"/>
        <v>Poor</v>
      </c>
    </row>
    <row r="194" spans="1:13" x14ac:dyDescent="0.25">
      <c r="A194" t="str">
        <f>Data_preprocessing!M194</f>
        <v>Hannah</v>
      </c>
      <c r="B194">
        <f>Data_preprocessing!O194</f>
        <v>50</v>
      </c>
      <c r="C194">
        <f>Data_preprocessing!Q194</f>
        <v>65000</v>
      </c>
      <c r="D194" t="str">
        <f>Data_preprocessing!R194</f>
        <v>Male</v>
      </c>
      <c r="E194" t="str">
        <f>Data_preprocessing!S194</f>
        <v>Finance</v>
      </c>
      <c r="F194" t="str">
        <f>Data_preprocessing!T194</f>
        <v>Analyst</v>
      </c>
      <c r="G194" s="2">
        <f>Data_preprocessing!U194</f>
        <v>43549</v>
      </c>
      <c r="H194" t="str">
        <f>Data_preprocessing!V194</f>
        <v>D</v>
      </c>
      <c r="I194" t="str">
        <f>Data_preprocessing!Y194</f>
        <v>Email not provided</v>
      </c>
      <c r="J194" t="str">
        <f>Data_preprocessing!Z194</f>
        <v>123-456-7890</v>
      </c>
      <c r="K194">
        <f t="shared" ref="K194:K257" ca="1" si="9">DATEDIF(G194,TODAY(),"Y")</f>
        <v>6</v>
      </c>
      <c r="L194" t="str">
        <f t="shared" ref="L194:L257" si="10">IF(C194&lt;60000,"Low",IF(C194&lt;65000,"Medium","High"))</f>
        <v>High</v>
      </c>
      <c r="M194" t="str">
        <f t="shared" si="8"/>
        <v>Below Average</v>
      </c>
    </row>
    <row r="195" spans="1:13" x14ac:dyDescent="0.25">
      <c r="A195" t="str">
        <f>Data_preprocessing!M195</f>
        <v>Alice</v>
      </c>
      <c r="B195">
        <f>Data_preprocessing!O195</f>
        <v>25</v>
      </c>
      <c r="C195">
        <f>Data_preprocessing!Q195</f>
        <v>60000</v>
      </c>
      <c r="D195" t="str">
        <f>Data_preprocessing!R195</f>
        <v>Other</v>
      </c>
      <c r="E195" t="str">
        <f>Data_preprocessing!S195</f>
        <v>Finance</v>
      </c>
      <c r="F195" t="str">
        <f>Data_preprocessing!T195</f>
        <v>Analyst</v>
      </c>
      <c r="G195" s="2">
        <f>Data_preprocessing!U195</f>
        <v>43845</v>
      </c>
      <c r="H195" t="str">
        <f>Data_preprocessing!V195</f>
        <v>A</v>
      </c>
      <c r="I195" t="str">
        <f>Data_preprocessing!Y195</f>
        <v>user@domain.com</v>
      </c>
      <c r="J195" t="str">
        <f>Data_preprocessing!Z195</f>
        <v>Phone not provided</v>
      </c>
      <c r="K195">
        <f t="shared" ca="1" si="9"/>
        <v>6</v>
      </c>
      <c r="L195" t="str">
        <f t="shared" si="10"/>
        <v>Medium</v>
      </c>
      <c r="M195" t="str">
        <f t="shared" ref="M195:M258" si="11">IF(H195="A","Excellent",IF(H195="B","Good",IF(H195="C","Average",IF(H195="D","Below Average","Poor"))))</f>
        <v>Excellent</v>
      </c>
    </row>
    <row r="196" spans="1:13" x14ac:dyDescent="0.25">
      <c r="A196" t="str">
        <f>Data_preprocessing!M196</f>
        <v>Frank</v>
      </c>
      <c r="B196">
        <f>Data_preprocessing!O196</f>
        <v>30</v>
      </c>
      <c r="C196">
        <f>Data_preprocessing!Q196</f>
        <v>55000</v>
      </c>
      <c r="D196" t="str">
        <f>Data_preprocessing!R196</f>
        <v>Male</v>
      </c>
      <c r="E196" t="str">
        <f>Data_preprocessing!S196</f>
        <v>HR</v>
      </c>
      <c r="F196" t="str">
        <f>Data_preprocessing!T196</f>
        <v>Analyst</v>
      </c>
      <c r="G196" s="2">
        <f>Data_preprocessing!U196</f>
        <v>43195</v>
      </c>
      <c r="H196" t="str">
        <f>Data_preprocessing!V196</f>
        <v>F</v>
      </c>
      <c r="I196" t="str">
        <f>Data_preprocessing!Y196</f>
        <v>name@company.org</v>
      </c>
      <c r="J196" t="str">
        <f>Data_preprocessing!Z196</f>
        <v>Phone not provided</v>
      </c>
      <c r="K196">
        <f t="shared" ca="1" si="9"/>
        <v>7</v>
      </c>
      <c r="L196" t="str">
        <f t="shared" si="10"/>
        <v>Low</v>
      </c>
      <c r="M196" t="str">
        <f t="shared" si="11"/>
        <v>Poor</v>
      </c>
    </row>
    <row r="197" spans="1:13" x14ac:dyDescent="0.25">
      <c r="A197" t="str">
        <f>Data_preprocessing!M197</f>
        <v>Hannah</v>
      </c>
      <c r="B197">
        <f>Data_preprocessing!O197</f>
        <v>40</v>
      </c>
      <c r="C197">
        <f>Data_preprocessing!Q197</f>
        <v>50000</v>
      </c>
      <c r="D197" t="str">
        <f>Data_preprocessing!R197</f>
        <v>Male</v>
      </c>
      <c r="E197" t="str">
        <f>Data_preprocessing!S197</f>
        <v>Finance</v>
      </c>
      <c r="F197" t="str">
        <f>Data_preprocessing!T197</f>
        <v>Assistant</v>
      </c>
      <c r="G197" s="2">
        <f>Data_preprocessing!U197</f>
        <v>43800</v>
      </c>
      <c r="H197" t="str">
        <f>Data_preprocessing!V197</f>
        <v>D</v>
      </c>
      <c r="I197" t="str">
        <f>Data_preprocessing!Y197</f>
        <v>user@domain.com</v>
      </c>
      <c r="J197" t="str">
        <f>Data_preprocessing!Z197</f>
        <v>098-765-4321</v>
      </c>
      <c r="K197">
        <f t="shared" ca="1" si="9"/>
        <v>6</v>
      </c>
      <c r="L197" t="str">
        <f t="shared" si="10"/>
        <v>Low</v>
      </c>
      <c r="M197" t="str">
        <f t="shared" si="11"/>
        <v>Below Average</v>
      </c>
    </row>
    <row r="198" spans="1:13" x14ac:dyDescent="0.25">
      <c r="A198" t="str">
        <f>Data_preprocessing!M198</f>
        <v>Eve</v>
      </c>
      <c r="B198">
        <f>Data_preprocessing!O198</f>
        <v>25</v>
      </c>
      <c r="C198">
        <f>Data_preprocessing!Q198</f>
        <v>60000</v>
      </c>
      <c r="D198" t="str">
        <f>Data_preprocessing!R198</f>
        <v>Male</v>
      </c>
      <c r="E198" t="str">
        <f>Data_preprocessing!S198</f>
        <v>Marketing</v>
      </c>
      <c r="F198" t="str">
        <f>Data_preprocessing!T198</f>
        <v>Assistant</v>
      </c>
      <c r="G198" s="2">
        <f>Data_preprocessing!U198</f>
        <v>43800</v>
      </c>
      <c r="H198" t="str">
        <f>Data_preprocessing!V198</f>
        <v>D</v>
      </c>
      <c r="I198" t="str">
        <f>Data_preprocessing!Y198</f>
        <v>name@company.org</v>
      </c>
      <c r="J198" t="str">
        <f>Data_preprocessing!Z198</f>
        <v>Phone not provided</v>
      </c>
      <c r="K198">
        <f t="shared" ca="1" si="9"/>
        <v>6</v>
      </c>
      <c r="L198" t="str">
        <f t="shared" si="10"/>
        <v>Medium</v>
      </c>
      <c r="M198" t="str">
        <f t="shared" si="11"/>
        <v>Below Average</v>
      </c>
    </row>
    <row r="199" spans="1:13" x14ac:dyDescent="0.25">
      <c r="A199" t="str">
        <f>Data_preprocessing!M199</f>
        <v>David</v>
      </c>
      <c r="B199">
        <f>Data_preprocessing!O199</f>
        <v>25</v>
      </c>
      <c r="C199">
        <f>Data_preprocessing!Q199</f>
        <v>70000</v>
      </c>
      <c r="D199" t="str">
        <f>Data_preprocessing!R199</f>
        <v>Other</v>
      </c>
      <c r="E199" t="str">
        <f>Data_preprocessing!S199</f>
        <v>Sales</v>
      </c>
      <c r="F199" t="str">
        <f>Data_preprocessing!T199</f>
        <v>Assistant</v>
      </c>
      <c r="G199" s="2">
        <f>Data_preprocessing!U199</f>
        <v>43195</v>
      </c>
      <c r="H199" t="str">
        <f>Data_preprocessing!V199</f>
        <v>F</v>
      </c>
      <c r="I199" t="str">
        <f>Data_preprocessing!Y199</f>
        <v>name@company.org</v>
      </c>
      <c r="J199" t="str">
        <f>Data_preprocessing!Z199</f>
        <v>Phone not provided</v>
      </c>
      <c r="K199">
        <f t="shared" ca="1" si="9"/>
        <v>7</v>
      </c>
      <c r="L199" t="str">
        <f t="shared" si="10"/>
        <v>High</v>
      </c>
      <c r="M199" t="str">
        <f t="shared" si="11"/>
        <v>Poor</v>
      </c>
    </row>
    <row r="200" spans="1:13" x14ac:dyDescent="0.25">
      <c r="A200" t="str">
        <f>Data_preprocessing!M200</f>
        <v>Bob</v>
      </c>
      <c r="B200">
        <f>Data_preprocessing!O200</f>
        <v>50</v>
      </c>
      <c r="C200">
        <f>Data_preprocessing!Q200</f>
        <v>70000</v>
      </c>
      <c r="D200" t="str">
        <f>Data_preprocessing!R200</f>
        <v>Male</v>
      </c>
      <c r="E200" t="str">
        <f>Data_preprocessing!S200</f>
        <v>Sales</v>
      </c>
      <c r="F200" t="str">
        <f>Data_preprocessing!T200</f>
        <v>Manager</v>
      </c>
      <c r="G200" s="2">
        <f>Data_preprocessing!U200</f>
        <v>43881</v>
      </c>
      <c r="H200" t="str">
        <f>Data_preprocessing!V200</f>
        <v>A</v>
      </c>
      <c r="I200" t="str">
        <f>Data_preprocessing!Y200</f>
        <v>Email not provided</v>
      </c>
      <c r="J200" t="str">
        <f>Data_preprocessing!Z200</f>
        <v>098-765-4321</v>
      </c>
      <c r="K200">
        <f t="shared" ca="1" si="9"/>
        <v>5</v>
      </c>
      <c r="L200" t="str">
        <f t="shared" si="10"/>
        <v>High</v>
      </c>
      <c r="M200" t="str">
        <f t="shared" si="11"/>
        <v>Excellent</v>
      </c>
    </row>
    <row r="201" spans="1:13" x14ac:dyDescent="0.25">
      <c r="A201" t="str">
        <f>Data_preprocessing!M201</f>
        <v>Frank</v>
      </c>
      <c r="B201">
        <f>Data_preprocessing!O201</f>
        <v>50</v>
      </c>
      <c r="C201">
        <f>Data_preprocessing!Q201</f>
        <v>50000</v>
      </c>
      <c r="D201" t="str">
        <f>Data_preprocessing!R201</f>
        <v>Male</v>
      </c>
      <c r="E201" t="str">
        <f>Data_preprocessing!S201</f>
        <v>HR</v>
      </c>
      <c r="F201" t="str">
        <f>Data_preprocessing!T201</f>
        <v>Manager</v>
      </c>
      <c r="G201" s="2">
        <f>Data_preprocessing!U201</f>
        <v>43881</v>
      </c>
      <c r="H201" t="str">
        <f>Data_preprocessing!V201</f>
        <v>D</v>
      </c>
      <c r="I201" t="str">
        <f>Data_preprocessing!Y201</f>
        <v>user@domain.com</v>
      </c>
      <c r="J201" t="str">
        <f>Data_preprocessing!Z201</f>
        <v>098-765-4321</v>
      </c>
      <c r="K201">
        <f t="shared" ca="1" si="9"/>
        <v>5</v>
      </c>
      <c r="L201" t="str">
        <f t="shared" si="10"/>
        <v>Low</v>
      </c>
      <c r="M201" t="str">
        <f t="shared" si="11"/>
        <v>Below Average</v>
      </c>
    </row>
    <row r="202" spans="1:13" x14ac:dyDescent="0.25">
      <c r="A202" t="str">
        <f>Data_preprocessing!M202</f>
        <v>Frank</v>
      </c>
      <c r="B202">
        <f>Data_preprocessing!O202</f>
        <v>35</v>
      </c>
      <c r="C202">
        <f>Data_preprocessing!Q202</f>
        <v>60000</v>
      </c>
      <c r="D202" t="str">
        <f>Data_preprocessing!R202</f>
        <v>Male</v>
      </c>
      <c r="E202" t="str">
        <f>Data_preprocessing!S202</f>
        <v>Finance</v>
      </c>
      <c r="F202" t="str">
        <f>Data_preprocessing!T202</f>
        <v>Analyst</v>
      </c>
      <c r="G202" s="2">
        <f>Data_preprocessing!U202</f>
        <v>43800</v>
      </c>
      <c r="H202" t="str">
        <f>Data_preprocessing!V202</f>
        <v>C</v>
      </c>
      <c r="I202" t="str">
        <f>Data_preprocessing!Y202</f>
        <v>name@company.org</v>
      </c>
      <c r="J202" t="str">
        <f>Data_preprocessing!Z202</f>
        <v>Phone not provided</v>
      </c>
      <c r="K202">
        <f t="shared" ca="1" si="9"/>
        <v>6</v>
      </c>
      <c r="L202" t="str">
        <f t="shared" si="10"/>
        <v>Medium</v>
      </c>
      <c r="M202" t="str">
        <f t="shared" si="11"/>
        <v>Average</v>
      </c>
    </row>
    <row r="203" spans="1:13" x14ac:dyDescent="0.25">
      <c r="A203" t="str">
        <f>Data_preprocessing!M203</f>
        <v>Alice</v>
      </c>
      <c r="B203">
        <f>Data_preprocessing!O203</f>
        <v>50</v>
      </c>
      <c r="C203">
        <f>Data_preprocessing!Q203</f>
        <v>50000</v>
      </c>
      <c r="D203" t="str">
        <f>Data_preprocessing!R203</f>
        <v>Male</v>
      </c>
      <c r="E203" t="str">
        <f>Data_preprocessing!S203</f>
        <v>IT</v>
      </c>
      <c r="F203" t="str">
        <f>Data_preprocessing!T203</f>
        <v>Clerk</v>
      </c>
      <c r="G203" s="2">
        <f>Data_preprocessing!U203</f>
        <v>43800</v>
      </c>
      <c r="H203" t="str">
        <f>Data_preprocessing!V203</f>
        <v>F</v>
      </c>
      <c r="I203" t="str">
        <f>Data_preprocessing!Y203</f>
        <v>Email not provided</v>
      </c>
      <c r="J203" t="str">
        <f>Data_preprocessing!Z203</f>
        <v>098-765-4321</v>
      </c>
      <c r="K203">
        <f t="shared" ca="1" si="9"/>
        <v>6</v>
      </c>
      <c r="L203" t="str">
        <f t="shared" si="10"/>
        <v>Low</v>
      </c>
      <c r="M203" t="str">
        <f t="shared" si="11"/>
        <v>Poor</v>
      </c>
    </row>
    <row r="204" spans="1:13" x14ac:dyDescent="0.25">
      <c r="A204" t="str">
        <f>Data_preprocessing!M204</f>
        <v>Ivy</v>
      </c>
      <c r="B204">
        <f>Data_preprocessing!O204</f>
        <v>35</v>
      </c>
      <c r="C204">
        <f>Data_preprocessing!Q204</f>
        <v>55000</v>
      </c>
      <c r="D204" t="str">
        <f>Data_preprocessing!R204</f>
        <v>Male</v>
      </c>
      <c r="E204" t="str">
        <f>Data_preprocessing!S204</f>
        <v>IT</v>
      </c>
      <c r="F204" t="str">
        <f>Data_preprocessing!T204</f>
        <v>Analyst</v>
      </c>
      <c r="G204" s="2">
        <f>Data_preprocessing!U204</f>
        <v>43195</v>
      </c>
      <c r="H204" t="str">
        <f>Data_preprocessing!V204</f>
        <v>B</v>
      </c>
      <c r="I204" t="str">
        <f>Data_preprocessing!Y204</f>
        <v>name@company.org</v>
      </c>
      <c r="J204" t="str">
        <f>Data_preprocessing!Z204</f>
        <v>123-456-7890</v>
      </c>
      <c r="K204">
        <f t="shared" ca="1" si="9"/>
        <v>7</v>
      </c>
      <c r="L204" t="str">
        <f t="shared" si="10"/>
        <v>Low</v>
      </c>
      <c r="M204" t="str">
        <f t="shared" si="11"/>
        <v>Good</v>
      </c>
    </row>
    <row r="205" spans="1:13" x14ac:dyDescent="0.25">
      <c r="A205" t="str">
        <f>Data_preprocessing!M205</f>
        <v>Frank</v>
      </c>
      <c r="B205">
        <f>Data_preprocessing!O205</f>
        <v>30</v>
      </c>
      <c r="C205">
        <f>Data_preprocessing!Q205</f>
        <v>60000</v>
      </c>
      <c r="D205" t="str">
        <f>Data_preprocessing!R205</f>
        <v>Male</v>
      </c>
      <c r="E205" t="str">
        <f>Data_preprocessing!S205</f>
        <v>Finance</v>
      </c>
      <c r="F205" t="str">
        <f>Data_preprocessing!T205</f>
        <v>Director</v>
      </c>
      <c r="G205" s="2">
        <f>Data_preprocessing!U205</f>
        <v>43881</v>
      </c>
      <c r="H205" t="str">
        <f>Data_preprocessing!V205</f>
        <v>B</v>
      </c>
      <c r="I205" t="str">
        <f>Data_preprocessing!Y205</f>
        <v>Email not provided</v>
      </c>
      <c r="J205" t="str">
        <f>Data_preprocessing!Z205</f>
        <v>123-456-7890</v>
      </c>
      <c r="K205">
        <f t="shared" ca="1" si="9"/>
        <v>5</v>
      </c>
      <c r="L205" t="str">
        <f t="shared" si="10"/>
        <v>Medium</v>
      </c>
      <c r="M205" t="str">
        <f t="shared" si="11"/>
        <v>Good</v>
      </c>
    </row>
    <row r="206" spans="1:13" x14ac:dyDescent="0.25">
      <c r="A206" t="str">
        <f>Data_preprocessing!M206</f>
        <v>Charlie</v>
      </c>
      <c r="B206">
        <f>Data_preprocessing!O206</f>
        <v>30</v>
      </c>
      <c r="C206">
        <f>Data_preprocessing!Q206</f>
        <v>70000</v>
      </c>
      <c r="D206" t="str">
        <f>Data_preprocessing!R206</f>
        <v>Other</v>
      </c>
      <c r="E206" t="str">
        <f>Data_preprocessing!S206</f>
        <v>IT</v>
      </c>
      <c r="F206" t="str">
        <f>Data_preprocessing!T206</f>
        <v>Manager</v>
      </c>
      <c r="G206" s="2">
        <f>Data_preprocessing!U206</f>
        <v>43800</v>
      </c>
      <c r="H206" t="str">
        <f>Data_preprocessing!V206</f>
        <v>A</v>
      </c>
      <c r="I206" t="str">
        <f>Data_preprocessing!Y206</f>
        <v>user@domain.com</v>
      </c>
      <c r="J206" t="str">
        <f>Data_preprocessing!Z206</f>
        <v>Phone not provided</v>
      </c>
      <c r="K206">
        <f t="shared" ca="1" si="9"/>
        <v>6</v>
      </c>
      <c r="L206" t="str">
        <f t="shared" si="10"/>
        <v>High</v>
      </c>
      <c r="M206" t="str">
        <f t="shared" si="11"/>
        <v>Excellent</v>
      </c>
    </row>
    <row r="207" spans="1:13" x14ac:dyDescent="0.25">
      <c r="A207" t="str">
        <f>Data_preprocessing!M207</f>
        <v>David</v>
      </c>
      <c r="B207">
        <f>Data_preprocessing!O207</f>
        <v>40</v>
      </c>
      <c r="C207">
        <f>Data_preprocessing!Q207</f>
        <v>55000</v>
      </c>
      <c r="D207" t="str">
        <f>Data_preprocessing!R207</f>
        <v>Male</v>
      </c>
      <c r="E207" t="str">
        <f>Data_preprocessing!S207</f>
        <v>HR</v>
      </c>
      <c r="F207" t="str">
        <f>Data_preprocessing!T207</f>
        <v>Assistant</v>
      </c>
      <c r="G207" s="2">
        <f>Data_preprocessing!U207</f>
        <v>43881</v>
      </c>
      <c r="H207" t="str">
        <f>Data_preprocessing!V207</f>
        <v>C</v>
      </c>
      <c r="I207" t="str">
        <f>Data_preprocessing!Y207</f>
        <v>user@domain.com</v>
      </c>
      <c r="J207" t="str">
        <f>Data_preprocessing!Z207</f>
        <v>Phone not provided</v>
      </c>
      <c r="K207">
        <f t="shared" ca="1" si="9"/>
        <v>5</v>
      </c>
      <c r="L207" t="str">
        <f t="shared" si="10"/>
        <v>Low</v>
      </c>
      <c r="M207" t="str">
        <f t="shared" si="11"/>
        <v>Average</v>
      </c>
    </row>
    <row r="208" spans="1:13" x14ac:dyDescent="0.25">
      <c r="A208" t="str">
        <f>Data_preprocessing!M208</f>
        <v>David</v>
      </c>
      <c r="B208">
        <f>Data_preprocessing!O208</f>
        <v>40</v>
      </c>
      <c r="C208">
        <f>Data_preprocessing!Q208</f>
        <v>60000</v>
      </c>
      <c r="D208" t="str">
        <f>Data_preprocessing!R208</f>
        <v>Female</v>
      </c>
      <c r="E208" t="str">
        <f>Data_preprocessing!S208</f>
        <v>HR</v>
      </c>
      <c r="F208" t="str">
        <f>Data_preprocessing!T208</f>
        <v>Manager</v>
      </c>
      <c r="G208" s="2">
        <f>Data_preprocessing!U208</f>
        <v>43800</v>
      </c>
      <c r="H208" t="str">
        <f>Data_preprocessing!V208</f>
        <v>D</v>
      </c>
      <c r="I208" t="str">
        <f>Data_preprocessing!Y208</f>
        <v>user@domain.com</v>
      </c>
      <c r="J208" t="str">
        <f>Data_preprocessing!Z208</f>
        <v>123-456-7890</v>
      </c>
      <c r="K208">
        <f t="shared" ca="1" si="9"/>
        <v>6</v>
      </c>
      <c r="L208" t="str">
        <f t="shared" si="10"/>
        <v>Medium</v>
      </c>
      <c r="M208" t="str">
        <f t="shared" si="11"/>
        <v>Below Average</v>
      </c>
    </row>
    <row r="209" spans="1:13" x14ac:dyDescent="0.25">
      <c r="A209" t="str">
        <f>Data_preprocessing!M209</f>
        <v>Charlie</v>
      </c>
      <c r="B209">
        <f>Data_preprocessing!O209</f>
        <v>30</v>
      </c>
      <c r="C209">
        <f>Data_preprocessing!Q209</f>
        <v>55000</v>
      </c>
      <c r="D209" t="str">
        <f>Data_preprocessing!R209</f>
        <v>Male</v>
      </c>
      <c r="E209" t="str">
        <f>Data_preprocessing!S209</f>
        <v>Finance</v>
      </c>
      <c r="F209" t="str">
        <f>Data_preprocessing!T209</f>
        <v>Assistant</v>
      </c>
      <c r="G209" s="2">
        <f>Data_preprocessing!U209</f>
        <v>43845</v>
      </c>
      <c r="H209" t="str">
        <f>Data_preprocessing!V209</f>
        <v>B</v>
      </c>
      <c r="I209" t="str">
        <f>Data_preprocessing!Y209</f>
        <v>name@company.org</v>
      </c>
      <c r="J209" t="str">
        <f>Data_preprocessing!Z209</f>
        <v>123-456-7890</v>
      </c>
      <c r="K209">
        <f t="shared" ca="1" si="9"/>
        <v>6</v>
      </c>
      <c r="L209" t="str">
        <f t="shared" si="10"/>
        <v>Low</v>
      </c>
      <c r="M209" t="str">
        <f t="shared" si="11"/>
        <v>Good</v>
      </c>
    </row>
    <row r="210" spans="1:13" x14ac:dyDescent="0.25">
      <c r="A210" t="str">
        <f>Data_preprocessing!M210</f>
        <v>Jack</v>
      </c>
      <c r="B210">
        <f>Data_preprocessing!O210</f>
        <v>40</v>
      </c>
      <c r="C210">
        <f>Data_preprocessing!Q210</f>
        <v>60000</v>
      </c>
      <c r="D210" t="str">
        <f>Data_preprocessing!R210</f>
        <v>Male</v>
      </c>
      <c r="E210" t="str">
        <f>Data_preprocessing!S210</f>
        <v>IT</v>
      </c>
      <c r="F210" t="str">
        <f>Data_preprocessing!T210</f>
        <v>Director</v>
      </c>
      <c r="G210" s="2">
        <f>Data_preprocessing!U210</f>
        <v>43549</v>
      </c>
      <c r="H210" t="str">
        <f>Data_preprocessing!V210</f>
        <v>A</v>
      </c>
      <c r="I210" t="str">
        <f>Data_preprocessing!Y210</f>
        <v>email@example.com</v>
      </c>
      <c r="J210" t="str">
        <f>Data_preprocessing!Z210</f>
        <v>Phone not provided</v>
      </c>
      <c r="K210">
        <f t="shared" ca="1" si="9"/>
        <v>6</v>
      </c>
      <c r="L210" t="str">
        <f t="shared" si="10"/>
        <v>Medium</v>
      </c>
      <c r="M210" t="str">
        <f t="shared" si="11"/>
        <v>Excellent</v>
      </c>
    </row>
    <row r="211" spans="1:13" x14ac:dyDescent="0.25">
      <c r="A211" t="str">
        <f>Data_preprocessing!M211</f>
        <v>Charlie</v>
      </c>
      <c r="B211">
        <f>Data_preprocessing!O211</f>
        <v>35</v>
      </c>
      <c r="C211">
        <f>Data_preprocessing!Q211</f>
        <v>70000</v>
      </c>
      <c r="D211" t="str">
        <f>Data_preprocessing!R211</f>
        <v>Other</v>
      </c>
      <c r="E211" t="str">
        <f>Data_preprocessing!S211</f>
        <v>HR</v>
      </c>
      <c r="F211" t="str">
        <f>Data_preprocessing!T211</f>
        <v>Director</v>
      </c>
      <c r="G211" s="2">
        <f>Data_preprocessing!U211</f>
        <v>43845</v>
      </c>
      <c r="H211" t="str">
        <f>Data_preprocessing!V211</f>
        <v>C</v>
      </c>
      <c r="I211" t="str">
        <f>Data_preprocessing!Y211</f>
        <v>name@company.org</v>
      </c>
      <c r="J211" t="str">
        <f>Data_preprocessing!Z211</f>
        <v>555-555-5555</v>
      </c>
      <c r="K211">
        <f t="shared" ca="1" si="9"/>
        <v>6</v>
      </c>
      <c r="L211" t="str">
        <f t="shared" si="10"/>
        <v>High</v>
      </c>
      <c r="M211" t="str">
        <f t="shared" si="11"/>
        <v>Average</v>
      </c>
    </row>
    <row r="212" spans="1:13" x14ac:dyDescent="0.25">
      <c r="A212" t="str">
        <f>Data_preprocessing!M212</f>
        <v>Charlie</v>
      </c>
      <c r="B212">
        <f>Data_preprocessing!O212</f>
        <v>50</v>
      </c>
      <c r="C212">
        <f>Data_preprocessing!Q212</f>
        <v>50000</v>
      </c>
      <c r="D212" t="str">
        <f>Data_preprocessing!R212</f>
        <v>Other</v>
      </c>
      <c r="E212" t="str">
        <f>Data_preprocessing!S212</f>
        <v>HR</v>
      </c>
      <c r="F212" t="str">
        <f>Data_preprocessing!T212</f>
        <v>Manager</v>
      </c>
      <c r="G212" s="2">
        <f>Data_preprocessing!U212</f>
        <v>43800</v>
      </c>
      <c r="H212" t="str">
        <f>Data_preprocessing!V212</f>
        <v>C</v>
      </c>
      <c r="I212" t="str">
        <f>Data_preprocessing!Y212</f>
        <v>name@company.org</v>
      </c>
      <c r="J212" t="str">
        <f>Data_preprocessing!Z212</f>
        <v>098-765-4321</v>
      </c>
      <c r="K212">
        <f t="shared" ca="1" si="9"/>
        <v>6</v>
      </c>
      <c r="L212" t="str">
        <f t="shared" si="10"/>
        <v>Low</v>
      </c>
      <c r="M212" t="str">
        <f t="shared" si="11"/>
        <v>Average</v>
      </c>
    </row>
    <row r="213" spans="1:13" x14ac:dyDescent="0.25">
      <c r="A213" t="str">
        <f>Data_preprocessing!M213</f>
        <v>David</v>
      </c>
      <c r="B213">
        <f>Data_preprocessing!O213</f>
        <v>30</v>
      </c>
      <c r="C213">
        <f>Data_preprocessing!Q213</f>
        <v>50000</v>
      </c>
      <c r="D213" t="str">
        <f>Data_preprocessing!R213</f>
        <v>Female</v>
      </c>
      <c r="E213" t="str">
        <f>Data_preprocessing!S213</f>
        <v>Marketing</v>
      </c>
      <c r="F213" t="str">
        <f>Data_preprocessing!T213</f>
        <v>Assistant</v>
      </c>
      <c r="G213" s="2">
        <f>Data_preprocessing!U213</f>
        <v>43549</v>
      </c>
      <c r="H213" t="str">
        <f>Data_preprocessing!V213</f>
        <v>A</v>
      </c>
      <c r="I213" t="str">
        <f>Data_preprocessing!Y213</f>
        <v>Email not provided</v>
      </c>
      <c r="J213" t="str">
        <f>Data_preprocessing!Z213</f>
        <v>123-456-7890</v>
      </c>
      <c r="K213">
        <f t="shared" ca="1" si="9"/>
        <v>6</v>
      </c>
      <c r="L213" t="str">
        <f t="shared" si="10"/>
        <v>Low</v>
      </c>
      <c r="M213" t="str">
        <f t="shared" si="11"/>
        <v>Excellent</v>
      </c>
    </row>
    <row r="214" spans="1:13" x14ac:dyDescent="0.25">
      <c r="A214" t="str">
        <f>Data_preprocessing!M214</f>
        <v>Grace</v>
      </c>
      <c r="B214">
        <f>Data_preprocessing!O214</f>
        <v>40</v>
      </c>
      <c r="C214">
        <f>Data_preprocessing!Q214</f>
        <v>60000</v>
      </c>
      <c r="D214" t="str">
        <f>Data_preprocessing!R214</f>
        <v>Female</v>
      </c>
      <c r="E214" t="str">
        <f>Data_preprocessing!S214</f>
        <v>Marketing</v>
      </c>
      <c r="F214" t="str">
        <f>Data_preprocessing!T214</f>
        <v>Director</v>
      </c>
      <c r="G214" s="2">
        <f>Data_preprocessing!U214</f>
        <v>43549</v>
      </c>
      <c r="H214" t="str">
        <f>Data_preprocessing!V214</f>
        <v>A</v>
      </c>
      <c r="I214" t="str">
        <f>Data_preprocessing!Y214</f>
        <v>Email not provided</v>
      </c>
      <c r="J214" t="str">
        <f>Data_preprocessing!Z214</f>
        <v>555-555-5555</v>
      </c>
      <c r="K214">
        <f t="shared" ca="1" si="9"/>
        <v>6</v>
      </c>
      <c r="L214" t="str">
        <f t="shared" si="10"/>
        <v>Medium</v>
      </c>
      <c r="M214" t="str">
        <f t="shared" si="11"/>
        <v>Excellent</v>
      </c>
    </row>
    <row r="215" spans="1:13" x14ac:dyDescent="0.25">
      <c r="A215" t="str">
        <f>Data_preprocessing!M215</f>
        <v>David</v>
      </c>
      <c r="B215">
        <f>Data_preprocessing!O215</f>
        <v>30</v>
      </c>
      <c r="C215">
        <f>Data_preprocessing!Q215</f>
        <v>65000</v>
      </c>
      <c r="D215" t="str">
        <f>Data_preprocessing!R215</f>
        <v>Other</v>
      </c>
      <c r="E215" t="str">
        <f>Data_preprocessing!S215</f>
        <v>HR</v>
      </c>
      <c r="F215" t="str">
        <f>Data_preprocessing!T215</f>
        <v>Analyst</v>
      </c>
      <c r="G215" s="2">
        <f>Data_preprocessing!U215</f>
        <v>43800</v>
      </c>
      <c r="H215" t="str">
        <f>Data_preprocessing!V215</f>
        <v>D</v>
      </c>
      <c r="I215" t="str">
        <f>Data_preprocessing!Y215</f>
        <v>name@company.org</v>
      </c>
      <c r="J215" t="str">
        <f>Data_preprocessing!Z215</f>
        <v>Phone not provided</v>
      </c>
      <c r="K215">
        <f t="shared" ca="1" si="9"/>
        <v>6</v>
      </c>
      <c r="L215" t="str">
        <f t="shared" si="10"/>
        <v>High</v>
      </c>
      <c r="M215" t="str">
        <f t="shared" si="11"/>
        <v>Below Average</v>
      </c>
    </row>
    <row r="216" spans="1:13" x14ac:dyDescent="0.25">
      <c r="A216" t="str">
        <f>Data_preprocessing!M216</f>
        <v>Ivy</v>
      </c>
      <c r="B216">
        <f>Data_preprocessing!O216</f>
        <v>35</v>
      </c>
      <c r="C216">
        <f>Data_preprocessing!Q216</f>
        <v>60000</v>
      </c>
      <c r="D216" t="str">
        <f>Data_preprocessing!R216</f>
        <v>Other</v>
      </c>
      <c r="E216" t="str">
        <f>Data_preprocessing!S216</f>
        <v>Finance</v>
      </c>
      <c r="F216" t="str">
        <f>Data_preprocessing!T216</f>
        <v>Analyst</v>
      </c>
      <c r="G216" s="2">
        <f>Data_preprocessing!U216</f>
        <v>43800</v>
      </c>
      <c r="H216" t="str">
        <f>Data_preprocessing!V216</f>
        <v>A</v>
      </c>
      <c r="I216" t="str">
        <f>Data_preprocessing!Y216</f>
        <v>Email not provided</v>
      </c>
      <c r="J216" t="str">
        <f>Data_preprocessing!Z216</f>
        <v>555-555-5555</v>
      </c>
      <c r="K216">
        <f t="shared" ca="1" si="9"/>
        <v>6</v>
      </c>
      <c r="L216" t="str">
        <f t="shared" si="10"/>
        <v>Medium</v>
      </c>
      <c r="M216" t="str">
        <f t="shared" si="11"/>
        <v>Excellent</v>
      </c>
    </row>
    <row r="217" spans="1:13" x14ac:dyDescent="0.25">
      <c r="A217" t="str">
        <f>Data_preprocessing!M217</f>
        <v>Alice</v>
      </c>
      <c r="B217">
        <f>Data_preprocessing!O217</f>
        <v>25</v>
      </c>
      <c r="C217">
        <f>Data_preprocessing!Q217</f>
        <v>60000</v>
      </c>
      <c r="D217" t="str">
        <f>Data_preprocessing!R217</f>
        <v>Male</v>
      </c>
      <c r="E217" t="str">
        <f>Data_preprocessing!S217</f>
        <v>Sales</v>
      </c>
      <c r="F217" t="str">
        <f>Data_preprocessing!T217</f>
        <v>Assistant</v>
      </c>
      <c r="G217" s="2">
        <f>Data_preprocessing!U217</f>
        <v>43881</v>
      </c>
      <c r="H217" t="str">
        <f>Data_preprocessing!V217</f>
        <v>D</v>
      </c>
      <c r="I217" t="str">
        <f>Data_preprocessing!Y217</f>
        <v>Email not provided</v>
      </c>
      <c r="J217" t="str">
        <f>Data_preprocessing!Z217</f>
        <v>Phone not provided</v>
      </c>
      <c r="K217">
        <f t="shared" ca="1" si="9"/>
        <v>5</v>
      </c>
      <c r="L217" t="str">
        <f t="shared" si="10"/>
        <v>Medium</v>
      </c>
      <c r="M217" t="str">
        <f t="shared" si="11"/>
        <v>Below Average</v>
      </c>
    </row>
    <row r="218" spans="1:13" x14ac:dyDescent="0.25">
      <c r="A218" t="str">
        <f>Data_preprocessing!M218</f>
        <v>Hannah</v>
      </c>
      <c r="B218">
        <f>Data_preprocessing!O218</f>
        <v>50</v>
      </c>
      <c r="C218">
        <f>Data_preprocessing!Q218</f>
        <v>65000</v>
      </c>
      <c r="D218" t="str">
        <f>Data_preprocessing!R218</f>
        <v>Other</v>
      </c>
      <c r="E218" t="str">
        <f>Data_preprocessing!S218</f>
        <v>Sales</v>
      </c>
      <c r="F218" t="str">
        <f>Data_preprocessing!T218</f>
        <v>Manager</v>
      </c>
      <c r="G218" s="2">
        <f>Data_preprocessing!U218</f>
        <v>43800</v>
      </c>
      <c r="H218" t="str">
        <f>Data_preprocessing!V218</f>
        <v>D</v>
      </c>
      <c r="I218" t="str">
        <f>Data_preprocessing!Y218</f>
        <v>name@company.org</v>
      </c>
      <c r="J218" t="str">
        <f>Data_preprocessing!Z218</f>
        <v>Phone not provided</v>
      </c>
      <c r="K218">
        <f t="shared" ca="1" si="9"/>
        <v>6</v>
      </c>
      <c r="L218" t="str">
        <f t="shared" si="10"/>
        <v>High</v>
      </c>
      <c r="M218" t="str">
        <f t="shared" si="11"/>
        <v>Below Average</v>
      </c>
    </row>
    <row r="219" spans="1:13" x14ac:dyDescent="0.25">
      <c r="A219" t="str">
        <f>Data_preprocessing!M219</f>
        <v>Grace</v>
      </c>
      <c r="B219">
        <f>Data_preprocessing!O219</f>
        <v>30</v>
      </c>
      <c r="C219">
        <f>Data_preprocessing!Q219</f>
        <v>55000</v>
      </c>
      <c r="D219" t="str">
        <f>Data_preprocessing!R219</f>
        <v>Female</v>
      </c>
      <c r="E219" t="str">
        <f>Data_preprocessing!S219</f>
        <v>HR</v>
      </c>
      <c r="F219" t="str">
        <f>Data_preprocessing!T219</f>
        <v>Director</v>
      </c>
      <c r="G219" s="2">
        <f>Data_preprocessing!U219</f>
        <v>43195</v>
      </c>
      <c r="H219" t="str">
        <f>Data_preprocessing!V219</f>
        <v>F</v>
      </c>
      <c r="I219" t="str">
        <f>Data_preprocessing!Y219</f>
        <v>email@example.com</v>
      </c>
      <c r="J219" t="str">
        <f>Data_preprocessing!Z219</f>
        <v>Phone not provided</v>
      </c>
      <c r="K219">
        <f t="shared" ca="1" si="9"/>
        <v>7</v>
      </c>
      <c r="L219" t="str">
        <f t="shared" si="10"/>
        <v>Low</v>
      </c>
      <c r="M219" t="str">
        <f t="shared" si="11"/>
        <v>Poor</v>
      </c>
    </row>
    <row r="220" spans="1:13" x14ac:dyDescent="0.25">
      <c r="A220" t="str">
        <f>Data_preprocessing!M220</f>
        <v>Bob</v>
      </c>
      <c r="B220">
        <f>Data_preprocessing!O220</f>
        <v>25</v>
      </c>
      <c r="C220">
        <f>Data_preprocessing!Q220</f>
        <v>60000</v>
      </c>
      <c r="D220" t="str">
        <f>Data_preprocessing!R220</f>
        <v>Male</v>
      </c>
      <c r="E220" t="str">
        <f>Data_preprocessing!S220</f>
        <v>HR</v>
      </c>
      <c r="F220" t="str">
        <f>Data_preprocessing!T220</f>
        <v>Manager</v>
      </c>
      <c r="G220" s="2">
        <f>Data_preprocessing!U220</f>
        <v>43800</v>
      </c>
      <c r="H220" t="str">
        <f>Data_preprocessing!V220</f>
        <v>C</v>
      </c>
      <c r="I220" t="str">
        <f>Data_preprocessing!Y220</f>
        <v>Email not provided</v>
      </c>
      <c r="J220" t="str">
        <f>Data_preprocessing!Z220</f>
        <v>555-555-5555</v>
      </c>
      <c r="K220">
        <f t="shared" ca="1" si="9"/>
        <v>6</v>
      </c>
      <c r="L220" t="str">
        <f t="shared" si="10"/>
        <v>Medium</v>
      </c>
      <c r="M220" t="str">
        <f t="shared" si="11"/>
        <v>Average</v>
      </c>
    </row>
    <row r="221" spans="1:13" x14ac:dyDescent="0.25">
      <c r="A221" t="str">
        <f>Data_preprocessing!M221</f>
        <v>Hannah</v>
      </c>
      <c r="B221">
        <f>Data_preprocessing!O221</f>
        <v>40</v>
      </c>
      <c r="C221">
        <f>Data_preprocessing!Q221</f>
        <v>55000</v>
      </c>
      <c r="D221" t="str">
        <f>Data_preprocessing!R221</f>
        <v>Female</v>
      </c>
      <c r="E221" t="str">
        <f>Data_preprocessing!S221</f>
        <v>HR</v>
      </c>
      <c r="F221" t="str">
        <f>Data_preprocessing!T221</f>
        <v>Analyst</v>
      </c>
      <c r="G221" s="2">
        <f>Data_preprocessing!U221</f>
        <v>43195</v>
      </c>
      <c r="H221" t="str">
        <f>Data_preprocessing!V221</f>
        <v>C</v>
      </c>
      <c r="I221" t="str">
        <f>Data_preprocessing!Y221</f>
        <v>user@domain.com</v>
      </c>
      <c r="J221" t="str">
        <f>Data_preprocessing!Z221</f>
        <v>Phone not provided</v>
      </c>
      <c r="K221">
        <f t="shared" ca="1" si="9"/>
        <v>7</v>
      </c>
      <c r="L221" t="str">
        <f t="shared" si="10"/>
        <v>Low</v>
      </c>
      <c r="M221" t="str">
        <f t="shared" si="11"/>
        <v>Average</v>
      </c>
    </row>
    <row r="222" spans="1:13" x14ac:dyDescent="0.25">
      <c r="A222" t="str">
        <f>Data_preprocessing!M222</f>
        <v>Alice</v>
      </c>
      <c r="B222">
        <f>Data_preprocessing!O222</f>
        <v>25</v>
      </c>
      <c r="C222">
        <f>Data_preprocessing!Q222</f>
        <v>70000</v>
      </c>
      <c r="D222" t="str">
        <f>Data_preprocessing!R222</f>
        <v>Male</v>
      </c>
      <c r="E222" t="str">
        <f>Data_preprocessing!S222</f>
        <v>Finance</v>
      </c>
      <c r="F222" t="str">
        <f>Data_preprocessing!T222</f>
        <v>Director</v>
      </c>
      <c r="G222" s="2">
        <f>Data_preprocessing!U222</f>
        <v>43800</v>
      </c>
      <c r="H222" t="str">
        <f>Data_preprocessing!V222</f>
        <v>C</v>
      </c>
      <c r="I222" t="str">
        <f>Data_preprocessing!Y222</f>
        <v>name@company.org</v>
      </c>
      <c r="J222" t="str">
        <f>Data_preprocessing!Z222</f>
        <v>123-456-7890</v>
      </c>
      <c r="K222">
        <f t="shared" ca="1" si="9"/>
        <v>6</v>
      </c>
      <c r="L222" t="str">
        <f t="shared" si="10"/>
        <v>High</v>
      </c>
      <c r="M222" t="str">
        <f t="shared" si="11"/>
        <v>Average</v>
      </c>
    </row>
    <row r="223" spans="1:13" x14ac:dyDescent="0.25">
      <c r="A223" t="str">
        <f>Data_preprocessing!M223</f>
        <v>Ivy</v>
      </c>
      <c r="B223">
        <f>Data_preprocessing!O223</f>
        <v>50</v>
      </c>
      <c r="C223">
        <f>Data_preprocessing!Q223</f>
        <v>60000</v>
      </c>
      <c r="D223" t="str">
        <f>Data_preprocessing!R223</f>
        <v>Other</v>
      </c>
      <c r="E223" t="str">
        <f>Data_preprocessing!S223</f>
        <v>Marketing</v>
      </c>
      <c r="F223" t="str">
        <f>Data_preprocessing!T223</f>
        <v>Manager</v>
      </c>
      <c r="G223" s="2">
        <f>Data_preprocessing!U223</f>
        <v>43881</v>
      </c>
      <c r="H223" t="str">
        <f>Data_preprocessing!V223</f>
        <v>F</v>
      </c>
      <c r="I223" t="str">
        <f>Data_preprocessing!Y223</f>
        <v>name@company.org</v>
      </c>
      <c r="J223" t="str">
        <f>Data_preprocessing!Z223</f>
        <v>555-555-5555</v>
      </c>
      <c r="K223">
        <f t="shared" ca="1" si="9"/>
        <v>5</v>
      </c>
      <c r="L223" t="str">
        <f t="shared" si="10"/>
        <v>Medium</v>
      </c>
      <c r="M223" t="str">
        <f t="shared" si="11"/>
        <v>Poor</v>
      </c>
    </row>
    <row r="224" spans="1:13" x14ac:dyDescent="0.25">
      <c r="A224" t="str">
        <f>Data_preprocessing!M224</f>
        <v>Ivy</v>
      </c>
      <c r="B224">
        <f>Data_preprocessing!O224</f>
        <v>30</v>
      </c>
      <c r="C224">
        <f>Data_preprocessing!Q224</f>
        <v>65000</v>
      </c>
      <c r="D224" t="str">
        <f>Data_preprocessing!R224</f>
        <v>Female</v>
      </c>
      <c r="E224" t="str">
        <f>Data_preprocessing!S224</f>
        <v>HR</v>
      </c>
      <c r="F224" t="str">
        <f>Data_preprocessing!T224</f>
        <v>Clerk</v>
      </c>
      <c r="G224" s="2">
        <f>Data_preprocessing!U224</f>
        <v>43195</v>
      </c>
      <c r="H224" t="str">
        <f>Data_preprocessing!V224</f>
        <v>D</v>
      </c>
      <c r="I224" t="str">
        <f>Data_preprocessing!Y224</f>
        <v>Email not provided</v>
      </c>
      <c r="J224" t="str">
        <f>Data_preprocessing!Z224</f>
        <v>123-456-7890</v>
      </c>
      <c r="K224">
        <f t="shared" ca="1" si="9"/>
        <v>7</v>
      </c>
      <c r="L224" t="str">
        <f t="shared" si="10"/>
        <v>High</v>
      </c>
      <c r="M224" t="str">
        <f t="shared" si="11"/>
        <v>Below Average</v>
      </c>
    </row>
    <row r="225" spans="1:13" x14ac:dyDescent="0.25">
      <c r="A225" t="str">
        <f>Data_preprocessing!M225</f>
        <v>Bob</v>
      </c>
      <c r="B225">
        <f>Data_preprocessing!O225</f>
        <v>35</v>
      </c>
      <c r="C225">
        <f>Data_preprocessing!Q225</f>
        <v>70000</v>
      </c>
      <c r="D225" t="str">
        <f>Data_preprocessing!R225</f>
        <v>Male</v>
      </c>
      <c r="E225" t="str">
        <f>Data_preprocessing!S225</f>
        <v>HR</v>
      </c>
      <c r="F225" t="str">
        <f>Data_preprocessing!T225</f>
        <v>Assistant</v>
      </c>
      <c r="G225" s="2">
        <f>Data_preprocessing!U225</f>
        <v>43845</v>
      </c>
      <c r="H225" t="str">
        <f>Data_preprocessing!V225</f>
        <v>D</v>
      </c>
      <c r="I225" t="str">
        <f>Data_preprocessing!Y225</f>
        <v>Email not provided</v>
      </c>
      <c r="J225" t="str">
        <f>Data_preprocessing!Z225</f>
        <v>555-555-5555</v>
      </c>
      <c r="K225">
        <f t="shared" ca="1" si="9"/>
        <v>6</v>
      </c>
      <c r="L225" t="str">
        <f t="shared" si="10"/>
        <v>High</v>
      </c>
      <c r="M225" t="str">
        <f t="shared" si="11"/>
        <v>Below Average</v>
      </c>
    </row>
    <row r="226" spans="1:13" x14ac:dyDescent="0.25">
      <c r="A226" t="str">
        <f>Data_preprocessing!M226</f>
        <v>Grace</v>
      </c>
      <c r="B226">
        <f>Data_preprocessing!O226</f>
        <v>40</v>
      </c>
      <c r="C226">
        <f>Data_preprocessing!Q226</f>
        <v>50000</v>
      </c>
      <c r="D226" t="str">
        <f>Data_preprocessing!R226</f>
        <v>Male</v>
      </c>
      <c r="E226" t="str">
        <f>Data_preprocessing!S226</f>
        <v>IT</v>
      </c>
      <c r="F226" t="str">
        <f>Data_preprocessing!T226</f>
        <v>Assistant</v>
      </c>
      <c r="G226" s="2">
        <f>Data_preprocessing!U226</f>
        <v>43195</v>
      </c>
      <c r="H226" t="str">
        <f>Data_preprocessing!V226</f>
        <v>A</v>
      </c>
      <c r="I226" t="str">
        <f>Data_preprocessing!Y226</f>
        <v>Email not provided</v>
      </c>
      <c r="J226" t="str">
        <f>Data_preprocessing!Z226</f>
        <v>123-456-7890</v>
      </c>
      <c r="K226">
        <f t="shared" ca="1" si="9"/>
        <v>7</v>
      </c>
      <c r="L226" t="str">
        <f t="shared" si="10"/>
        <v>Low</v>
      </c>
      <c r="M226" t="str">
        <f t="shared" si="11"/>
        <v>Excellent</v>
      </c>
    </row>
    <row r="227" spans="1:13" x14ac:dyDescent="0.25">
      <c r="A227" t="str">
        <f>Data_preprocessing!M227</f>
        <v>Jack</v>
      </c>
      <c r="B227">
        <f>Data_preprocessing!O227</f>
        <v>30</v>
      </c>
      <c r="C227">
        <f>Data_preprocessing!Q227</f>
        <v>65000</v>
      </c>
      <c r="D227" t="str">
        <f>Data_preprocessing!R227</f>
        <v>Other</v>
      </c>
      <c r="E227" t="str">
        <f>Data_preprocessing!S227</f>
        <v>Finance</v>
      </c>
      <c r="F227" t="str">
        <f>Data_preprocessing!T227</f>
        <v>Clerk</v>
      </c>
      <c r="G227" s="2">
        <f>Data_preprocessing!U227</f>
        <v>43881</v>
      </c>
      <c r="H227" t="str">
        <f>Data_preprocessing!V227</f>
        <v>F</v>
      </c>
      <c r="I227" t="str">
        <f>Data_preprocessing!Y227</f>
        <v>Email not provided</v>
      </c>
      <c r="J227" t="str">
        <f>Data_preprocessing!Z227</f>
        <v>555-555-5555</v>
      </c>
      <c r="K227">
        <f t="shared" ca="1" si="9"/>
        <v>5</v>
      </c>
      <c r="L227" t="str">
        <f t="shared" si="10"/>
        <v>High</v>
      </c>
      <c r="M227" t="str">
        <f t="shared" si="11"/>
        <v>Poor</v>
      </c>
    </row>
    <row r="228" spans="1:13" x14ac:dyDescent="0.25">
      <c r="A228" t="str">
        <f>Data_preprocessing!M228</f>
        <v>Charlie</v>
      </c>
      <c r="B228">
        <f>Data_preprocessing!O228</f>
        <v>50</v>
      </c>
      <c r="C228">
        <f>Data_preprocessing!Q228</f>
        <v>60000</v>
      </c>
      <c r="D228" t="str">
        <f>Data_preprocessing!R228</f>
        <v>Other</v>
      </c>
      <c r="E228" t="str">
        <f>Data_preprocessing!S228</f>
        <v>HR</v>
      </c>
      <c r="F228" t="str">
        <f>Data_preprocessing!T228</f>
        <v>Analyst</v>
      </c>
      <c r="G228" s="2">
        <f>Data_preprocessing!U228</f>
        <v>43195</v>
      </c>
      <c r="H228" t="str">
        <f>Data_preprocessing!V228</f>
        <v>A</v>
      </c>
      <c r="I228" t="str">
        <f>Data_preprocessing!Y228</f>
        <v>user@domain.com</v>
      </c>
      <c r="J228" t="str">
        <f>Data_preprocessing!Z228</f>
        <v>Phone not provided</v>
      </c>
      <c r="K228">
        <f t="shared" ca="1" si="9"/>
        <v>7</v>
      </c>
      <c r="L228" t="str">
        <f t="shared" si="10"/>
        <v>Medium</v>
      </c>
      <c r="M228" t="str">
        <f t="shared" si="11"/>
        <v>Excellent</v>
      </c>
    </row>
    <row r="229" spans="1:13" x14ac:dyDescent="0.25">
      <c r="A229" t="str">
        <f>Data_preprocessing!M229</f>
        <v>Grace</v>
      </c>
      <c r="B229">
        <f>Data_preprocessing!O229</f>
        <v>40</v>
      </c>
      <c r="C229">
        <f>Data_preprocessing!Q229</f>
        <v>50000</v>
      </c>
      <c r="D229" t="str">
        <f>Data_preprocessing!R229</f>
        <v>Other</v>
      </c>
      <c r="E229" t="str">
        <f>Data_preprocessing!S229</f>
        <v>IT</v>
      </c>
      <c r="F229" t="str">
        <f>Data_preprocessing!T229</f>
        <v>Director</v>
      </c>
      <c r="G229" s="2">
        <f>Data_preprocessing!U229</f>
        <v>43800</v>
      </c>
      <c r="H229" t="str">
        <f>Data_preprocessing!V229</f>
        <v>F</v>
      </c>
      <c r="I229" t="str">
        <f>Data_preprocessing!Y229</f>
        <v>Email not provided</v>
      </c>
      <c r="J229" t="str">
        <f>Data_preprocessing!Z229</f>
        <v>098-765-4321</v>
      </c>
      <c r="K229">
        <f t="shared" ca="1" si="9"/>
        <v>6</v>
      </c>
      <c r="L229" t="str">
        <f t="shared" si="10"/>
        <v>Low</v>
      </c>
      <c r="M229" t="str">
        <f t="shared" si="11"/>
        <v>Poor</v>
      </c>
    </row>
    <row r="230" spans="1:13" x14ac:dyDescent="0.25">
      <c r="A230" t="str">
        <f>Data_preprocessing!M230</f>
        <v>Jack</v>
      </c>
      <c r="B230">
        <f>Data_preprocessing!O230</f>
        <v>35</v>
      </c>
      <c r="C230">
        <f>Data_preprocessing!Q230</f>
        <v>50000</v>
      </c>
      <c r="D230" t="str">
        <f>Data_preprocessing!R230</f>
        <v>Female</v>
      </c>
      <c r="E230" t="str">
        <f>Data_preprocessing!S230</f>
        <v>Sales</v>
      </c>
      <c r="F230" t="str">
        <f>Data_preprocessing!T230</f>
        <v>Assistant</v>
      </c>
      <c r="G230" s="2">
        <f>Data_preprocessing!U230</f>
        <v>43800</v>
      </c>
      <c r="H230" t="str">
        <f>Data_preprocessing!V230</f>
        <v>A</v>
      </c>
      <c r="I230" t="str">
        <f>Data_preprocessing!Y230</f>
        <v>Email not provided</v>
      </c>
      <c r="J230" t="str">
        <f>Data_preprocessing!Z230</f>
        <v>Phone not provided</v>
      </c>
      <c r="K230">
        <f t="shared" ca="1" si="9"/>
        <v>6</v>
      </c>
      <c r="L230" t="str">
        <f t="shared" si="10"/>
        <v>Low</v>
      </c>
      <c r="M230" t="str">
        <f t="shared" si="11"/>
        <v>Excellent</v>
      </c>
    </row>
    <row r="231" spans="1:13" x14ac:dyDescent="0.25">
      <c r="A231" t="str">
        <f>Data_preprocessing!M231</f>
        <v>Ivy</v>
      </c>
      <c r="B231">
        <f>Data_preprocessing!O231</f>
        <v>25</v>
      </c>
      <c r="C231">
        <f>Data_preprocessing!Q231</f>
        <v>60000</v>
      </c>
      <c r="D231" t="str">
        <f>Data_preprocessing!R231</f>
        <v>Male</v>
      </c>
      <c r="E231" t="str">
        <f>Data_preprocessing!S231</f>
        <v>HR</v>
      </c>
      <c r="F231" t="str">
        <f>Data_preprocessing!T231</f>
        <v>Clerk</v>
      </c>
      <c r="G231" s="2">
        <f>Data_preprocessing!U231</f>
        <v>43881</v>
      </c>
      <c r="H231" t="str">
        <f>Data_preprocessing!V231</f>
        <v>B</v>
      </c>
      <c r="I231" t="str">
        <f>Data_preprocessing!Y231</f>
        <v>Email not provided</v>
      </c>
      <c r="J231" t="str">
        <f>Data_preprocessing!Z231</f>
        <v>123-456-7890</v>
      </c>
      <c r="K231">
        <f t="shared" ca="1" si="9"/>
        <v>5</v>
      </c>
      <c r="L231" t="str">
        <f t="shared" si="10"/>
        <v>Medium</v>
      </c>
      <c r="M231" t="str">
        <f t="shared" si="11"/>
        <v>Good</v>
      </c>
    </row>
    <row r="232" spans="1:13" x14ac:dyDescent="0.25">
      <c r="A232" t="str">
        <f>Data_preprocessing!M232</f>
        <v>David</v>
      </c>
      <c r="B232">
        <f>Data_preprocessing!O232</f>
        <v>50</v>
      </c>
      <c r="C232">
        <f>Data_preprocessing!Q232</f>
        <v>60000</v>
      </c>
      <c r="D232" t="str">
        <f>Data_preprocessing!R232</f>
        <v>Other</v>
      </c>
      <c r="E232" t="str">
        <f>Data_preprocessing!S232</f>
        <v>HR</v>
      </c>
      <c r="F232" t="str">
        <f>Data_preprocessing!T232</f>
        <v>Clerk</v>
      </c>
      <c r="G232" s="2">
        <f>Data_preprocessing!U232</f>
        <v>43549</v>
      </c>
      <c r="H232" t="str">
        <f>Data_preprocessing!V232</f>
        <v>C</v>
      </c>
      <c r="I232" t="str">
        <f>Data_preprocessing!Y232</f>
        <v>Email not provided</v>
      </c>
      <c r="J232" t="str">
        <f>Data_preprocessing!Z232</f>
        <v>Phone not provided</v>
      </c>
      <c r="K232">
        <f t="shared" ca="1" si="9"/>
        <v>6</v>
      </c>
      <c r="L232" t="str">
        <f t="shared" si="10"/>
        <v>Medium</v>
      </c>
      <c r="M232" t="str">
        <f t="shared" si="11"/>
        <v>Average</v>
      </c>
    </row>
    <row r="233" spans="1:13" x14ac:dyDescent="0.25">
      <c r="A233" t="str">
        <f>Data_preprocessing!M233</f>
        <v>Alice</v>
      </c>
      <c r="B233">
        <f>Data_preprocessing!O233</f>
        <v>35</v>
      </c>
      <c r="C233">
        <f>Data_preprocessing!Q233</f>
        <v>50000</v>
      </c>
      <c r="D233" t="str">
        <f>Data_preprocessing!R233</f>
        <v>Female</v>
      </c>
      <c r="E233" t="str">
        <f>Data_preprocessing!S233</f>
        <v>IT</v>
      </c>
      <c r="F233" t="str">
        <f>Data_preprocessing!T233</f>
        <v>Analyst</v>
      </c>
      <c r="G233" s="2">
        <f>Data_preprocessing!U233</f>
        <v>43800</v>
      </c>
      <c r="H233" t="str">
        <f>Data_preprocessing!V233</f>
        <v>C</v>
      </c>
      <c r="I233" t="str">
        <f>Data_preprocessing!Y233</f>
        <v>email@example.com</v>
      </c>
      <c r="J233" t="str">
        <f>Data_preprocessing!Z233</f>
        <v>Phone not provided</v>
      </c>
      <c r="K233">
        <f t="shared" ca="1" si="9"/>
        <v>6</v>
      </c>
      <c r="L233" t="str">
        <f t="shared" si="10"/>
        <v>Low</v>
      </c>
      <c r="M233" t="str">
        <f t="shared" si="11"/>
        <v>Average</v>
      </c>
    </row>
    <row r="234" spans="1:13" x14ac:dyDescent="0.25">
      <c r="A234" t="str">
        <f>Data_preprocessing!M234</f>
        <v>Bob</v>
      </c>
      <c r="B234">
        <f>Data_preprocessing!O234</f>
        <v>30</v>
      </c>
      <c r="C234">
        <f>Data_preprocessing!Q234</f>
        <v>65000</v>
      </c>
      <c r="D234" t="str">
        <f>Data_preprocessing!R234</f>
        <v>Female</v>
      </c>
      <c r="E234" t="str">
        <f>Data_preprocessing!S234</f>
        <v>Finance</v>
      </c>
      <c r="F234" t="str">
        <f>Data_preprocessing!T234</f>
        <v>Analyst</v>
      </c>
      <c r="G234" s="2">
        <f>Data_preprocessing!U234</f>
        <v>43845</v>
      </c>
      <c r="H234" t="str">
        <f>Data_preprocessing!V234</f>
        <v>D</v>
      </c>
      <c r="I234" t="str">
        <f>Data_preprocessing!Y234</f>
        <v>email@example.com</v>
      </c>
      <c r="J234" t="str">
        <f>Data_preprocessing!Z234</f>
        <v>098-765-4321</v>
      </c>
      <c r="K234">
        <f t="shared" ca="1" si="9"/>
        <v>6</v>
      </c>
      <c r="L234" t="str">
        <f t="shared" si="10"/>
        <v>High</v>
      </c>
      <c r="M234" t="str">
        <f t="shared" si="11"/>
        <v>Below Average</v>
      </c>
    </row>
    <row r="235" spans="1:13" x14ac:dyDescent="0.25">
      <c r="A235" t="str">
        <f>Data_preprocessing!M235</f>
        <v>Alice</v>
      </c>
      <c r="B235">
        <f>Data_preprocessing!O235</f>
        <v>35</v>
      </c>
      <c r="C235">
        <f>Data_preprocessing!Q235</f>
        <v>70000</v>
      </c>
      <c r="D235" t="str">
        <f>Data_preprocessing!R235</f>
        <v>Female</v>
      </c>
      <c r="E235" t="str">
        <f>Data_preprocessing!S235</f>
        <v>HR</v>
      </c>
      <c r="F235" t="str">
        <f>Data_preprocessing!T235</f>
        <v>Manager</v>
      </c>
      <c r="G235" s="2">
        <f>Data_preprocessing!U235</f>
        <v>43881</v>
      </c>
      <c r="H235" t="str">
        <f>Data_preprocessing!V235</f>
        <v>B</v>
      </c>
      <c r="I235" t="str">
        <f>Data_preprocessing!Y235</f>
        <v>name@company.org</v>
      </c>
      <c r="J235" t="str">
        <f>Data_preprocessing!Z235</f>
        <v>123-456-7890</v>
      </c>
      <c r="K235">
        <f t="shared" ca="1" si="9"/>
        <v>5</v>
      </c>
      <c r="L235" t="str">
        <f t="shared" si="10"/>
        <v>High</v>
      </c>
      <c r="M235" t="str">
        <f t="shared" si="11"/>
        <v>Good</v>
      </c>
    </row>
    <row r="236" spans="1:13" x14ac:dyDescent="0.25">
      <c r="A236" t="str">
        <f>Data_preprocessing!M236</f>
        <v>Eve</v>
      </c>
      <c r="B236">
        <f>Data_preprocessing!O236</f>
        <v>40</v>
      </c>
      <c r="C236">
        <f>Data_preprocessing!Q236</f>
        <v>50000</v>
      </c>
      <c r="D236" t="str">
        <f>Data_preprocessing!R236</f>
        <v>Other</v>
      </c>
      <c r="E236" t="str">
        <f>Data_preprocessing!S236</f>
        <v>Sales</v>
      </c>
      <c r="F236" t="str">
        <f>Data_preprocessing!T236</f>
        <v>Assistant</v>
      </c>
      <c r="G236" s="2">
        <f>Data_preprocessing!U236</f>
        <v>43195</v>
      </c>
      <c r="H236" t="str">
        <f>Data_preprocessing!V236</f>
        <v>C</v>
      </c>
      <c r="I236" t="str">
        <f>Data_preprocessing!Y236</f>
        <v>name@company.org</v>
      </c>
      <c r="J236" t="str">
        <f>Data_preprocessing!Z236</f>
        <v>Phone not provided</v>
      </c>
      <c r="K236">
        <f t="shared" ca="1" si="9"/>
        <v>7</v>
      </c>
      <c r="L236" t="str">
        <f t="shared" si="10"/>
        <v>Low</v>
      </c>
      <c r="M236" t="str">
        <f t="shared" si="11"/>
        <v>Average</v>
      </c>
    </row>
    <row r="237" spans="1:13" x14ac:dyDescent="0.25">
      <c r="A237" t="str">
        <f>Data_preprocessing!M237</f>
        <v>Eve</v>
      </c>
      <c r="B237">
        <f>Data_preprocessing!O237</f>
        <v>25</v>
      </c>
      <c r="C237">
        <f>Data_preprocessing!Q237</f>
        <v>65000</v>
      </c>
      <c r="D237" t="str">
        <f>Data_preprocessing!R237</f>
        <v>Other</v>
      </c>
      <c r="E237" t="str">
        <f>Data_preprocessing!S237</f>
        <v>HR</v>
      </c>
      <c r="F237" t="str">
        <f>Data_preprocessing!T237</f>
        <v>Manager</v>
      </c>
      <c r="G237" s="2">
        <f>Data_preprocessing!U237</f>
        <v>43195</v>
      </c>
      <c r="H237" t="str">
        <f>Data_preprocessing!V237</f>
        <v>D</v>
      </c>
      <c r="I237" t="str">
        <f>Data_preprocessing!Y237</f>
        <v>Email not provided</v>
      </c>
      <c r="J237" t="str">
        <f>Data_preprocessing!Z237</f>
        <v>555-555-5555</v>
      </c>
      <c r="K237">
        <f t="shared" ca="1" si="9"/>
        <v>7</v>
      </c>
      <c r="L237" t="str">
        <f t="shared" si="10"/>
        <v>High</v>
      </c>
      <c r="M237" t="str">
        <f t="shared" si="11"/>
        <v>Below Average</v>
      </c>
    </row>
    <row r="238" spans="1:13" x14ac:dyDescent="0.25">
      <c r="A238" t="str">
        <f>Data_preprocessing!M238</f>
        <v>Grace</v>
      </c>
      <c r="B238">
        <f>Data_preprocessing!O238</f>
        <v>40</v>
      </c>
      <c r="C238">
        <f>Data_preprocessing!Q238</f>
        <v>55000</v>
      </c>
      <c r="D238" t="str">
        <f>Data_preprocessing!R238</f>
        <v>Male</v>
      </c>
      <c r="E238" t="str">
        <f>Data_preprocessing!S238</f>
        <v>Sales</v>
      </c>
      <c r="F238" t="str">
        <f>Data_preprocessing!T238</f>
        <v>Clerk</v>
      </c>
      <c r="G238" s="2">
        <f>Data_preprocessing!U238</f>
        <v>43845</v>
      </c>
      <c r="H238" t="str">
        <f>Data_preprocessing!V238</f>
        <v>B</v>
      </c>
      <c r="I238" t="str">
        <f>Data_preprocessing!Y238</f>
        <v>Email not provided</v>
      </c>
      <c r="J238" t="str">
        <f>Data_preprocessing!Z238</f>
        <v>Phone not provided</v>
      </c>
      <c r="K238">
        <f t="shared" ca="1" si="9"/>
        <v>6</v>
      </c>
      <c r="L238" t="str">
        <f t="shared" si="10"/>
        <v>Low</v>
      </c>
      <c r="M238" t="str">
        <f t="shared" si="11"/>
        <v>Good</v>
      </c>
    </row>
    <row r="239" spans="1:13" x14ac:dyDescent="0.25">
      <c r="A239" t="str">
        <f>Data_preprocessing!M239</f>
        <v>Ivy</v>
      </c>
      <c r="B239">
        <f>Data_preprocessing!O239</f>
        <v>30</v>
      </c>
      <c r="C239">
        <f>Data_preprocessing!Q239</f>
        <v>65000</v>
      </c>
      <c r="D239" t="str">
        <f>Data_preprocessing!R239</f>
        <v>Male</v>
      </c>
      <c r="E239" t="str">
        <f>Data_preprocessing!S239</f>
        <v>Marketing</v>
      </c>
      <c r="F239" t="str">
        <f>Data_preprocessing!T239</f>
        <v>Director</v>
      </c>
      <c r="G239" s="2">
        <f>Data_preprocessing!U239</f>
        <v>43800</v>
      </c>
      <c r="H239" t="str">
        <f>Data_preprocessing!V239</f>
        <v>C</v>
      </c>
      <c r="I239" t="str">
        <f>Data_preprocessing!Y239</f>
        <v>user@domain.com</v>
      </c>
      <c r="J239" t="str">
        <f>Data_preprocessing!Z239</f>
        <v>123-456-7890</v>
      </c>
      <c r="K239">
        <f t="shared" ca="1" si="9"/>
        <v>6</v>
      </c>
      <c r="L239" t="str">
        <f t="shared" si="10"/>
        <v>High</v>
      </c>
      <c r="M239" t="str">
        <f t="shared" si="11"/>
        <v>Average</v>
      </c>
    </row>
    <row r="240" spans="1:13" x14ac:dyDescent="0.25">
      <c r="A240" t="str">
        <f>Data_preprocessing!M240</f>
        <v>Ivy</v>
      </c>
      <c r="B240">
        <f>Data_preprocessing!O240</f>
        <v>40</v>
      </c>
      <c r="C240">
        <f>Data_preprocessing!Q240</f>
        <v>70000</v>
      </c>
      <c r="D240" t="str">
        <f>Data_preprocessing!R240</f>
        <v>Other</v>
      </c>
      <c r="E240" t="str">
        <f>Data_preprocessing!S240</f>
        <v>Marketing</v>
      </c>
      <c r="F240" t="str">
        <f>Data_preprocessing!T240</f>
        <v>Director</v>
      </c>
      <c r="G240" s="2">
        <f>Data_preprocessing!U240</f>
        <v>43881</v>
      </c>
      <c r="H240" t="str">
        <f>Data_preprocessing!V240</f>
        <v>A</v>
      </c>
      <c r="I240" t="str">
        <f>Data_preprocessing!Y240</f>
        <v>user@domain.com</v>
      </c>
      <c r="J240" t="str">
        <f>Data_preprocessing!Z240</f>
        <v>Phone not provided</v>
      </c>
      <c r="K240">
        <f t="shared" ca="1" si="9"/>
        <v>5</v>
      </c>
      <c r="L240" t="str">
        <f t="shared" si="10"/>
        <v>High</v>
      </c>
      <c r="M240" t="str">
        <f t="shared" si="11"/>
        <v>Excellent</v>
      </c>
    </row>
    <row r="241" spans="1:13" x14ac:dyDescent="0.25">
      <c r="A241" t="str">
        <f>Data_preprocessing!M241</f>
        <v>Charlie</v>
      </c>
      <c r="B241">
        <f>Data_preprocessing!O241</f>
        <v>25</v>
      </c>
      <c r="C241">
        <f>Data_preprocessing!Q241</f>
        <v>65000</v>
      </c>
      <c r="D241" t="str">
        <f>Data_preprocessing!R241</f>
        <v>Female</v>
      </c>
      <c r="E241" t="str">
        <f>Data_preprocessing!S241</f>
        <v>Sales</v>
      </c>
      <c r="F241" t="str">
        <f>Data_preprocessing!T241</f>
        <v>Analyst</v>
      </c>
      <c r="G241" s="2">
        <f>Data_preprocessing!U241</f>
        <v>43845</v>
      </c>
      <c r="H241" t="str">
        <f>Data_preprocessing!V241</f>
        <v>F</v>
      </c>
      <c r="I241" t="str">
        <f>Data_preprocessing!Y241</f>
        <v>email@example.com</v>
      </c>
      <c r="J241" t="str">
        <f>Data_preprocessing!Z241</f>
        <v>123-456-7890</v>
      </c>
      <c r="K241">
        <f t="shared" ca="1" si="9"/>
        <v>6</v>
      </c>
      <c r="L241" t="str">
        <f t="shared" si="10"/>
        <v>High</v>
      </c>
      <c r="M241" t="str">
        <f t="shared" si="11"/>
        <v>Poor</v>
      </c>
    </row>
    <row r="242" spans="1:13" x14ac:dyDescent="0.25">
      <c r="A242" t="str">
        <f>Data_preprocessing!M242</f>
        <v>Charlie</v>
      </c>
      <c r="B242">
        <f>Data_preprocessing!O242</f>
        <v>30</v>
      </c>
      <c r="C242">
        <f>Data_preprocessing!Q242</f>
        <v>60000</v>
      </c>
      <c r="D242" t="str">
        <f>Data_preprocessing!R242</f>
        <v>Female</v>
      </c>
      <c r="E242" t="str">
        <f>Data_preprocessing!S242</f>
        <v>Finance</v>
      </c>
      <c r="F242" t="str">
        <f>Data_preprocessing!T242</f>
        <v>Director</v>
      </c>
      <c r="G242" s="2">
        <f>Data_preprocessing!U242</f>
        <v>43800</v>
      </c>
      <c r="H242" t="str">
        <f>Data_preprocessing!V242</f>
        <v>B</v>
      </c>
      <c r="I242" t="str">
        <f>Data_preprocessing!Y242</f>
        <v>name@company.org</v>
      </c>
      <c r="J242" t="str">
        <f>Data_preprocessing!Z242</f>
        <v>555-555-5555</v>
      </c>
      <c r="K242">
        <f t="shared" ca="1" si="9"/>
        <v>6</v>
      </c>
      <c r="L242" t="str">
        <f t="shared" si="10"/>
        <v>Medium</v>
      </c>
      <c r="M242" t="str">
        <f t="shared" si="11"/>
        <v>Good</v>
      </c>
    </row>
    <row r="243" spans="1:13" x14ac:dyDescent="0.25">
      <c r="A243" t="str">
        <f>Data_preprocessing!M243</f>
        <v>Charlie</v>
      </c>
      <c r="B243">
        <f>Data_preprocessing!O243</f>
        <v>40</v>
      </c>
      <c r="C243">
        <f>Data_preprocessing!Q243</f>
        <v>70000</v>
      </c>
      <c r="D243" t="str">
        <f>Data_preprocessing!R243</f>
        <v>Female</v>
      </c>
      <c r="E243" t="str">
        <f>Data_preprocessing!S243</f>
        <v>HR</v>
      </c>
      <c r="F243" t="str">
        <f>Data_preprocessing!T243</f>
        <v>Director</v>
      </c>
      <c r="G243" s="2">
        <f>Data_preprocessing!U243</f>
        <v>43881</v>
      </c>
      <c r="H243" t="str">
        <f>Data_preprocessing!V243</f>
        <v>D</v>
      </c>
      <c r="I243" t="str">
        <f>Data_preprocessing!Y243</f>
        <v>email@example.com</v>
      </c>
      <c r="J243" t="str">
        <f>Data_preprocessing!Z243</f>
        <v>098-765-4321</v>
      </c>
      <c r="K243">
        <f t="shared" ca="1" si="9"/>
        <v>5</v>
      </c>
      <c r="L243" t="str">
        <f t="shared" si="10"/>
        <v>High</v>
      </c>
      <c r="M243" t="str">
        <f t="shared" si="11"/>
        <v>Below Average</v>
      </c>
    </row>
    <row r="244" spans="1:13" x14ac:dyDescent="0.25">
      <c r="A244" t="str">
        <f>Data_preprocessing!M244</f>
        <v>David</v>
      </c>
      <c r="B244">
        <f>Data_preprocessing!O244</f>
        <v>35</v>
      </c>
      <c r="C244">
        <f>Data_preprocessing!Q244</f>
        <v>60000</v>
      </c>
      <c r="D244" t="str">
        <f>Data_preprocessing!R244</f>
        <v>Male</v>
      </c>
      <c r="E244" t="str">
        <f>Data_preprocessing!S244</f>
        <v>HR</v>
      </c>
      <c r="F244" t="str">
        <f>Data_preprocessing!T244</f>
        <v>Director</v>
      </c>
      <c r="G244" s="2">
        <f>Data_preprocessing!U244</f>
        <v>43195</v>
      </c>
      <c r="H244" t="str">
        <f>Data_preprocessing!V244</f>
        <v>B</v>
      </c>
      <c r="I244" t="str">
        <f>Data_preprocessing!Y244</f>
        <v>email@example.com</v>
      </c>
      <c r="J244" t="str">
        <f>Data_preprocessing!Z244</f>
        <v>Phone not provided</v>
      </c>
      <c r="K244">
        <f t="shared" ca="1" si="9"/>
        <v>7</v>
      </c>
      <c r="L244" t="str">
        <f t="shared" si="10"/>
        <v>Medium</v>
      </c>
      <c r="M244" t="str">
        <f t="shared" si="11"/>
        <v>Good</v>
      </c>
    </row>
    <row r="245" spans="1:13" x14ac:dyDescent="0.25">
      <c r="A245" t="str">
        <f>Data_preprocessing!M245</f>
        <v>Hannah</v>
      </c>
      <c r="B245">
        <f>Data_preprocessing!O245</f>
        <v>50</v>
      </c>
      <c r="C245">
        <f>Data_preprocessing!Q245</f>
        <v>55000</v>
      </c>
      <c r="D245" t="str">
        <f>Data_preprocessing!R245</f>
        <v>Female</v>
      </c>
      <c r="E245" t="str">
        <f>Data_preprocessing!S245</f>
        <v>Marketing</v>
      </c>
      <c r="F245" t="str">
        <f>Data_preprocessing!T245</f>
        <v>Clerk</v>
      </c>
      <c r="G245" s="2">
        <f>Data_preprocessing!U245</f>
        <v>43881</v>
      </c>
      <c r="H245" t="str">
        <f>Data_preprocessing!V245</f>
        <v>D</v>
      </c>
      <c r="I245" t="str">
        <f>Data_preprocessing!Y245</f>
        <v>name@company.org</v>
      </c>
      <c r="J245" t="str">
        <f>Data_preprocessing!Z245</f>
        <v>123-456-7890</v>
      </c>
      <c r="K245">
        <f t="shared" ca="1" si="9"/>
        <v>5</v>
      </c>
      <c r="L245" t="str">
        <f t="shared" si="10"/>
        <v>Low</v>
      </c>
      <c r="M245" t="str">
        <f t="shared" si="11"/>
        <v>Below Average</v>
      </c>
    </row>
    <row r="246" spans="1:13" x14ac:dyDescent="0.25">
      <c r="A246" t="str">
        <f>Data_preprocessing!M246</f>
        <v>Frank</v>
      </c>
      <c r="B246">
        <f>Data_preprocessing!O246</f>
        <v>30</v>
      </c>
      <c r="C246">
        <f>Data_preprocessing!Q246</f>
        <v>60000</v>
      </c>
      <c r="D246" t="str">
        <f>Data_preprocessing!R246</f>
        <v>Male</v>
      </c>
      <c r="E246" t="str">
        <f>Data_preprocessing!S246</f>
        <v>Sales</v>
      </c>
      <c r="F246" t="str">
        <f>Data_preprocessing!T246</f>
        <v>Director</v>
      </c>
      <c r="G246" s="2">
        <f>Data_preprocessing!U246</f>
        <v>43549</v>
      </c>
      <c r="H246" t="str">
        <f>Data_preprocessing!V246</f>
        <v>B</v>
      </c>
      <c r="I246" t="str">
        <f>Data_preprocessing!Y246</f>
        <v>user@domain.com</v>
      </c>
      <c r="J246" t="str">
        <f>Data_preprocessing!Z246</f>
        <v>123-456-7890</v>
      </c>
      <c r="K246">
        <f t="shared" ca="1" si="9"/>
        <v>6</v>
      </c>
      <c r="L246" t="str">
        <f t="shared" si="10"/>
        <v>Medium</v>
      </c>
      <c r="M246" t="str">
        <f t="shared" si="11"/>
        <v>Good</v>
      </c>
    </row>
    <row r="247" spans="1:13" x14ac:dyDescent="0.25">
      <c r="A247" t="str">
        <f>Data_preprocessing!M247</f>
        <v>Hannah</v>
      </c>
      <c r="B247">
        <f>Data_preprocessing!O247</f>
        <v>50</v>
      </c>
      <c r="C247">
        <f>Data_preprocessing!Q247</f>
        <v>60000</v>
      </c>
      <c r="D247" t="str">
        <f>Data_preprocessing!R247</f>
        <v>Male</v>
      </c>
      <c r="E247" t="str">
        <f>Data_preprocessing!S247</f>
        <v>HR</v>
      </c>
      <c r="F247" t="str">
        <f>Data_preprocessing!T247</f>
        <v>Director</v>
      </c>
      <c r="G247" s="2">
        <f>Data_preprocessing!U247</f>
        <v>43881</v>
      </c>
      <c r="H247" t="str">
        <f>Data_preprocessing!V247</f>
        <v>D</v>
      </c>
      <c r="I247" t="str">
        <f>Data_preprocessing!Y247</f>
        <v>name@company.org</v>
      </c>
      <c r="J247" t="str">
        <f>Data_preprocessing!Z247</f>
        <v>123-456-7890</v>
      </c>
      <c r="K247">
        <f t="shared" ca="1" si="9"/>
        <v>5</v>
      </c>
      <c r="L247" t="str">
        <f t="shared" si="10"/>
        <v>Medium</v>
      </c>
      <c r="M247" t="str">
        <f t="shared" si="11"/>
        <v>Below Average</v>
      </c>
    </row>
    <row r="248" spans="1:13" x14ac:dyDescent="0.25">
      <c r="A248" t="str">
        <f>Data_preprocessing!M248</f>
        <v>Alice</v>
      </c>
      <c r="B248">
        <f>Data_preprocessing!O248</f>
        <v>30</v>
      </c>
      <c r="C248">
        <f>Data_preprocessing!Q248</f>
        <v>65000</v>
      </c>
      <c r="D248" t="str">
        <f>Data_preprocessing!R248</f>
        <v>Female</v>
      </c>
      <c r="E248" t="str">
        <f>Data_preprocessing!S248</f>
        <v>HR</v>
      </c>
      <c r="F248" t="str">
        <f>Data_preprocessing!T248</f>
        <v>Director</v>
      </c>
      <c r="G248" s="2">
        <f>Data_preprocessing!U248</f>
        <v>43549</v>
      </c>
      <c r="H248" t="str">
        <f>Data_preprocessing!V248</f>
        <v>C</v>
      </c>
      <c r="I248" t="str">
        <f>Data_preprocessing!Y248</f>
        <v>Email not provided</v>
      </c>
      <c r="J248" t="str">
        <f>Data_preprocessing!Z248</f>
        <v>098-765-4321</v>
      </c>
      <c r="K248">
        <f t="shared" ca="1" si="9"/>
        <v>6</v>
      </c>
      <c r="L248" t="str">
        <f t="shared" si="10"/>
        <v>High</v>
      </c>
      <c r="M248" t="str">
        <f t="shared" si="11"/>
        <v>Average</v>
      </c>
    </row>
    <row r="249" spans="1:13" x14ac:dyDescent="0.25">
      <c r="A249" t="str">
        <f>Data_preprocessing!M249</f>
        <v>Hannah</v>
      </c>
      <c r="B249">
        <f>Data_preprocessing!O249</f>
        <v>35</v>
      </c>
      <c r="C249">
        <f>Data_preprocessing!Q249</f>
        <v>70000</v>
      </c>
      <c r="D249" t="str">
        <f>Data_preprocessing!R249</f>
        <v>Female</v>
      </c>
      <c r="E249" t="str">
        <f>Data_preprocessing!S249</f>
        <v>Finance</v>
      </c>
      <c r="F249" t="str">
        <f>Data_preprocessing!T249</f>
        <v>Manager</v>
      </c>
      <c r="G249" s="2">
        <f>Data_preprocessing!U249</f>
        <v>43881</v>
      </c>
      <c r="H249" t="str">
        <f>Data_preprocessing!V249</f>
        <v>A</v>
      </c>
      <c r="I249" t="str">
        <f>Data_preprocessing!Y249</f>
        <v>Email not provided</v>
      </c>
      <c r="J249" t="str">
        <f>Data_preprocessing!Z249</f>
        <v>123-456-7890</v>
      </c>
      <c r="K249">
        <f t="shared" ca="1" si="9"/>
        <v>5</v>
      </c>
      <c r="L249" t="str">
        <f t="shared" si="10"/>
        <v>High</v>
      </c>
      <c r="M249" t="str">
        <f t="shared" si="11"/>
        <v>Excellent</v>
      </c>
    </row>
    <row r="250" spans="1:13" x14ac:dyDescent="0.25">
      <c r="A250" t="str">
        <f>Data_preprocessing!M250</f>
        <v>David</v>
      </c>
      <c r="B250">
        <f>Data_preprocessing!O250</f>
        <v>50</v>
      </c>
      <c r="C250">
        <f>Data_preprocessing!Q250</f>
        <v>55000</v>
      </c>
      <c r="D250" t="str">
        <f>Data_preprocessing!R250</f>
        <v>Other</v>
      </c>
      <c r="E250" t="str">
        <f>Data_preprocessing!S250</f>
        <v>IT</v>
      </c>
      <c r="F250" t="str">
        <f>Data_preprocessing!T250</f>
        <v>Clerk</v>
      </c>
      <c r="G250" s="2">
        <f>Data_preprocessing!U250</f>
        <v>43549</v>
      </c>
      <c r="H250" t="str">
        <f>Data_preprocessing!V250</f>
        <v>C</v>
      </c>
      <c r="I250" t="str">
        <f>Data_preprocessing!Y250</f>
        <v>Email not provided</v>
      </c>
      <c r="J250" t="str">
        <f>Data_preprocessing!Z250</f>
        <v>Phone not provided</v>
      </c>
      <c r="K250">
        <f t="shared" ca="1" si="9"/>
        <v>6</v>
      </c>
      <c r="L250" t="str">
        <f t="shared" si="10"/>
        <v>Low</v>
      </c>
      <c r="M250" t="str">
        <f t="shared" si="11"/>
        <v>Average</v>
      </c>
    </row>
    <row r="251" spans="1:13" x14ac:dyDescent="0.25">
      <c r="A251" t="str">
        <f>Data_preprocessing!M251</f>
        <v>Alice</v>
      </c>
      <c r="B251">
        <f>Data_preprocessing!O251</f>
        <v>35</v>
      </c>
      <c r="C251">
        <f>Data_preprocessing!Q251</f>
        <v>60000</v>
      </c>
      <c r="D251" t="str">
        <f>Data_preprocessing!R251</f>
        <v>Other</v>
      </c>
      <c r="E251" t="str">
        <f>Data_preprocessing!S251</f>
        <v>Marketing</v>
      </c>
      <c r="F251" t="str">
        <f>Data_preprocessing!T251</f>
        <v>Analyst</v>
      </c>
      <c r="G251" s="2">
        <f>Data_preprocessing!U251</f>
        <v>43195</v>
      </c>
      <c r="H251" t="str">
        <f>Data_preprocessing!V251</f>
        <v>A</v>
      </c>
      <c r="I251" t="str">
        <f>Data_preprocessing!Y251</f>
        <v>Email not provided</v>
      </c>
      <c r="J251" t="str">
        <f>Data_preprocessing!Z251</f>
        <v>Phone not provided</v>
      </c>
      <c r="K251">
        <f t="shared" ca="1" si="9"/>
        <v>7</v>
      </c>
      <c r="L251" t="str">
        <f t="shared" si="10"/>
        <v>Medium</v>
      </c>
      <c r="M251" t="str">
        <f t="shared" si="11"/>
        <v>Excellent</v>
      </c>
    </row>
    <row r="252" spans="1:13" x14ac:dyDescent="0.25">
      <c r="A252" t="str">
        <f>Data_preprocessing!M252</f>
        <v>Hannah</v>
      </c>
      <c r="B252">
        <f>Data_preprocessing!O252</f>
        <v>25</v>
      </c>
      <c r="C252">
        <f>Data_preprocessing!Q252</f>
        <v>60000</v>
      </c>
      <c r="D252" t="str">
        <f>Data_preprocessing!R252</f>
        <v>Female</v>
      </c>
      <c r="E252" t="str">
        <f>Data_preprocessing!S252</f>
        <v>Marketing</v>
      </c>
      <c r="F252" t="str">
        <f>Data_preprocessing!T252</f>
        <v>Manager</v>
      </c>
      <c r="G252" s="2">
        <f>Data_preprocessing!U252</f>
        <v>43800</v>
      </c>
      <c r="H252" t="str">
        <f>Data_preprocessing!V252</f>
        <v>C</v>
      </c>
      <c r="I252" t="str">
        <f>Data_preprocessing!Y252</f>
        <v>user@domain.com</v>
      </c>
      <c r="J252" t="str">
        <f>Data_preprocessing!Z252</f>
        <v>123-456-7890</v>
      </c>
      <c r="K252">
        <f t="shared" ca="1" si="9"/>
        <v>6</v>
      </c>
      <c r="L252" t="str">
        <f t="shared" si="10"/>
        <v>Medium</v>
      </c>
      <c r="M252" t="str">
        <f t="shared" si="11"/>
        <v>Average</v>
      </c>
    </row>
    <row r="253" spans="1:13" x14ac:dyDescent="0.25">
      <c r="A253" t="str">
        <f>Data_preprocessing!M253</f>
        <v>David</v>
      </c>
      <c r="B253">
        <f>Data_preprocessing!O253</f>
        <v>35</v>
      </c>
      <c r="C253">
        <f>Data_preprocessing!Q253</f>
        <v>60000</v>
      </c>
      <c r="D253" t="str">
        <f>Data_preprocessing!R253</f>
        <v>Male</v>
      </c>
      <c r="E253" t="str">
        <f>Data_preprocessing!S253</f>
        <v>IT</v>
      </c>
      <c r="F253" t="str">
        <f>Data_preprocessing!T253</f>
        <v>Assistant</v>
      </c>
      <c r="G253" s="2">
        <f>Data_preprocessing!U253</f>
        <v>43549</v>
      </c>
      <c r="H253" t="str">
        <f>Data_preprocessing!V253</f>
        <v>C</v>
      </c>
      <c r="I253" t="str">
        <f>Data_preprocessing!Y253</f>
        <v>user@domain.com</v>
      </c>
      <c r="J253" t="str">
        <f>Data_preprocessing!Z253</f>
        <v>Phone not provided</v>
      </c>
      <c r="K253">
        <f t="shared" ca="1" si="9"/>
        <v>6</v>
      </c>
      <c r="L253" t="str">
        <f t="shared" si="10"/>
        <v>Medium</v>
      </c>
      <c r="M253" t="str">
        <f t="shared" si="11"/>
        <v>Average</v>
      </c>
    </row>
    <row r="254" spans="1:13" x14ac:dyDescent="0.25">
      <c r="A254" t="str">
        <f>Data_preprocessing!M254</f>
        <v>Frank</v>
      </c>
      <c r="B254">
        <f>Data_preprocessing!O254</f>
        <v>40</v>
      </c>
      <c r="C254">
        <f>Data_preprocessing!Q254</f>
        <v>55000</v>
      </c>
      <c r="D254" t="str">
        <f>Data_preprocessing!R254</f>
        <v>Male</v>
      </c>
      <c r="E254" t="str">
        <f>Data_preprocessing!S254</f>
        <v>HR</v>
      </c>
      <c r="F254" t="str">
        <f>Data_preprocessing!T254</f>
        <v>Clerk</v>
      </c>
      <c r="G254" s="2">
        <f>Data_preprocessing!U254</f>
        <v>43549</v>
      </c>
      <c r="H254" t="str">
        <f>Data_preprocessing!V254</f>
        <v>B</v>
      </c>
      <c r="I254" t="str">
        <f>Data_preprocessing!Y254</f>
        <v>Email not provided</v>
      </c>
      <c r="J254" t="str">
        <f>Data_preprocessing!Z254</f>
        <v>Phone not provided</v>
      </c>
      <c r="K254">
        <f t="shared" ca="1" si="9"/>
        <v>6</v>
      </c>
      <c r="L254" t="str">
        <f t="shared" si="10"/>
        <v>Low</v>
      </c>
      <c r="M254" t="str">
        <f t="shared" si="11"/>
        <v>Good</v>
      </c>
    </row>
    <row r="255" spans="1:13" x14ac:dyDescent="0.25">
      <c r="A255" t="str">
        <f>Data_preprocessing!M255</f>
        <v>Hannah</v>
      </c>
      <c r="B255">
        <f>Data_preprocessing!O255</f>
        <v>35</v>
      </c>
      <c r="C255">
        <f>Data_preprocessing!Q255</f>
        <v>65000</v>
      </c>
      <c r="D255" t="str">
        <f>Data_preprocessing!R255</f>
        <v>Male</v>
      </c>
      <c r="E255" t="str">
        <f>Data_preprocessing!S255</f>
        <v>Finance</v>
      </c>
      <c r="F255" t="str">
        <f>Data_preprocessing!T255</f>
        <v>Clerk</v>
      </c>
      <c r="G255" s="2">
        <f>Data_preprocessing!U255</f>
        <v>43195</v>
      </c>
      <c r="H255" t="str">
        <f>Data_preprocessing!V255</f>
        <v>F</v>
      </c>
      <c r="I255" t="str">
        <f>Data_preprocessing!Y255</f>
        <v>email@example.com</v>
      </c>
      <c r="J255" t="str">
        <f>Data_preprocessing!Z255</f>
        <v>Phone not provided</v>
      </c>
      <c r="K255">
        <f t="shared" ca="1" si="9"/>
        <v>7</v>
      </c>
      <c r="L255" t="str">
        <f t="shared" si="10"/>
        <v>High</v>
      </c>
      <c r="M255" t="str">
        <f t="shared" si="11"/>
        <v>Poor</v>
      </c>
    </row>
    <row r="256" spans="1:13" x14ac:dyDescent="0.25">
      <c r="A256" t="str">
        <f>Data_preprocessing!M256</f>
        <v>David</v>
      </c>
      <c r="B256">
        <f>Data_preprocessing!O256</f>
        <v>35</v>
      </c>
      <c r="C256">
        <f>Data_preprocessing!Q256</f>
        <v>55000</v>
      </c>
      <c r="D256" t="str">
        <f>Data_preprocessing!R256</f>
        <v>Male</v>
      </c>
      <c r="E256" t="str">
        <f>Data_preprocessing!S256</f>
        <v>Finance</v>
      </c>
      <c r="F256" t="str">
        <f>Data_preprocessing!T256</f>
        <v>Assistant</v>
      </c>
      <c r="G256" s="2">
        <f>Data_preprocessing!U256</f>
        <v>43549</v>
      </c>
      <c r="H256" t="str">
        <f>Data_preprocessing!V256</f>
        <v>D</v>
      </c>
      <c r="I256" t="str">
        <f>Data_preprocessing!Y256</f>
        <v>Email not provided</v>
      </c>
      <c r="J256" t="str">
        <f>Data_preprocessing!Z256</f>
        <v>123-456-7890</v>
      </c>
      <c r="K256">
        <f t="shared" ca="1" si="9"/>
        <v>6</v>
      </c>
      <c r="L256" t="str">
        <f t="shared" si="10"/>
        <v>Low</v>
      </c>
      <c r="M256" t="str">
        <f t="shared" si="11"/>
        <v>Below Average</v>
      </c>
    </row>
    <row r="257" spans="1:13" x14ac:dyDescent="0.25">
      <c r="A257" t="str">
        <f>Data_preprocessing!M257</f>
        <v>Charlie</v>
      </c>
      <c r="B257">
        <f>Data_preprocessing!O257</f>
        <v>30</v>
      </c>
      <c r="C257">
        <f>Data_preprocessing!Q257</f>
        <v>60000</v>
      </c>
      <c r="D257" t="str">
        <f>Data_preprocessing!R257</f>
        <v>Male</v>
      </c>
      <c r="E257" t="str">
        <f>Data_preprocessing!S257</f>
        <v>Marketing</v>
      </c>
      <c r="F257" t="str">
        <f>Data_preprocessing!T257</f>
        <v>Assistant</v>
      </c>
      <c r="G257" s="2">
        <f>Data_preprocessing!U257</f>
        <v>43845</v>
      </c>
      <c r="H257" t="str">
        <f>Data_preprocessing!V257</f>
        <v>D</v>
      </c>
      <c r="I257" t="str">
        <f>Data_preprocessing!Y257</f>
        <v>Email not provided</v>
      </c>
      <c r="J257" t="str">
        <f>Data_preprocessing!Z257</f>
        <v>555-555-5555</v>
      </c>
      <c r="K257">
        <f t="shared" ca="1" si="9"/>
        <v>6</v>
      </c>
      <c r="L257" t="str">
        <f t="shared" si="10"/>
        <v>Medium</v>
      </c>
      <c r="M257" t="str">
        <f t="shared" si="11"/>
        <v>Below Average</v>
      </c>
    </row>
    <row r="258" spans="1:13" x14ac:dyDescent="0.25">
      <c r="A258" t="str">
        <f>Data_preprocessing!M258</f>
        <v>Ivy</v>
      </c>
      <c r="B258">
        <f>Data_preprocessing!O258</f>
        <v>40</v>
      </c>
      <c r="C258">
        <f>Data_preprocessing!Q258</f>
        <v>50000</v>
      </c>
      <c r="D258" t="str">
        <f>Data_preprocessing!R258</f>
        <v>Other</v>
      </c>
      <c r="E258" t="str">
        <f>Data_preprocessing!S258</f>
        <v>Finance</v>
      </c>
      <c r="F258" t="str">
        <f>Data_preprocessing!T258</f>
        <v>Assistant</v>
      </c>
      <c r="G258" s="2">
        <f>Data_preprocessing!U258</f>
        <v>43195</v>
      </c>
      <c r="H258" t="str">
        <f>Data_preprocessing!V258</f>
        <v>D</v>
      </c>
      <c r="I258" t="str">
        <f>Data_preprocessing!Y258</f>
        <v>email@example.com</v>
      </c>
      <c r="J258" t="str">
        <f>Data_preprocessing!Z258</f>
        <v>Phone not provided</v>
      </c>
      <c r="K258">
        <f t="shared" ref="K258:K321" ca="1" si="12">DATEDIF(G258,TODAY(),"Y")</f>
        <v>7</v>
      </c>
      <c r="L258" t="str">
        <f t="shared" ref="L258:L321" si="13">IF(C258&lt;60000,"Low",IF(C258&lt;65000,"Medium","High"))</f>
        <v>Low</v>
      </c>
      <c r="M258" t="str">
        <f t="shared" si="11"/>
        <v>Below Average</v>
      </c>
    </row>
    <row r="259" spans="1:13" x14ac:dyDescent="0.25">
      <c r="A259" t="str">
        <f>Data_preprocessing!M259</f>
        <v>Charlie</v>
      </c>
      <c r="B259">
        <f>Data_preprocessing!O259</f>
        <v>40</v>
      </c>
      <c r="C259">
        <f>Data_preprocessing!Q259</f>
        <v>60000</v>
      </c>
      <c r="D259" t="str">
        <f>Data_preprocessing!R259</f>
        <v>Female</v>
      </c>
      <c r="E259" t="str">
        <f>Data_preprocessing!S259</f>
        <v>IT</v>
      </c>
      <c r="F259" t="str">
        <f>Data_preprocessing!T259</f>
        <v>Analyst</v>
      </c>
      <c r="G259" s="2">
        <f>Data_preprocessing!U259</f>
        <v>43845</v>
      </c>
      <c r="H259" t="str">
        <f>Data_preprocessing!V259</f>
        <v>A</v>
      </c>
      <c r="I259" t="str">
        <f>Data_preprocessing!Y259</f>
        <v>name@company.org</v>
      </c>
      <c r="J259" t="str">
        <f>Data_preprocessing!Z259</f>
        <v>098-765-4321</v>
      </c>
      <c r="K259">
        <f t="shared" ca="1" si="12"/>
        <v>6</v>
      </c>
      <c r="L259" t="str">
        <f t="shared" si="13"/>
        <v>Medium</v>
      </c>
      <c r="M259" t="str">
        <f t="shared" ref="M259:M322" si="14">IF(H259="A","Excellent",IF(H259="B","Good",IF(H259="C","Average",IF(H259="D","Below Average","Poor"))))</f>
        <v>Excellent</v>
      </c>
    </row>
    <row r="260" spans="1:13" x14ac:dyDescent="0.25">
      <c r="A260" t="str">
        <f>Data_preprocessing!M260</f>
        <v>Ivy</v>
      </c>
      <c r="B260">
        <f>Data_preprocessing!O260</f>
        <v>35</v>
      </c>
      <c r="C260">
        <f>Data_preprocessing!Q260</f>
        <v>55000</v>
      </c>
      <c r="D260" t="str">
        <f>Data_preprocessing!R260</f>
        <v>Other</v>
      </c>
      <c r="E260" t="str">
        <f>Data_preprocessing!S260</f>
        <v>HR</v>
      </c>
      <c r="F260" t="str">
        <f>Data_preprocessing!T260</f>
        <v>Director</v>
      </c>
      <c r="G260" s="2">
        <f>Data_preprocessing!U260</f>
        <v>43195</v>
      </c>
      <c r="H260" t="str">
        <f>Data_preprocessing!V260</f>
        <v>D</v>
      </c>
      <c r="I260" t="str">
        <f>Data_preprocessing!Y260</f>
        <v>name@company.org</v>
      </c>
      <c r="J260" t="str">
        <f>Data_preprocessing!Z260</f>
        <v>123-456-7890</v>
      </c>
      <c r="K260">
        <f t="shared" ca="1" si="12"/>
        <v>7</v>
      </c>
      <c r="L260" t="str">
        <f t="shared" si="13"/>
        <v>Low</v>
      </c>
      <c r="M260" t="str">
        <f t="shared" si="14"/>
        <v>Below Average</v>
      </c>
    </row>
    <row r="261" spans="1:13" x14ac:dyDescent="0.25">
      <c r="A261" t="str">
        <f>Data_preprocessing!M261</f>
        <v>Bob</v>
      </c>
      <c r="B261">
        <f>Data_preprocessing!O261</f>
        <v>35</v>
      </c>
      <c r="C261">
        <f>Data_preprocessing!Q261</f>
        <v>60000</v>
      </c>
      <c r="D261" t="str">
        <f>Data_preprocessing!R261</f>
        <v>Male</v>
      </c>
      <c r="E261" t="str">
        <f>Data_preprocessing!S261</f>
        <v>IT</v>
      </c>
      <c r="F261" t="str">
        <f>Data_preprocessing!T261</f>
        <v>Clerk</v>
      </c>
      <c r="G261" s="2">
        <f>Data_preprocessing!U261</f>
        <v>43549</v>
      </c>
      <c r="H261" t="str">
        <f>Data_preprocessing!V261</f>
        <v>D</v>
      </c>
      <c r="I261" t="str">
        <f>Data_preprocessing!Y261</f>
        <v>user@domain.com</v>
      </c>
      <c r="J261" t="str">
        <f>Data_preprocessing!Z261</f>
        <v>098-765-4321</v>
      </c>
      <c r="K261">
        <f t="shared" ca="1" si="12"/>
        <v>6</v>
      </c>
      <c r="L261" t="str">
        <f t="shared" si="13"/>
        <v>Medium</v>
      </c>
      <c r="M261" t="str">
        <f t="shared" si="14"/>
        <v>Below Average</v>
      </c>
    </row>
    <row r="262" spans="1:13" x14ac:dyDescent="0.25">
      <c r="A262" t="str">
        <f>Data_preprocessing!M262</f>
        <v>Bob</v>
      </c>
      <c r="B262">
        <f>Data_preprocessing!O262</f>
        <v>35</v>
      </c>
      <c r="C262">
        <f>Data_preprocessing!Q262</f>
        <v>65000</v>
      </c>
      <c r="D262" t="str">
        <f>Data_preprocessing!R262</f>
        <v>Male</v>
      </c>
      <c r="E262" t="str">
        <f>Data_preprocessing!S262</f>
        <v>Sales</v>
      </c>
      <c r="F262" t="str">
        <f>Data_preprocessing!T262</f>
        <v>Director</v>
      </c>
      <c r="G262" s="2">
        <f>Data_preprocessing!U262</f>
        <v>43845</v>
      </c>
      <c r="H262" t="str">
        <f>Data_preprocessing!V262</f>
        <v>B</v>
      </c>
      <c r="I262" t="str">
        <f>Data_preprocessing!Y262</f>
        <v>Email not provided</v>
      </c>
      <c r="J262" t="str">
        <f>Data_preprocessing!Z262</f>
        <v>555-555-5555</v>
      </c>
      <c r="K262">
        <f t="shared" ca="1" si="12"/>
        <v>6</v>
      </c>
      <c r="L262" t="str">
        <f t="shared" si="13"/>
        <v>High</v>
      </c>
      <c r="M262" t="str">
        <f t="shared" si="14"/>
        <v>Good</v>
      </c>
    </row>
    <row r="263" spans="1:13" x14ac:dyDescent="0.25">
      <c r="A263" t="str">
        <f>Data_preprocessing!M263</f>
        <v>Bob</v>
      </c>
      <c r="B263">
        <f>Data_preprocessing!O263</f>
        <v>25</v>
      </c>
      <c r="C263">
        <f>Data_preprocessing!Q263</f>
        <v>60000</v>
      </c>
      <c r="D263" t="str">
        <f>Data_preprocessing!R263</f>
        <v>Male</v>
      </c>
      <c r="E263" t="str">
        <f>Data_preprocessing!S263</f>
        <v>Marketing</v>
      </c>
      <c r="F263" t="str">
        <f>Data_preprocessing!T263</f>
        <v>Director</v>
      </c>
      <c r="G263" s="2">
        <f>Data_preprocessing!U263</f>
        <v>43549</v>
      </c>
      <c r="H263" t="str">
        <f>Data_preprocessing!V263</f>
        <v>C</v>
      </c>
      <c r="I263" t="str">
        <f>Data_preprocessing!Y263</f>
        <v>user@domain.com</v>
      </c>
      <c r="J263" t="str">
        <f>Data_preprocessing!Z263</f>
        <v>098-765-4321</v>
      </c>
      <c r="K263">
        <f t="shared" ca="1" si="12"/>
        <v>6</v>
      </c>
      <c r="L263" t="str">
        <f t="shared" si="13"/>
        <v>Medium</v>
      </c>
      <c r="M263" t="str">
        <f t="shared" si="14"/>
        <v>Average</v>
      </c>
    </row>
    <row r="264" spans="1:13" x14ac:dyDescent="0.25">
      <c r="A264" t="str">
        <f>Data_preprocessing!M264</f>
        <v>Frank</v>
      </c>
      <c r="B264">
        <f>Data_preprocessing!O264</f>
        <v>35</v>
      </c>
      <c r="C264">
        <f>Data_preprocessing!Q264</f>
        <v>65000</v>
      </c>
      <c r="D264" t="str">
        <f>Data_preprocessing!R264</f>
        <v>Male</v>
      </c>
      <c r="E264" t="str">
        <f>Data_preprocessing!S264</f>
        <v>Finance</v>
      </c>
      <c r="F264" t="str">
        <f>Data_preprocessing!T264</f>
        <v>Assistant</v>
      </c>
      <c r="G264" s="2">
        <f>Data_preprocessing!U264</f>
        <v>43195</v>
      </c>
      <c r="H264" t="str">
        <f>Data_preprocessing!V264</f>
        <v>D</v>
      </c>
      <c r="I264" t="str">
        <f>Data_preprocessing!Y264</f>
        <v>name@company.org</v>
      </c>
      <c r="J264" t="str">
        <f>Data_preprocessing!Z264</f>
        <v>123-456-7890</v>
      </c>
      <c r="K264">
        <f t="shared" ca="1" si="12"/>
        <v>7</v>
      </c>
      <c r="L264" t="str">
        <f t="shared" si="13"/>
        <v>High</v>
      </c>
      <c r="M264" t="str">
        <f t="shared" si="14"/>
        <v>Below Average</v>
      </c>
    </row>
    <row r="265" spans="1:13" x14ac:dyDescent="0.25">
      <c r="A265" t="str">
        <f>Data_preprocessing!M265</f>
        <v>Charlie</v>
      </c>
      <c r="B265">
        <f>Data_preprocessing!O265</f>
        <v>35</v>
      </c>
      <c r="C265">
        <f>Data_preprocessing!Q265</f>
        <v>55000</v>
      </c>
      <c r="D265" t="str">
        <f>Data_preprocessing!R265</f>
        <v>Female</v>
      </c>
      <c r="E265" t="str">
        <f>Data_preprocessing!S265</f>
        <v>Sales</v>
      </c>
      <c r="F265" t="str">
        <f>Data_preprocessing!T265</f>
        <v>Analyst</v>
      </c>
      <c r="G265" s="2">
        <f>Data_preprocessing!U265</f>
        <v>43549</v>
      </c>
      <c r="H265" t="str">
        <f>Data_preprocessing!V265</f>
        <v>F</v>
      </c>
      <c r="I265" t="str">
        <f>Data_preprocessing!Y265</f>
        <v>email@example.com</v>
      </c>
      <c r="J265" t="str">
        <f>Data_preprocessing!Z265</f>
        <v>123-456-7890</v>
      </c>
      <c r="K265">
        <f t="shared" ca="1" si="12"/>
        <v>6</v>
      </c>
      <c r="L265" t="str">
        <f t="shared" si="13"/>
        <v>Low</v>
      </c>
      <c r="M265" t="str">
        <f t="shared" si="14"/>
        <v>Poor</v>
      </c>
    </row>
    <row r="266" spans="1:13" x14ac:dyDescent="0.25">
      <c r="A266" t="str">
        <f>Data_preprocessing!M266</f>
        <v>Ivy</v>
      </c>
      <c r="B266">
        <f>Data_preprocessing!O266</f>
        <v>50</v>
      </c>
      <c r="C266">
        <f>Data_preprocessing!Q266</f>
        <v>65000</v>
      </c>
      <c r="D266" t="str">
        <f>Data_preprocessing!R266</f>
        <v>Male</v>
      </c>
      <c r="E266" t="str">
        <f>Data_preprocessing!S266</f>
        <v>Finance</v>
      </c>
      <c r="F266" t="str">
        <f>Data_preprocessing!T266</f>
        <v>Manager</v>
      </c>
      <c r="G266" s="2">
        <f>Data_preprocessing!U266</f>
        <v>43845</v>
      </c>
      <c r="H266" t="str">
        <f>Data_preprocessing!V266</f>
        <v>D</v>
      </c>
      <c r="I266" t="str">
        <f>Data_preprocessing!Y266</f>
        <v>user@domain.com</v>
      </c>
      <c r="J266" t="str">
        <f>Data_preprocessing!Z266</f>
        <v>555-555-5555</v>
      </c>
      <c r="K266">
        <f t="shared" ca="1" si="12"/>
        <v>6</v>
      </c>
      <c r="L266" t="str">
        <f t="shared" si="13"/>
        <v>High</v>
      </c>
      <c r="M266" t="str">
        <f t="shared" si="14"/>
        <v>Below Average</v>
      </c>
    </row>
    <row r="267" spans="1:13" x14ac:dyDescent="0.25">
      <c r="A267" t="str">
        <f>Data_preprocessing!M267</f>
        <v>David</v>
      </c>
      <c r="B267">
        <f>Data_preprocessing!O267</f>
        <v>30</v>
      </c>
      <c r="C267">
        <f>Data_preprocessing!Q267</f>
        <v>70000</v>
      </c>
      <c r="D267" t="str">
        <f>Data_preprocessing!R267</f>
        <v>Female</v>
      </c>
      <c r="E267" t="str">
        <f>Data_preprocessing!S267</f>
        <v>HR</v>
      </c>
      <c r="F267" t="str">
        <f>Data_preprocessing!T267</f>
        <v>Analyst</v>
      </c>
      <c r="G267" s="2">
        <f>Data_preprocessing!U267</f>
        <v>43845</v>
      </c>
      <c r="H267" t="str">
        <f>Data_preprocessing!V267</f>
        <v>A</v>
      </c>
      <c r="I267" t="str">
        <f>Data_preprocessing!Y267</f>
        <v>Email not provided</v>
      </c>
      <c r="J267" t="str">
        <f>Data_preprocessing!Z267</f>
        <v>123-456-7890</v>
      </c>
      <c r="K267">
        <f t="shared" ca="1" si="12"/>
        <v>6</v>
      </c>
      <c r="L267" t="str">
        <f t="shared" si="13"/>
        <v>High</v>
      </c>
      <c r="M267" t="str">
        <f t="shared" si="14"/>
        <v>Excellent</v>
      </c>
    </row>
    <row r="268" spans="1:13" x14ac:dyDescent="0.25">
      <c r="A268" t="str">
        <f>Data_preprocessing!M268</f>
        <v>Alice</v>
      </c>
      <c r="B268">
        <f>Data_preprocessing!O268</f>
        <v>50</v>
      </c>
      <c r="C268">
        <f>Data_preprocessing!Q268</f>
        <v>70000</v>
      </c>
      <c r="D268" t="str">
        <f>Data_preprocessing!R268</f>
        <v>Male</v>
      </c>
      <c r="E268" t="str">
        <f>Data_preprocessing!S268</f>
        <v>HR</v>
      </c>
      <c r="F268" t="str">
        <f>Data_preprocessing!T268</f>
        <v>Director</v>
      </c>
      <c r="G268" s="2">
        <f>Data_preprocessing!U268</f>
        <v>43549</v>
      </c>
      <c r="H268" t="str">
        <f>Data_preprocessing!V268</f>
        <v>A</v>
      </c>
      <c r="I268" t="str">
        <f>Data_preprocessing!Y268</f>
        <v>Email not provided</v>
      </c>
      <c r="J268" t="str">
        <f>Data_preprocessing!Z268</f>
        <v>555-555-5555</v>
      </c>
      <c r="K268">
        <f t="shared" ca="1" si="12"/>
        <v>6</v>
      </c>
      <c r="L268" t="str">
        <f t="shared" si="13"/>
        <v>High</v>
      </c>
      <c r="M268" t="str">
        <f t="shared" si="14"/>
        <v>Excellent</v>
      </c>
    </row>
    <row r="269" spans="1:13" x14ac:dyDescent="0.25">
      <c r="A269" t="str">
        <f>Data_preprocessing!M269</f>
        <v>David</v>
      </c>
      <c r="B269">
        <f>Data_preprocessing!O269</f>
        <v>50</v>
      </c>
      <c r="C269">
        <f>Data_preprocessing!Q269</f>
        <v>70000</v>
      </c>
      <c r="D269" t="str">
        <f>Data_preprocessing!R269</f>
        <v>Female</v>
      </c>
      <c r="E269" t="str">
        <f>Data_preprocessing!S269</f>
        <v>HR</v>
      </c>
      <c r="F269" t="str">
        <f>Data_preprocessing!T269</f>
        <v>Analyst</v>
      </c>
      <c r="G269" s="2">
        <f>Data_preprocessing!U269</f>
        <v>43881</v>
      </c>
      <c r="H269" t="str">
        <f>Data_preprocessing!V269</f>
        <v>A</v>
      </c>
      <c r="I269" t="str">
        <f>Data_preprocessing!Y269</f>
        <v>email@example.com</v>
      </c>
      <c r="J269" t="str">
        <f>Data_preprocessing!Z269</f>
        <v>555-555-5555</v>
      </c>
      <c r="K269">
        <f t="shared" ca="1" si="12"/>
        <v>5</v>
      </c>
      <c r="L269" t="str">
        <f t="shared" si="13"/>
        <v>High</v>
      </c>
      <c r="M269" t="str">
        <f t="shared" si="14"/>
        <v>Excellent</v>
      </c>
    </row>
    <row r="270" spans="1:13" x14ac:dyDescent="0.25">
      <c r="A270" t="str">
        <f>Data_preprocessing!M270</f>
        <v>Alice</v>
      </c>
      <c r="B270">
        <f>Data_preprocessing!O270</f>
        <v>40</v>
      </c>
      <c r="C270">
        <f>Data_preprocessing!Q270</f>
        <v>50000</v>
      </c>
      <c r="D270" t="str">
        <f>Data_preprocessing!R270</f>
        <v>Other</v>
      </c>
      <c r="E270" t="str">
        <f>Data_preprocessing!S270</f>
        <v>Finance</v>
      </c>
      <c r="F270" t="str">
        <f>Data_preprocessing!T270</f>
        <v>Assistant</v>
      </c>
      <c r="G270" s="2">
        <f>Data_preprocessing!U270</f>
        <v>43195</v>
      </c>
      <c r="H270" t="str">
        <f>Data_preprocessing!V270</f>
        <v>D</v>
      </c>
      <c r="I270" t="str">
        <f>Data_preprocessing!Y270</f>
        <v>name@company.org</v>
      </c>
      <c r="J270" t="str">
        <f>Data_preprocessing!Z270</f>
        <v>123-456-7890</v>
      </c>
      <c r="K270">
        <f t="shared" ca="1" si="12"/>
        <v>7</v>
      </c>
      <c r="L270" t="str">
        <f t="shared" si="13"/>
        <v>Low</v>
      </c>
      <c r="M270" t="str">
        <f t="shared" si="14"/>
        <v>Below Average</v>
      </c>
    </row>
    <row r="271" spans="1:13" x14ac:dyDescent="0.25">
      <c r="A271" t="str">
        <f>Data_preprocessing!M271</f>
        <v>Eve</v>
      </c>
      <c r="B271">
        <f>Data_preprocessing!O271</f>
        <v>25</v>
      </c>
      <c r="C271">
        <f>Data_preprocessing!Q271</f>
        <v>55000</v>
      </c>
      <c r="D271" t="str">
        <f>Data_preprocessing!R271</f>
        <v>Male</v>
      </c>
      <c r="E271" t="str">
        <f>Data_preprocessing!S271</f>
        <v>Sales</v>
      </c>
      <c r="F271" t="str">
        <f>Data_preprocessing!T271</f>
        <v>Manager</v>
      </c>
      <c r="G271" s="2">
        <f>Data_preprocessing!U271</f>
        <v>43195</v>
      </c>
      <c r="H271" t="str">
        <f>Data_preprocessing!V271</f>
        <v>B</v>
      </c>
      <c r="I271" t="str">
        <f>Data_preprocessing!Y271</f>
        <v>Email not provided</v>
      </c>
      <c r="J271" t="str">
        <f>Data_preprocessing!Z271</f>
        <v>Phone not provided</v>
      </c>
      <c r="K271">
        <f t="shared" ca="1" si="12"/>
        <v>7</v>
      </c>
      <c r="L271" t="str">
        <f t="shared" si="13"/>
        <v>Low</v>
      </c>
      <c r="M271" t="str">
        <f t="shared" si="14"/>
        <v>Good</v>
      </c>
    </row>
    <row r="272" spans="1:13" x14ac:dyDescent="0.25">
      <c r="A272" t="str">
        <f>Data_preprocessing!M272</f>
        <v>David</v>
      </c>
      <c r="B272">
        <f>Data_preprocessing!O272</f>
        <v>30</v>
      </c>
      <c r="C272">
        <f>Data_preprocessing!Q272</f>
        <v>60000</v>
      </c>
      <c r="D272" t="str">
        <f>Data_preprocessing!R272</f>
        <v>Female</v>
      </c>
      <c r="E272" t="str">
        <f>Data_preprocessing!S272</f>
        <v>HR</v>
      </c>
      <c r="F272" t="str">
        <f>Data_preprocessing!T272</f>
        <v>Assistant</v>
      </c>
      <c r="G272" s="2">
        <f>Data_preprocessing!U272</f>
        <v>43549</v>
      </c>
      <c r="H272" t="str">
        <f>Data_preprocessing!V272</f>
        <v>F</v>
      </c>
      <c r="I272" t="str">
        <f>Data_preprocessing!Y272</f>
        <v>Email not provided</v>
      </c>
      <c r="J272" t="str">
        <f>Data_preprocessing!Z272</f>
        <v>555-555-5555</v>
      </c>
      <c r="K272">
        <f t="shared" ca="1" si="12"/>
        <v>6</v>
      </c>
      <c r="L272" t="str">
        <f t="shared" si="13"/>
        <v>Medium</v>
      </c>
      <c r="M272" t="str">
        <f t="shared" si="14"/>
        <v>Poor</v>
      </c>
    </row>
    <row r="273" spans="1:13" x14ac:dyDescent="0.25">
      <c r="A273" t="str">
        <f>Data_preprocessing!M273</f>
        <v>Hannah</v>
      </c>
      <c r="B273">
        <f>Data_preprocessing!O273</f>
        <v>35</v>
      </c>
      <c r="C273">
        <f>Data_preprocessing!Q273</f>
        <v>60000</v>
      </c>
      <c r="D273" t="str">
        <f>Data_preprocessing!R273</f>
        <v>Other</v>
      </c>
      <c r="E273" t="str">
        <f>Data_preprocessing!S273</f>
        <v>Sales</v>
      </c>
      <c r="F273" t="str">
        <f>Data_preprocessing!T273</f>
        <v>Manager</v>
      </c>
      <c r="G273" s="2">
        <f>Data_preprocessing!U273</f>
        <v>43881</v>
      </c>
      <c r="H273" t="str">
        <f>Data_preprocessing!V273</f>
        <v>D</v>
      </c>
      <c r="I273" t="str">
        <f>Data_preprocessing!Y273</f>
        <v>Email not provided</v>
      </c>
      <c r="J273" t="str">
        <f>Data_preprocessing!Z273</f>
        <v>123-456-7890</v>
      </c>
      <c r="K273">
        <f t="shared" ca="1" si="12"/>
        <v>5</v>
      </c>
      <c r="L273" t="str">
        <f t="shared" si="13"/>
        <v>Medium</v>
      </c>
      <c r="M273" t="str">
        <f t="shared" si="14"/>
        <v>Below Average</v>
      </c>
    </row>
    <row r="274" spans="1:13" x14ac:dyDescent="0.25">
      <c r="A274" t="str">
        <f>Data_preprocessing!M274</f>
        <v>Hannah</v>
      </c>
      <c r="B274">
        <f>Data_preprocessing!O274</f>
        <v>35</v>
      </c>
      <c r="C274">
        <f>Data_preprocessing!Q274</f>
        <v>50000</v>
      </c>
      <c r="D274" t="str">
        <f>Data_preprocessing!R274</f>
        <v>Male</v>
      </c>
      <c r="E274" t="str">
        <f>Data_preprocessing!S274</f>
        <v>Finance</v>
      </c>
      <c r="F274" t="str">
        <f>Data_preprocessing!T274</f>
        <v>Director</v>
      </c>
      <c r="G274" s="2">
        <f>Data_preprocessing!U274</f>
        <v>43845</v>
      </c>
      <c r="H274" t="str">
        <f>Data_preprocessing!V274</f>
        <v>B</v>
      </c>
      <c r="I274" t="str">
        <f>Data_preprocessing!Y274</f>
        <v>user@domain.com</v>
      </c>
      <c r="J274" t="str">
        <f>Data_preprocessing!Z274</f>
        <v>Phone not provided</v>
      </c>
      <c r="K274">
        <f t="shared" ca="1" si="12"/>
        <v>6</v>
      </c>
      <c r="L274" t="str">
        <f t="shared" si="13"/>
        <v>Low</v>
      </c>
      <c r="M274" t="str">
        <f t="shared" si="14"/>
        <v>Good</v>
      </c>
    </row>
    <row r="275" spans="1:13" x14ac:dyDescent="0.25">
      <c r="A275" t="str">
        <f>Data_preprocessing!M275</f>
        <v>Grace</v>
      </c>
      <c r="B275">
        <f>Data_preprocessing!O275</f>
        <v>35</v>
      </c>
      <c r="C275">
        <f>Data_preprocessing!Q275</f>
        <v>65000</v>
      </c>
      <c r="D275" t="str">
        <f>Data_preprocessing!R275</f>
        <v>Male</v>
      </c>
      <c r="E275" t="str">
        <f>Data_preprocessing!S275</f>
        <v>Sales</v>
      </c>
      <c r="F275" t="str">
        <f>Data_preprocessing!T275</f>
        <v>Manager</v>
      </c>
      <c r="G275" s="2">
        <f>Data_preprocessing!U275</f>
        <v>43800</v>
      </c>
      <c r="H275" t="str">
        <f>Data_preprocessing!V275</f>
        <v>B</v>
      </c>
      <c r="I275" t="str">
        <f>Data_preprocessing!Y275</f>
        <v>name@company.org</v>
      </c>
      <c r="J275" t="str">
        <f>Data_preprocessing!Z275</f>
        <v>555-555-5555</v>
      </c>
      <c r="K275">
        <f t="shared" ca="1" si="12"/>
        <v>6</v>
      </c>
      <c r="L275" t="str">
        <f t="shared" si="13"/>
        <v>High</v>
      </c>
      <c r="M275" t="str">
        <f t="shared" si="14"/>
        <v>Good</v>
      </c>
    </row>
    <row r="276" spans="1:13" x14ac:dyDescent="0.25">
      <c r="A276" t="str">
        <f>Data_preprocessing!M276</f>
        <v>Charlie</v>
      </c>
      <c r="B276">
        <f>Data_preprocessing!O276</f>
        <v>35</v>
      </c>
      <c r="C276">
        <f>Data_preprocessing!Q276</f>
        <v>50000</v>
      </c>
      <c r="D276" t="str">
        <f>Data_preprocessing!R276</f>
        <v>Male</v>
      </c>
      <c r="E276" t="str">
        <f>Data_preprocessing!S276</f>
        <v>Finance</v>
      </c>
      <c r="F276" t="str">
        <f>Data_preprocessing!T276</f>
        <v>Manager</v>
      </c>
      <c r="G276" s="2">
        <f>Data_preprocessing!U276</f>
        <v>43800</v>
      </c>
      <c r="H276" t="str">
        <f>Data_preprocessing!V276</f>
        <v>D</v>
      </c>
      <c r="I276" t="str">
        <f>Data_preprocessing!Y276</f>
        <v>user@domain.com</v>
      </c>
      <c r="J276" t="str">
        <f>Data_preprocessing!Z276</f>
        <v>Phone not provided</v>
      </c>
      <c r="K276">
        <f t="shared" ca="1" si="12"/>
        <v>6</v>
      </c>
      <c r="L276" t="str">
        <f t="shared" si="13"/>
        <v>Low</v>
      </c>
      <c r="M276" t="str">
        <f t="shared" si="14"/>
        <v>Below Average</v>
      </c>
    </row>
    <row r="277" spans="1:13" x14ac:dyDescent="0.25">
      <c r="A277" t="str">
        <f>Data_preprocessing!M277</f>
        <v>Alice</v>
      </c>
      <c r="B277">
        <f>Data_preprocessing!O277</f>
        <v>35</v>
      </c>
      <c r="C277">
        <f>Data_preprocessing!Q277</f>
        <v>65000</v>
      </c>
      <c r="D277" t="str">
        <f>Data_preprocessing!R277</f>
        <v>Female</v>
      </c>
      <c r="E277" t="str">
        <f>Data_preprocessing!S277</f>
        <v>Finance</v>
      </c>
      <c r="F277" t="str">
        <f>Data_preprocessing!T277</f>
        <v>Manager</v>
      </c>
      <c r="G277" s="2">
        <f>Data_preprocessing!U277</f>
        <v>43549</v>
      </c>
      <c r="H277" t="str">
        <f>Data_preprocessing!V277</f>
        <v>D</v>
      </c>
      <c r="I277" t="str">
        <f>Data_preprocessing!Y277</f>
        <v>name@company.org</v>
      </c>
      <c r="J277" t="str">
        <f>Data_preprocessing!Z277</f>
        <v>Phone not provided</v>
      </c>
      <c r="K277">
        <f t="shared" ca="1" si="12"/>
        <v>6</v>
      </c>
      <c r="L277" t="str">
        <f t="shared" si="13"/>
        <v>High</v>
      </c>
      <c r="M277" t="str">
        <f t="shared" si="14"/>
        <v>Below Average</v>
      </c>
    </row>
    <row r="278" spans="1:13" x14ac:dyDescent="0.25">
      <c r="A278" t="str">
        <f>Data_preprocessing!M278</f>
        <v>Alice</v>
      </c>
      <c r="B278">
        <f>Data_preprocessing!O278</f>
        <v>35</v>
      </c>
      <c r="C278">
        <f>Data_preprocessing!Q278</f>
        <v>65000</v>
      </c>
      <c r="D278" t="str">
        <f>Data_preprocessing!R278</f>
        <v>Female</v>
      </c>
      <c r="E278" t="str">
        <f>Data_preprocessing!S278</f>
        <v>Marketing</v>
      </c>
      <c r="F278" t="str">
        <f>Data_preprocessing!T278</f>
        <v>Analyst</v>
      </c>
      <c r="G278" s="2">
        <f>Data_preprocessing!U278</f>
        <v>43881</v>
      </c>
      <c r="H278" t="str">
        <f>Data_preprocessing!V278</f>
        <v>B</v>
      </c>
      <c r="I278" t="str">
        <f>Data_preprocessing!Y278</f>
        <v>Email not provided</v>
      </c>
      <c r="J278" t="str">
        <f>Data_preprocessing!Z278</f>
        <v>Phone not provided</v>
      </c>
      <c r="K278">
        <f t="shared" ca="1" si="12"/>
        <v>5</v>
      </c>
      <c r="L278" t="str">
        <f t="shared" si="13"/>
        <v>High</v>
      </c>
      <c r="M278" t="str">
        <f t="shared" si="14"/>
        <v>Good</v>
      </c>
    </row>
    <row r="279" spans="1:13" x14ac:dyDescent="0.25">
      <c r="A279" t="str">
        <f>Data_preprocessing!M279</f>
        <v>Charlie</v>
      </c>
      <c r="B279">
        <f>Data_preprocessing!O279</f>
        <v>25</v>
      </c>
      <c r="C279">
        <f>Data_preprocessing!Q279</f>
        <v>60000</v>
      </c>
      <c r="D279" t="str">
        <f>Data_preprocessing!R279</f>
        <v>Other</v>
      </c>
      <c r="E279" t="str">
        <f>Data_preprocessing!S279</f>
        <v>Finance</v>
      </c>
      <c r="F279" t="str">
        <f>Data_preprocessing!T279</f>
        <v>Analyst</v>
      </c>
      <c r="G279" s="2">
        <f>Data_preprocessing!U279</f>
        <v>43881</v>
      </c>
      <c r="H279" t="str">
        <f>Data_preprocessing!V279</f>
        <v>B</v>
      </c>
      <c r="I279" t="str">
        <f>Data_preprocessing!Y279</f>
        <v>Email not provided</v>
      </c>
      <c r="J279" t="str">
        <f>Data_preprocessing!Z279</f>
        <v>Phone not provided</v>
      </c>
      <c r="K279">
        <f t="shared" ca="1" si="12"/>
        <v>5</v>
      </c>
      <c r="L279" t="str">
        <f t="shared" si="13"/>
        <v>Medium</v>
      </c>
      <c r="M279" t="str">
        <f t="shared" si="14"/>
        <v>Good</v>
      </c>
    </row>
    <row r="280" spans="1:13" x14ac:dyDescent="0.25">
      <c r="A280" t="str">
        <f>Data_preprocessing!M280</f>
        <v>Frank</v>
      </c>
      <c r="B280">
        <f>Data_preprocessing!O280</f>
        <v>50</v>
      </c>
      <c r="C280">
        <f>Data_preprocessing!Q280</f>
        <v>60000</v>
      </c>
      <c r="D280" t="str">
        <f>Data_preprocessing!R280</f>
        <v>Female</v>
      </c>
      <c r="E280" t="str">
        <f>Data_preprocessing!S280</f>
        <v>Finance</v>
      </c>
      <c r="F280" t="str">
        <f>Data_preprocessing!T280</f>
        <v>Director</v>
      </c>
      <c r="G280" s="2">
        <f>Data_preprocessing!U280</f>
        <v>43195</v>
      </c>
      <c r="H280" t="str">
        <f>Data_preprocessing!V280</f>
        <v>B</v>
      </c>
      <c r="I280" t="str">
        <f>Data_preprocessing!Y280</f>
        <v>user@domain.com</v>
      </c>
      <c r="J280" t="str">
        <f>Data_preprocessing!Z280</f>
        <v>555-555-5555</v>
      </c>
      <c r="K280">
        <f t="shared" ca="1" si="12"/>
        <v>7</v>
      </c>
      <c r="L280" t="str">
        <f t="shared" si="13"/>
        <v>Medium</v>
      </c>
      <c r="M280" t="str">
        <f t="shared" si="14"/>
        <v>Good</v>
      </c>
    </row>
    <row r="281" spans="1:13" x14ac:dyDescent="0.25">
      <c r="A281" t="str">
        <f>Data_preprocessing!M281</f>
        <v>Grace</v>
      </c>
      <c r="B281">
        <f>Data_preprocessing!O281</f>
        <v>35</v>
      </c>
      <c r="C281">
        <f>Data_preprocessing!Q281</f>
        <v>70000</v>
      </c>
      <c r="D281" t="str">
        <f>Data_preprocessing!R281</f>
        <v>Female</v>
      </c>
      <c r="E281" t="str">
        <f>Data_preprocessing!S281</f>
        <v>IT</v>
      </c>
      <c r="F281" t="str">
        <f>Data_preprocessing!T281</f>
        <v>Manager</v>
      </c>
      <c r="G281" s="2">
        <f>Data_preprocessing!U281</f>
        <v>43845</v>
      </c>
      <c r="H281" t="str">
        <f>Data_preprocessing!V281</f>
        <v>D</v>
      </c>
      <c r="I281" t="str">
        <f>Data_preprocessing!Y281</f>
        <v>Email not provided</v>
      </c>
      <c r="J281" t="str">
        <f>Data_preprocessing!Z281</f>
        <v>123-456-7890</v>
      </c>
      <c r="K281">
        <f t="shared" ca="1" si="12"/>
        <v>6</v>
      </c>
      <c r="L281" t="str">
        <f t="shared" si="13"/>
        <v>High</v>
      </c>
      <c r="M281" t="str">
        <f t="shared" si="14"/>
        <v>Below Average</v>
      </c>
    </row>
    <row r="282" spans="1:13" x14ac:dyDescent="0.25">
      <c r="A282" t="str">
        <f>Data_preprocessing!M282</f>
        <v>Frank</v>
      </c>
      <c r="B282">
        <f>Data_preprocessing!O282</f>
        <v>40</v>
      </c>
      <c r="C282">
        <f>Data_preprocessing!Q282</f>
        <v>65000</v>
      </c>
      <c r="D282" t="str">
        <f>Data_preprocessing!R282</f>
        <v>Male</v>
      </c>
      <c r="E282" t="str">
        <f>Data_preprocessing!S282</f>
        <v>HR</v>
      </c>
      <c r="F282" t="str">
        <f>Data_preprocessing!T282</f>
        <v>Clerk</v>
      </c>
      <c r="G282" s="2">
        <f>Data_preprocessing!U282</f>
        <v>43881</v>
      </c>
      <c r="H282" t="str">
        <f>Data_preprocessing!V282</f>
        <v>B</v>
      </c>
      <c r="I282" t="str">
        <f>Data_preprocessing!Y282</f>
        <v>name@company.org</v>
      </c>
      <c r="J282" t="str">
        <f>Data_preprocessing!Z282</f>
        <v>098-765-4321</v>
      </c>
      <c r="K282">
        <f t="shared" ca="1" si="12"/>
        <v>5</v>
      </c>
      <c r="L282" t="str">
        <f t="shared" si="13"/>
        <v>High</v>
      </c>
      <c r="M282" t="str">
        <f t="shared" si="14"/>
        <v>Good</v>
      </c>
    </row>
    <row r="283" spans="1:13" x14ac:dyDescent="0.25">
      <c r="A283" t="str">
        <f>Data_preprocessing!M283</f>
        <v>Frank</v>
      </c>
      <c r="B283">
        <f>Data_preprocessing!O283</f>
        <v>35</v>
      </c>
      <c r="C283">
        <f>Data_preprocessing!Q283</f>
        <v>60000</v>
      </c>
      <c r="D283" t="str">
        <f>Data_preprocessing!R283</f>
        <v>Male</v>
      </c>
      <c r="E283" t="str">
        <f>Data_preprocessing!S283</f>
        <v>Marketing</v>
      </c>
      <c r="F283" t="str">
        <f>Data_preprocessing!T283</f>
        <v>Director</v>
      </c>
      <c r="G283" s="2">
        <f>Data_preprocessing!U283</f>
        <v>43800</v>
      </c>
      <c r="H283" t="str">
        <f>Data_preprocessing!V283</f>
        <v>A</v>
      </c>
      <c r="I283" t="str">
        <f>Data_preprocessing!Y283</f>
        <v>user@domain.com</v>
      </c>
      <c r="J283" t="str">
        <f>Data_preprocessing!Z283</f>
        <v>123-456-7890</v>
      </c>
      <c r="K283">
        <f t="shared" ca="1" si="12"/>
        <v>6</v>
      </c>
      <c r="L283" t="str">
        <f t="shared" si="13"/>
        <v>Medium</v>
      </c>
      <c r="M283" t="str">
        <f t="shared" si="14"/>
        <v>Excellent</v>
      </c>
    </row>
    <row r="284" spans="1:13" x14ac:dyDescent="0.25">
      <c r="A284" t="str">
        <f>Data_preprocessing!M284</f>
        <v>Frank</v>
      </c>
      <c r="B284">
        <f>Data_preprocessing!O284</f>
        <v>30</v>
      </c>
      <c r="C284">
        <f>Data_preprocessing!Q284</f>
        <v>60000</v>
      </c>
      <c r="D284" t="str">
        <f>Data_preprocessing!R284</f>
        <v>Male</v>
      </c>
      <c r="E284" t="str">
        <f>Data_preprocessing!S284</f>
        <v>Marketing</v>
      </c>
      <c r="F284" t="str">
        <f>Data_preprocessing!T284</f>
        <v>Manager</v>
      </c>
      <c r="G284" s="2">
        <f>Data_preprocessing!U284</f>
        <v>43845</v>
      </c>
      <c r="H284" t="str">
        <f>Data_preprocessing!V284</f>
        <v>D</v>
      </c>
      <c r="I284" t="str">
        <f>Data_preprocessing!Y284</f>
        <v>user@domain.com</v>
      </c>
      <c r="J284" t="str">
        <f>Data_preprocessing!Z284</f>
        <v>098-765-4321</v>
      </c>
      <c r="K284">
        <f t="shared" ca="1" si="12"/>
        <v>6</v>
      </c>
      <c r="L284" t="str">
        <f t="shared" si="13"/>
        <v>Medium</v>
      </c>
      <c r="M284" t="str">
        <f t="shared" si="14"/>
        <v>Below Average</v>
      </c>
    </row>
    <row r="285" spans="1:13" x14ac:dyDescent="0.25">
      <c r="A285" t="str">
        <f>Data_preprocessing!M285</f>
        <v>Charlie</v>
      </c>
      <c r="B285">
        <f>Data_preprocessing!O285</f>
        <v>25</v>
      </c>
      <c r="C285">
        <f>Data_preprocessing!Q285</f>
        <v>70000</v>
      </c>
      <c r="D285" t="str">
        <f>Data_preprocessing!R285</f>
        <v>Male</v>
      </c>
      <c r="E285" t="str">
        <f>Data_preprocessing!S285</f>
        <v>Marketing</v>
      </c>
      <c r="F285" t="str">
        <f>Data_preprocessing!T285</f>
        <v>Manager</v>
      </c>
      <c r="G285" s="2">
        <f>Data_preprocessing!U285</f>
        <v>43845</v>
      </c>
      <c r="H285" t="str">
        <f>Data_preprocessing!V285</f>
        <v>A</v>
      </c>
      <c r="I285" t="str">
        <f>Data_preprocessing!Y285</f>
        <v>Email not provided</v>
      </c>
      <c r="J285" t="str">
        <f>Data_preprocessing!Z285</f>
        <v>098-765-4321</v>
      </c>
      <c r="K285">
        <f t="shared" ca="1" si="12"/>
        <v>6</v>
      </c>
      <c r="L285" t="str">
        <f t="shared" si="13"/>
        <v>High</v>
      </c>
      <c r="M285" t="str">
        <f t="shared" si="14"/>
        <v>Excellent</v>
      </c>
    </row>
    <row r="286" spans="1:13" x14ac:dyDescent="0.25">
      <c r="A286" t="str">
        <f>Data_preprocessing!M286</f>
        <v>Frank</v>
      </c>
      <c r="B286">
        <f>Data_preprocessing!O286</f>
        <v>30</v>
      </c>
      <c r="C286">
        <f>Data_preprocessing!Q286</f>
        <v>65000</v>
      </c>
      <c r="D286" t="str">
        <f>Data_preprocessing!R286</f>
        <v>Male</v>
      </c>
      <c r="E286" t="str">
        <f>Data_preprocessing!S286</f>
        <v>IT</v>
      </c>
      <c r="F286" t="str">
        <f>Data_preprocessing!T286</f>
        <v>Analyst</v>
      </c>
      <c r="G286" s="2">
        <f>Data_preprocessing!U286</f>
        <v>43549</v>
      </c>
      <c r="H286" t="str">
        <f>Data_preprocessing!V286</f>
        <v>C</v>
      </c>
      <c r="I286" t="str">
        <f>Data_preprocessing!Y286</f>
        <v>user@domain.com</v>
      </c>
      <c r="J286" t="str">
        <f>Data_preprocessing!Z286</f>
        <v>555-555-5555</v>
      </c>
      <c r="K286">
        <f t="shared" ca="1" si="12"/>
        <v>6</v>
      </c>
      <c r="L286" t="str">
        <f t="shared" si="13"/>
        <v>High</v>
      </c>
      <c r="M286" t="str">
        <f t="shared" si="14"/>
        <v>Average</v>
      </c>
    </row>
    <row r="287" spans="1:13" x14ac:dyDescent="0.25">
      <c r="A287" t="str">
        <f>Data_preprocessing!M287</f>
        <v>Hannah</v>
      </c>
      <c r="B287">
        <f>Data_preprocessing!O287</f>
        <v>30</v>
      </c>
      <c r="C287">
        <f>Data_preprocessing!Q287</f>
        <v>65000</v>
      </c>
      <c r="D287" t="str">
        <f>Data_preprocessing!R287</f>
        <v>Male</v>
      </c>
      <c r="E287" t="str">
        <f>Data_preprocessing!S287</f>
        <v>Finance</v>
      </c>
      <c r="F287" t="str">
        <f>Data_preprocessing!T287</f>
        <v>Director</v>
      </c>
      <c r="G287" s="2">
        <f>Data_preprocessing!U287</f>
        <v>43881</v>
      </c>
      <c r="H287" t="str">
        <f>Data_preprocessing!V287</f>
        <v>D</v>
      </c>
      <c r="I287" t="str">
        <f>Data_preprocessing!Y287</f>
        <v>Email not provided</v>
      </c>
      <c r="J287" t="str">
        <f>Data_preprocessing!Z287</f>
        <v>Phone not provided</v>
      </c>
      <c r="K287">
        <f t="shared" ca="1" si="12"/>
        <v>5</v>
      </c>
      <c r="L287" t="str">
        <f t="shared" si="13"/>
        <v>High</v>
      </c>
      <c r="M287" t="str">
        <f t="shared" si="14"/>
        <v>Below Average</v>
      </c>
    </row>
    <row r="288" spans="1:13" x14ac:dyDescent="0.25">
      <c r="A288" t="str">
        <f>Data_preprocessing!M288</f>
        <v>Bob</v>
      </c>
      <c r="B288">
        <f>Data_preprocessing!O288</f>
        <v>40</v>
      </c>
      <c r="C288">
        <f>Data_preprocessing!Q288</f>
        <v>50000</v>
      </c>
      <c r="D288" t="str">
        <f>Data_preprocessing!R288</f>
        <v>Male</v>
      </c>
      <c r="E288" t="str">
        <f>Data_preprocessing!S288</f>
        <v>HR</v>
      </c>
      <c r="F288" t="str">
        <f>Data_preprocessing!T288</f>
        <v>Manager</v>
      </c>
      <c r="G288" s="2">
        <f>Data_preprocessing!U288</f>
        <v>43549</v>
      </c>
      <c r="H288" t="str">
        <f>Data_preprocessing!V288</f>
        <v>C</v>
      </c>
      <c r="I288" t="str">
        <f>Data_preprocessing!Y288</f>
        <v>Email not provided</v>
      </c>
      <c r="J288" t="str">
        <f>Data_preprocessing!Z288</f>
        <v>123-456-7890</v>
      </c>
      <c r="K288">
        <f t="shared" ca="1" si="12"/>
        <v>6</v>
      </c>
      <c r="L288" t="str">
        <f t="shared" si="13"/>
        <v>Low</v>
      </c>
      <c r="M288" t="str">
        <f t="shared" si="14"/>
        <v>Average</v>
      </c>
    </row>
    <row r="289" spans="1:13" x14ac:dyDescent="0.25">
      <c r="A289" t="str">
        <f>Data_preprocessing!M289</f>
        <v>Eve</v>
      </c>
      <c r="B289">
        <f>Data_preprocessing!O289</f>
        <v>25</v>
      </c>
      <c r="C289">
        <f>Data_preprocessing!Q289</f>
        <v>50000</v>
      </c>
      <c r="D289" t="str">
        <f>Data_preprocessing!R289</f>
        <v>Other</v>
      </c>
      <c r="E289" t="str">
        <f>Data_preprocessing!S289</f>
        <v>Sales</v>
      </c>
      <c r="F289" t="str">
        <f>Data_preprocessing!T289</f>
        <v>Manager</v>
      </c>
      <c r="G289" s="2">
        <f>Data_preprocessing!U289</f>
        <v>43881</v>
      </c>
      <c r="H289" t="str">
        <f>Data_preprocessing!V289</f>
        <v>B</v>
      </c>
      <c r="I289" t="str">
        <f>Data_preprocessing!Y289</f>
        <v>Email not provided</v>
      </c>
      <c r="J289" t="str">
        <f>Data_preprocessing!Z289</f>
        <v>Phone not provided</v>
      </c>
      <c r="K289">
        <f t="shared" ca="1" si="12"/>
        <v>5</v>
      </c>
      <c r="L289" t="str">
        <f t="shared" si="13"/>
        <v>Low</v>
      </c>
      <c r="M289" t="str">
        <f t="shared" si="14"/>
        <v>Good</v>
      </c>
    </row>
    <row r="290" spans="1:13" x14ac:dyDescent="0.25">
      <c r="A290" t="str">
        <f>Data_preprocessing!M290</f>
        <v>Alice</v>
      </c>
      <c r="B290">
        <f>Data_preprocessing!O290</f>
        <v>25</v>
      </c>
      <c r="C290">
        <f>Data_preprocessing!Q290</f>
        <v>60000</v>
      </c>
      <c r="D290" t="str">
        <f>Data_preprocessing!R290</f>
        <v>Other</v>
      </c>
      <c r="E290" t="str">
        <f>Data_preprocessing!S290</f>
        <v>Finance</v>
      </c>
      <c r="F290" t="str">
        <f>Data_preprocessing!T290</f>
        <v>Director</v>
      </c>
      <c r="G290" s="2">
        <f>Data_preprocessing!U290</f>
        <v>43195</v>
      </c>
      <c r="H290" t="str">
        <f>Data_preprocessing!V290</f>
        <v>B</v>
      </c>
      <c r="I290" t="str">
        <f>Data_preprocessing!Y290</f>
        <v>name@company.org</v>
      </c>
      <c r="J290" t="str">
        <f>Data_preprocessing!Z290</f>
        <v>Phone not provided</v>
      </c>
      <c r="K290">
        <f t="shared" ca="1" si="12"/>
        <v>7</v>
      </c>
      <c r="L290" t="str">
        <f t="shared" si="13"/>
        <v>Medium</v>
      </c>
      <c r="M290" t="str">
        <f t="shared" si="14"/>
        <v>Good</v>
      </c>
    </row>
    <row r="291" spans="1:13" x14ac:dyDescent="0.25">
      <c r="A291" t="str">
        <f>Data_preprocessing!M291</f>
        <v>Alice</v>
      </c>
      <c r="B291">
        <f>Data_preprocessing!O291</f>
        <v>25</v>
      </c>
      <c r="C291">
        <f>Data_preprocessing!Q291</f>
        <v>70000</v>
      </c>
      <c r="D291" t="str">
        <f>Data_preprocessing!R291</f>
        <v>Other</v>
      </c>
      <c r="E291" t="str">
        <f>Data_preprocessing!S291</f>
        <v>IT</v>
      </c>
      <c r="F291" t="str">
        <f>Data_preprocessing!T291</f>
        <v>Clerk</v>
      </c>
      <c r="G291" s="2">
        <f>Data_preprocessing!U291</f>
        <v>43549</v>
      </c>
      <c r="H291" t="str">
        <f>Data_preprocessing!V291</f>
        <v>F</v>
      </c>
      <c r="I291" t="str">
        <f>Data_preprocessing!Y291</f>
        <v>Email not provided</v>
      </c>
      <c r="J291" t="str">
        <f>Data_preprocessing!Z291</f>
        <v>555-555-5555</v>
      </c>
      <c r="K291">
        <f t="shared" ca="1" si="12"/>
        <v>6</v>
      </c>
      <c r="L291" t="str">
        <f t="shared" si="13"/>
        <v>High</v>
      </c>
      <c r="M291" t="str">
        <f t="shared" si="14"/>
        <v>Poor</v>
      </c>
    </row>
    <row r="292" spans="1:13" x14ac:dyDescent="0.25">
      <c r="A292" t="str">
        <f>Data_preprocessing!M292</f>
        <v>Eve</v>
      </c>
      <c r="B292">
        <f>Data_preprocessing!O292</f>
        <v>25</v>
      </c>
      <c r="C292">
        <f>Data_preprocessing!Q292</f>
        <v>65000</v>
      </c>
      <c r="D292" t="str">
        <f>Data_preprocessing!R292</f>
        <v>Other</v>
      </c>
      <c r="E292" t="str">
        <f>Data_preprocessing!S292</f>
        <v>Finance</v>
      </c>
      <c r="F292" t="str">
        <f>Data_preprocessing!T292</f>
        <v>Director</v>
      </c>
      <c r="G292" s="2">
        <f>Data_preprocessing!U292</f>
        <v>43549</v>
      </c>
      <c r="H292" t="str">
        <f>Data_preprocessing!V292</f>
        <v>B</v>
      </c>
      <c r="I292" t="str">
        <f>Data_preprocessing!Y292</f>
        <v>Email not provided</v>
      </c>
      <c r="J292" t="str">
        <f>Data_preprocessing!Z292</f>
        <v>555-555-5555</v>
      </c>
      <c r="K292">
        <f t="shared" ca="1" si="12"/>
        <v>6</v>
      </c>
      <c r="L292" t="str">
        <f t="shared" si="13"/>
        <v>High</v>
      </c>
      <c r="M292" t="str">
        <f t="shared" si="14"/>
        <v>Good</v>
      </c>
    </row>
    <row r="293" spans="1:13" x14ac:dyDescent="0.25">
      <c r="A293" t="str">
        <f>Data_preprocessing!M293</f>
        <v>Charlie</v>
      </c>
      <c r="B293">
        <f>Data_preprocessing!O293</f>
        <v>25</v>
      </c>
      <c r="C293">
        <f>Data_preprocessing!Q293</f>
        <v>60000</v>
      </c>
      <c r="D293" t="str">
        <f>Data_preprocessing!R293</f>
        <v>Male</v>
      </c>
      <c r="E293" t="str">
        <f>Data_preprocessing!S293</f>
        <v>Finance</v>
      </c>
      <c r="F293" t="str">
        <f>Data_preprocessing!T293</f>
        <v>Director</v>
      </c>
      <c r="G293" s="2">
        <f>Data_preprocessing!U293</f>
        <v>43800</v>
      </c>
      <c r="H293" t="str">
        <f>Data_preprocessing!V293</f>
        <v>C</v>
      </c>
      <c r="I293" t="str">
        <f>Data_preprocessing!Y293</f>
        <v>email@example.com</v>
      </c>
      <c r="J293" t="str">
        <f>Data_preprocessing!Z293</f>
        <v>Phone not provided</v>
      </c>
      <c r="K293">
        <f t="shared" ca="1" si="12"/>
        <v>6</v>
      </c>
      <c r="L293" t="str">
        <f t="shared" si="13"/>
        <v>Medium</v>
      </c>
      <c r="M293" t="str">
        <f t="shared" si="14"/>
        <v>Average</v>
      </c>
    </row>
    <row r="294" spans="1:13" x14ac:dyDescent="0.25">
      <c r="A294" t="str">
        <f>Data_preprocessing!M294</f>
        <v>David</v>
      </c>
      <c r="B294">
        <f>Data_preprocessing!O294</f>
        <v>40</v>
      </c>
      <c r="C294">
        <f>Data_preprocessing!Q294</f>
        <v>60000</v>
      </c>
      <c r="D294" t="str">
        <f>Data_preprocessing!R294</f>
        <v>Other</v>
      </c>
      <c r="E294" t="str">
        <f>Data_preprocessing!S294</f>
        <v>IT</v>
      </c>
      <c r="F294" t="str">
        <f>Data_preprocessing!T294</f>
        <v>Clerk</v>
      </c>
      <c r="G294" s="2">
        <f>Data_preprocessing!U294</f>
        <v>43549</v>
      </c>
      <c r="H294" t="str">
        <f>Data_preprocessing!V294</f>
        <v>B</v>
      </c>
      <c r="I294" t="str">
        <f>Data_preprocessing!Y294</f>
        <v>email@example.com</v>
      </c>
      <c r="J294" t="str">
        <f>Data_preprocessing!Z294</f>
        <v>123-456-7890</v>
      </c>
      <c r="K294">
        <f t="shared" ca="1" si="12"/>
        <v>6</v>
      </c>
      <c r="L294" t="str">
        <f t="shared" si="13"/>
        <v>Medium</v>
      </c>
      <c r="M294" t="str">
        <f t="shared" si="14"/>
        <v>Good</v>
      </c>
    </row>
    <row r="295" spans="1:13" x14ac:dyDescent="0.25">
      <c r="A295" t="str">
        <f>Data_preprocessing!M295</f>
        <v>Charlie</v>
      </c>
      <c r="B295">
        <f>Data_preprocessing!O295</f>
        <v>35</v>
      </c>
      <c r="C295">
        <f>Data_preprocessing!Q295</f>
        <v>55000</v>
      </c>
      <c r="D295" t="str">
        <f>Data_preprocessing!R295</f>
        <v>Male</v>
      </c>
      <c r="E295" t="str">
        <f>Data_preprocessing!S295</f>
        <v>Marketing</v>
      </c>
      <c r="F295" t="str">
        <f>Data_preprocessing!T295</f>
        <v>Director</v>
      </c>
      <c r="G295" s="2">
        <f>Data_preprocessing!U295</f>
        <v>43881</v>
      </c>
      <c r="H295" t="str">
        <f>Data_preprocessing!V295</f>
        <v>D</v>
      </c>
      <c r="I295" t="str">
        <f>Data_preprocessing!Y295</f>
        <v>user@domain.com</v>
      </c>
      <c r="J295" t="str">
        <f>Data_preprocessing!Z295</f>
        <v>Phone not provided</v>
      </c>
      <c r="K295">
        <f t="shared" ca="1" si="12"/>
        <v>5</v>
      </c>
      <c r="L295" t="str">
        <f t="shared" si="13"/>
        <v>Low</v>
      </c>
      <c r="M295" t="str">
        <f t="shared" si="14"/>
        <v>Below Average</v>
      </c>
    </row>
    <row r="296" spans="1:13" x14ac:dyDescent="0.25">
      <c r="A296" t="str">
        <f>Data_preprocessing!M296</f>
        <v>Alice</v>
      </c>
      <c r="B296">
        <f>Data_preprocessing!O296</f>
        <v>30</v>
      </c>
      <c r="C296">
        <f>Data_preprocessing!Q296</f>
        <v>50000</v>
      </c>
      <c r="D296" t="str">
        <f>Data_preprocessing!R296</f>
        <v>Other</v>
      </c>
      <c r="E296" t="str">
        <f>Data_preprocessing!S296</f>
        <v>Marketing</v>
      </c>
      <c r="F296" t="str">
        <f>Data_preprocessing!T296</f>
        <v>Manager</v>
      </c>
      <c r="G296" s="2">
        <f>Data_preprocessing!U296</f>
        <v>43800</v>
      </c>
      <c r="H296" t="str">
        <f>Data_preprocessing!V296</f>
        <v>B</v>
      </c>
      <c r="I296" t="str">
        <f>Data_preprocessing!Y296</f>
        <v>user@domain.com</v>
      </c>
      <c r="J296" t="str">
        <f>Data_preprocessing!Z296</f>
        <v>123-456-7890</v>
      </c>
      <c r="K296">
        <f t="shared" ca="1" si="12"/>
        <v>6</v>
      </c>
      <c r="L296" t="str">
        <f t="shared" si="13"/>
        <v>Low</v>
      </c>
      <c r="M296" t="str">
        <f t="shared" si="14"/>
        <v>Good</v>
      </c>
    </row>
    <row r="297" spans="1:13" x14ac:dyDescent="0.25">
      <c r="A297" t="str">
        <f>Data_preprocessing!M297</f>
        <v>Alice</v>
      </c>
      <c r="B297">
        <f>Data_preprocessing!O297</f>
        <v>25</v>
      </c>
      <c r="C297">
        <f>Data_preprocessing!Q297</f>
        <v>70000</v>
      </c>
      <c r="D297" t="str">
        <f>Data_preprocessing!R297</f>
        <v>Female</v>
      </c>
      <c r="E297" t="str">
        <f>Data_preprocessing!S297</f>
        <v>HR</v>
      </c>
      <c r="F297" t="str">
        <f>Data_preprocessing!T297</f>
        <v>Director</v>
      </c>
      <c r="G297" s="2">
        <f>Data_preprocessing!U297</f>
        <v>43549</v>
      </c>
      <c r="H297" t="str">
        <f>Data_preprocessing!V297</f>
        <v>F</v>
      </c>
      <c r="I297" t="str">
        <f>Data_preprocessing!Y297</f>
        <v>email@example.com</v>
      </c>
      <c r="J297" t="str">
        <f>Data_preprocessing!Z297</f>
        <v>098-765-4321</v>
      </c>
      <c r="K297">
        <f t="shared" ca="1" si="12"/>
        <v>6</v>
      </c>
      <c r="L297" t="str">
        <f t="shared" si="13"/>
        <v>High</v>
      </c>
      <c r="M297" t="str">
        <f t="shared" si="14"/>
        <v>Poor</v>
      </c>
    </row>
    <row r="298" spans="1:13" x14ac:dyDescent="0.25">
      <c r="A298" t="str">
        <f>Data_preprocessing!M298</f>
        <v>Eve</v>
      </c>
      <c r="B298">
        <f>Data_preprocessing!O298</f>
        <v>35</v>
      </c>
      <c r="C298">
        <f>Data_preprocessing!Q298</f>
        <v>65000</v>
      </c>
      <c r="D298" t="str">
        <f>Data_preprocessing!R298</f>
        <v>Other</v>
      </c>
      <c r="E298" t="str">
        <f>Data_preprocessing!S298</f>
        <v>HR</v>
      </c>
      <c r="F298" t="str">
        <f>Data_preprocessing!T298</f>
        <v>Clerk</v>
      </c>
      <c r="G298" s="2">
        <f>Data_preprocessing!U298</f>
        <v>43549</v>
      </c>
      <c r="H298" t="str">
        <f>Data_preprocessing!V298</f>
        <v>B</v>
      </c>
      <c r="I298" t="str">
        <f>Data_preprocessing!Y298</f>
        <v>Email not provided</v>
      </c>
      <c r="J298" t="str">
        <f>Data_preprocessing!Z298</f>
        <v>555-555-5555</v>
      </c>
      <c r="K298">
        <f t="shared" ca="1" si="12"/>
        <v>6</v>
      </c>
      <c r="L298" t="str">
        <f t="shared" si="13"/>
        <v>High</v>
      </c>
      <c r="M298" t="str">
        <f t="shared" si="14"/>
        <v>Good</v>
      </c>
    </row>
    <row r="299" spans="1:13" x14ac:dyDescent="0.25">
      <c r="A299" t="str">
        <f>Data_preprocessing!M299</f>
        <v>Frank</v>
      </c>
      <c r="B299">
        <f>Data_preprocessing!O299</f>
        <v>35</v>
      </c>
      <c r="C299">
        <f>Data_preprocessing!Q299</f>
        <v>60000</v>
      </c>
      <c r="D299" t="str">
        <f>Data_preprocessing!R299</f>
        <v>Other</v>
      </c>
      <c r="E299" t="str">
        <f>Data_preprocessing!S299</f>
        <v>Marketing</v>
      </c>
      <c r="F299" t="str">
        <f>Data_preprocessing!T299</f>
        <v>Assistant</v>
      </c>
      <c r="G299" s="2">
        <f>Data_preprocessing!U299</f>
        <v>43195</v>
      </c>
      <c r="H299" t="str">
        <f>Data_preprocessing!V299</f>
        <v>C</v>
      </c>
      <c r="I299" t="str">
        <f>Data_preprocessing!Y299</f>
        <v>user@domain.com</v>
      </c>
      <c r="J299" t="str">
        <f>Data_preprocessing!Z299</f>
        <v>123-456-7890</v>
      </c>
      <c r="K299">
        <f t="shared" ca="1" si="12"/>
        <v>7</v>
      </c>
      <c r="L299" t="str">
        <f t="shared" si="13"/>
        <v>Medium</v>
      </c>
      <c r="M299" t="str">
        <f t="shared" si="14"/>
        <v>Average</v>
      </c>
    </row>
    <row r="300" spans="1:13" x14ac:dyDescent="0.25">
      <c r="A300" t="str">
        <f>Data_preprocessing!M300</f>
        <v>Charlie</v>
      </c>
      <c r="B300">
        <f>Data_preprocessing!O300</f>
        <v>30</v>
      </c>
      <c r="C300">
        <f>Data_preprocessing!Q300</f>
        <v>65000</v>
      </c>
      <c r="D300" t="str">
        <f>Data_preprocessing!R300</f>
        <v>Male</v>
      </c>
      <c r="E300" t="str">
        <f>Data_preprocessing!S300</f>
        <v>Sales</v>
      </c>
      <c r="F300" t="str">
        <f>Data_preprocessing!T300</f>
        <v>Director</v>
      </c>
      <c r="G300" s="2">
        <f>Data_preprocessing!U300</f>
        <v>43549</v>
      </c>
      <c r="H300" t="str">
        <f>Data_preprocessing!V300</f>
        <v>C</v>
      </c>
      <c r="I300" t="str">
        <f>Data_preprocessing!Y300</f>
        <v>Email not provided</v>
      </c>
      <c r="J300" t="str">
        <f>Data_preprocessing!Z300</f>
        <v>Phone not provided</v>
      </c>
      <c r="K300">
        <f t="shared" ca="1" si="12"/>
        <v>6</v>
      </c>
      <c r="L300" t="str">
        <f t="shared" si="13"/>
        <v>High</v>
      </c>
      <c r="M300" t="str">
        <f t="shared" si="14"/>
        <v>Average</v>
      </c>
    </row>
    <row r="301" spans="1:13" x14ac:dyDescent="0.25">
      <c r="A301" t="str">
        <f>Data_preprocessing!M301</f>
        <v>Ivy</v>
      </c>
      <c r="B301">
        <f>Data_preprocessing!O301</f>
        <v>40</v>
      </c>
      <c r="C301">
        <f>Data_preprocessing!Q301</f>
        <v>55000</v>
      </c>
      <c r="D301" t="str">
        <f>Data_preprocessing!R301</f>
        <v>Other</v>
      </c>
      <c r="E301" t="str">
        <f>Data_preprocessing!S301</f>
        <v>Finance</v>
      </c>
      <c r="F301" t="str">
        <f>Data_preprocessing!T301</f>
        <v>Analyst</v>
      </c>
      <c r="G301" s="2">
        <f>Data_preprocessing!U301</f>
        <v>43845</v>
      </c>
      <c r="H301" t="str">
        <f>Data_preprocessing!V301</f>
        <v>B</v>
      </c>
      <c r="I301" t="str">
        <f>Data_preprocessing!Y301</f>
        <v>Email not provided</v>
      </c>
      <c r="J301" t="str">
        <f>Data_preprocessing!Z301</f>
        <v>Phone not provided</v>
      </c>
      <c r="K301">
        <f t="shared" ca="1" si="12"/>
        <v>6</v>
      </c>
      <c r="L301" t="str">
        <f t="shared" si="13"/>
        <v>Low</v>
      </c>
      <c r="M301" t="str">
        <f t="shared" si="14"/>
        <v>Good</v>
      </c>
    </row>
    <row r="302" spans="1:13" x14ac:dyDescent="0.25">
      <c r="A302" t="str">
        <f>Data_preprocessing!M302</f>
        <v>Eve</v>
      </c>
      <c r="B302">
        <f>Data_preprocessing!O302</f>
        <v>35</v>
      </c>
      <c r="C302">
        <f>Data_preprocessing!Q302</f>
        <v>70000</v>
      </c>
      <c r="D302" t="str">
        <f>Data_preprocessing!R302</f>
        <v>Female</v>
      </c>
      <c r="E302" t="str">
        <f>Data_preprocessing!S302</f>
        <v>Sales</v>
      </c>
      <c r="F302" t="str">
        <f>Data_preprocessing!T302</f>
        <v>Manager</v>
      </c>
      <c r="G302" s="2">
        <f>Data_preprocessing!U302</f>
        <v>43800</v>
      </c>
      <c r="H302" t="str">
        <f>Data_preprocessing!V302</f>
        <v>C</v>
      </c>
      <c r="I302" t="str">
        <f>Data_preprocessing!Y302</f>
        <v>Email not provided</v>
      </c>
      <c r="J302" t="str">
        <f>Data_preprocessing!Z302</f>
        <v>555-555-5555</v>
      </c>
      <c r="K302">
        <f t="shared" ca="1" si="12"/>
        <v>6</v>
      </c>
      <c r="L302" t="str">
        <f t="shared" si="13"/>
        <v>High</v>
      </c>
      <c r="M302" t="str">
        <f t="shared" si="14"/>
        <v>Average</v>
      </c>
    </row>
    <row r="303" spans="1:13" x14ac:dyDescent="0.25">
      <c r="A303" t="str">
        <f>Data_preprocessing!M303</f>
        <v>Hannah</v>
      </c>
      <c r="B303">
        <f>Data_preprocessing!O303</f>
        <v>35</v>
      </c>
      <c r="C303">
        <f>Data_preprocessing!Q303</f>
        <v>60000</v>
      </c>
      <c r="D303" t="str">
        <f>Data_preprocessing!R303</f>
        <v>Male</v>
      </c>
      <c r="E303" t="str">
        <f>Data_preprocessing!S303</f>
        <v>Finance</v>
      </c>
      <c r="F303" t="str">
        <f>Data_preprocessing!T303</f>
        <v>Manager</v>
      </c>
      <c r="G303" s="2">
        <f>Data_preprocessing!U303</f>
        <v>43845</v>
      </c>
      <c r="H303" t="str">
        <f>Data_preprocessing!V303</f>
        <v>C</v>
      </c>
      <c r="I303" t="str">
        <f>Data_preprocessing!Y303</f>
        <v>user@domain.com</v>
      </c>
      <c r="J303" t="str">
        <f>Data_preprocessing!Z303</f>
        <v>Phone not provided</v>
      </c>
      <c r="K303">
        <f t="shared" ca="1" si="12"/>
        <v>6</v>
      </c>
      <c r="L303" t="str">
        <f t="shared" si="13"/>
        <v>Medium</v>
      </c>
      <c r="M303" t="str">
        <f t="shared" si="14"/>
        <v>Average</v>
      </c>
    </row>
    <row r="304" spans="1:13" x14ac:dyDescent="0.25">
      <c r="A304" t="str">
        <f>Data_preprocessing!M304</f>
        <v>Alice</v>
      </c>
      <c r="B304">
        <f>Data_preprocessing!O304</f>
        <v>35</v>
      </c>
      <c r="C304">
        <f>Data_preprocessing!Q304</f>
        <v>65000</v>
      </c>
      <c r="D304" t="str">
        <f>Data_preprocessing!R304</f>
        <v>Male</v>
      </c>
      <c r="E304" t="str">
        <f>Data_preprocessing!S304</f>
        <v>Marketing</v>
      </c>
      <c r="F304" t="str">
        <f>Data_preprocessing!T304</f>
        <v>Analyst</v>
      </c>
      <c r="G304" s="2">
        <f>Data_preprocessing!U304</f>
        <v>43800</v>
      </c>
      <c r="H304" t="str">
        <f>Data_preprocessing!V304</f>
        <v>F</v>
      </c>
      <c r="I304" t="str">
        <f>Data_preprocessing!Y304</f>
        <v>Email not provided</v>
      </c>
      <c r="J304" t="str">
        <f>Data_preprocessing!Z304</f>
        <v>Phone not provided</v>
      </c>
      <c r="K304">
        <f t="shared" ca="1" si="12"/>
        <v>6</v>
      </c>
      <c r="L304" t="str">
        <f t="shared" si="13"/>
        <v>High</v>
      </c>
      <c r="M304" t="str">
        <f t="shared" si="14"/>
        <v>Poor</v>
      </c>
    </row>
    <row r="305" spans="1:13" x14ac:dyDescent="0.25">
      <c r="A305" t="str">
        <f>Data_preprocessing!M305</f>
        <v>Eve</v>
      </c>
      <c r="B305">
        <f>Data_preprocessing!O305</f>
        <v>50</v>
      </c>
      <c r="C305">
        <f>Data_preprocessing!Q305</f>
        <v>50000</v>
      </c>
      <c r="D305" t="str">
        <f>Data_preprocessing!R305</f>
        <v>Other</v>
      </c>
      <c r="E305" t="str">
        <f>Data_preprocessing!S305</f>
        <v>HR</v>
      </c>
      <c r="F305" t="str">
        <f>Data_preprocessing!T305</f>
        <v>Analyst</v>
      </c>
      <c r="G305" s="2">
        <f>Data_preprocessing!U305</f>
        <v>43195</v>
      </c>
      <c r="H305" t="str">
        <f>Data_preprocessing!V305</f>
        <v>D</v>
      </c>
      <c r="I305" t="str">
        <f>Data_preprocessing!Y305</f>
        <v>user@domain.com</v>
      </c>
      <c r="J305" t="str">
        <f>Data_preprocessing!Z305</f>
        <v>123-456-7890</v>
      </c>
      <c r="K305">
        <f t="shared" ca="1" si="12"/>
        <v>7</v>
      </c>
      <c r="L305" t="str">
        <f t="shared" si="13"/>
        <v>Low</v>
      </c>
      <c r="M305" t="str">
        <f t="shared" si="14"/>
        <v>Below Average</v>
      </c>
    </row>
    <row r="306" spans="1:13" x14ac:dyDescent="0.25">
      <c r="A306" t="str">
        <f>Data_preprocessing!M306</f>
        <v>Charlie</v>
      </c>
      <c r="B306">
        <f>Data_preprocessing!O306</f>
        <v>50</v>
      </c>
      <c r="C306">
        <f>Data_preprocessing!Q306</f>
        <v>55000</v>
      </c>
      <c r="D306" t="str">
        <f>Data_preprocessing!R306</f>
        <v>Male</v>
      </c>
      <c r="E306" t="str">
        <f>Data_preprocessing!S306</f>
        <v>HR</v>
      </c>
      <c r="F306" t="str">
        <f>Data_preprocessing!T306</f>
        <v>Director</v>
      </c>
      <c r="G306" s="2">
        <f>Data_preprocessing!U306</f>
        <v>43549</v>
      </c>
      <c r="H306" t="str">
        <f>Data_preprocessing!V306</f>
        <v>F</v>
      </c>
      <c r="I306" t="str">
        <f>Data_preprocessing!Y306</f>
        <v>user@domain.com</v>
      </c>
      <c r="J306" t="str">
        <f>Data_preprocessing!Z306</f>
        <v>Phone not provided</v>
      </c>
      <c r="K306">
        <f t="shared" ca="1" si="12"/>
        <v>6</v>
      </c>
      <c r="L306" t="str">
        <f t="shared" si="13"/>
        <v>Low</v>
      </c>
      <c r="M306" t="str">
        <f t="shared" si="14"/>
        <v>Poor</v>
      </c>
    </row>
    <row r="307" spans="1:13" x14ac:dyDescent="0.25">
      <c r="A307" t="str">
        <f>Data_preprocessing!M307</f>
        <v>Alice</v>
      </c>
      <c r="B307">
        <f>Data_preprocessing!O307</f>
        <v>30</v>
      </c>
      <c r="C307">
        <f>Data_preprocessing!Q307</f>
        <v>70000</v>
      </c>
      <c r="D307" t="str">
        <f>Data_preprocessing!R307</f>
        <v>Male</v>
      </c>
      <c r="E307" t="str">
        <f>Data_preprocessing!S307</f>
        <v>Sales</v>
      </c>
      <c r="F307" t="str">
        <f>Data_preprocessing!T307</f>
        <v>Analyst</v>
      </c>
      <c r="G307" s="2">
        <f>Data_preprocessing!U307</f>
        <v>43549</v>
      </c>
      <c r="H307" t="str">
        <f>Data_preprocessing!V307</f>
        <v>A</v>
      </c>
      <c r="I307" t="str">
        <f>Data_preprocessing!Y307</f>
        <v>Email not provided</v>
      </c>
      <c r="J307" t="str">
        <f>Data_preprocessing!Z307</f>
        <v>555-555-5555</v>
      </c>
      <c r="K307">
        <f t="shared" ca="1" si="12"/>
        <v>6</v>
      </c>
      <c r="L307" t="str">
        <f t="shared" si="13"/>
        <v>High</v>
      </c>
      <c r="M307" t="str">
        <f t="shared" si="14"/>
        <v>Excellent</v>
      </c>
    </row>
    <row r="308" spans="1:13" x14ac:dyDescent="0.25">
      <c r="A308" t="str">
        <f>Data_preprocessing!M308</f>
        <v>David</v>
      </c>
      <c r="B308">
        <f>Data_preprocessing!O308</f>
        <v>35</v>
      </c>
      <c r="C308">
        <f>Data_preprocessing!Q308</f>
        <v>55000</v>
      </c>
      <c r="D308" t="str">
        <f>Data_preprocessing!R308</f>
        <v>Male</v>
      </c>
      <c r="E308" t="str">
        <f>Data_preprocessing!S308</f>
        <v>HR</v>
      </c>
      <c r="F308" t="str">
        <f>Data_preprocessing!T308</f>
        <v>Assistant</v>
      </c>
      <c r="G308" s="2">
        <f>Data_preprocessing!U308</f>
        <v>43549</v>
      </c>
      <c r="H308" t="str">
        <f>Data_preprocessing!V308</f>
        <v>F</v>
      </c>
      <c r="I308" t="str">
        <f>Data_preprocessing!Y308</f>
        <v>email@example.com</v>
      </c>
      <c r="J308" t="str">
        <f>Data_preprocessing!Z308</f>
        <v>123-456-7890</v>
      </c>
      <c r="K308">
        <f t="shared" ca="1" si="12"/>
        <v>6</v>
      </c>
      <c r="L308" t="str">
        <f t="shared" si="13"/>
        <v>Low</v>
      </c>
      <c r="M308" t="str">
        <f t="shared" si="14"/>
        <v>Poor</v>
      </c>
    </row>
    <row r="309" spans="1:13" x14ac:dyDescent="0.25">
      <c r="A309" t="str">
        <f>Data_preprocessing!M309</f>
        <v>Eve</v>
      </c>
      <c r="B309">
        <f>Data_preprocessing!O309</f>
        <v>35</v>
      </c>
      <c r="C309">
        <f>Data_preprocessing!Q309</f>
        <v>50000</v>
      </c>
      <c r="D309" t="str">
        <f>Data_preprocessing!R309</f>
        <v>Male</v>
      </c>
      <c r="E309" t="str">
        <f>Data_preprocessing!S309</f>
        <v>Marketing</v>
      </c>
      <c r="F309" t="str">
        <f>Data_preprocessing!T309</f>
        <v>Clerk</v>
      </c>
      <c r="G309" s="2">
        <f>Data_preprocessing!U309</f>
        <v>43800</v>
      </c>
      <c r="H309" t="str">
        <f>Data_preprocessing!V309</f>
        <v>B</v>
      </c>
      <c r="I309" t="str">
        <f>Data_preprocessing!Y309</f>
        <v>Email not provided</v>
      </c>
      <c r="J309" t="str">
        <f>Data_preprocessing!Z309</f>
        <v>098-765-4321</v>
      </c>
      <c r="K309">
        <f t="shared" ca="1" si="12"/>
        <v>6</v>
      </c>
      <c r="L309" t="str">
        <f t="shared" si="13"/>
        <v>Low</v>
      </c>
      <c r="M309" t="str">
        <f t="shared" si="14"/>
        <v>Good</v>
      </c>
    </row>
    <row r="310" spans="1:13" x14ac:dyDescent="0.25">
      <c r="A310" t="str">
        <f>Data_preprocessing!M310</f>
        <v>Grace</v>
      </c>
      <c r="B310">
        <f>Data_preprocessing!O310</f>
        <v>40</v>
      </c>
      <c r="C310">
        <f>Data_preprocessing!Q310</f>
        <v>70000</v>
      </c>
      <c r="D310" t="str">
        <f>Data_preprocessing!R310</f>
        <v>Male</v>
      </c>
      <c r="E310" t="str">
        <f>Data_preprocessing!S310</f>
        <v>Sales</v>
      </c>
      <c r="F310" t="str">
        <f>Data_preprocessing!T310</f>
        <v>Analyst</v>
      </c>
      <c r="G310" s="2">
        <f>Data_preprocessing!U310</f>
        <v>43549</v>
      </c>
      <c r="H310" t="str">
        <f>Data_preprocessing!V310</f>
        <v>D</v>
      </c>
      <c r="I310" t="str">
        <f>Data_preprocessing!Y310</f>
        <v>Email not provided</v>
      </c>
      <c r="J310" t="str">
        <f>Data_preprocessing!Z310</f>
        <v>Phone not provided</v>
      </c>
      <c r="K310">
        <f t="shared" ca="1" si="12"/>
        <v>6</v>
      </c>
      <c r="L310" t="str">
        <f t="shared" si="13"/>
        <v>High</v>
      </c>
      <c r="M310" t="str">
        <f t="shared" si="14"/>
        <v>Below Average</v>
      </c>
    </row>
    <row r="311" spans="1:13" x14ac:dyDescent="0.25">
      <c r="A311" t="str">
        <f>Data_preprocessing!M311</f>
        <v>Alice</v>
      </c>
      <c r="B311">
        <f>Data_preprocessing!O311</f>
        <v>35</v>
      </c>
      <c r="C311">
        <f>Data_preprocessing!Q311</f>
        <v>55000</v>
      </c>
      <c r="D311" t="str">
        <f>Data_preprocessing!R311</f>
        <v>Male</v>
      </c>
      <c r="E311" t="str">
        <f>Data_preprocessing!S311</f>
        <v>Finance</v>
      </c>
      <c r="F311" t="str">
        <f>Data_preprocessing!T311</f>
        <v>Analyst</v>
      </c>
      <c r="G311" s="2">
        <f>Data_preprocessing!U311</f>
        <v>43845</v>
      </c>
      <c r="H311" t="str">
        <f>Data_preprocessing!V311</f>
        <v>B</v>
      </c>
      <c r="I311" t="str">
        <f>Data_preprocessing!Y311</f>
        <v>name@company.org</v>
      </c>
      <c r="J311" t="str">
        <f>Data_preprocessing!Z311</f>
        <v>Phone not provided</v>
      </c>
      <c r="K311">
        <f t="shared" ca="1" si="12"/>
        <v>6</v>
      </c>
      <c r="L311" t="str">
        <f t="shared" si="13"/>
        <v>Low</v>
      </c>
      <c r="M311" t="str">
        <f t="shared" si="14"/>
        <v>Good</v>
      </c>
    </row>
    <row r="312" spans="1:13" x14ac:dyDescent="0.25">
      <c r="A312" t="str">
        <f>Data_preprocessing!M312</f>
        <v>Charlie</v>
      </c>
      <c r="B312">
        <f>Data_preprocessing!O312</f>
        <v>35</v>
      </c>
      <c r="C312">
        <f>Data_preprocessing!Q312</f>
        <v>60000</v>
      </c>
      <c r="D312" t="str">
        <f>Data_preprocessing!R312</f>
        <v>Female</v>
      </c>
      <c r="E312" t="str">
        <f>Data_preprocessing!S312</f>
        <v>HR</v>
      </c>
      <c r="F312" t="str">
        <f>Data_preprocessing!T312</f>
        <v>Assistant</v>
      </c>
      <c r="G312" s="2">
        <f>Data_preprocessing!U312</f>
        <v>43549</v>
      </c>
      <c r="H312" t="str">
        <f>Data_preprocessing!V312</f>
        <v>A</v>
      </c>
      <c r="I312" t="str">
        <f>Data_preprocessing!Y312</f>
        <v>Email not provided</v>
      </c>
      <c r="J312" t="str">
        <f>Data_preprocessing!Z312</f>
        <v>123-456-7890</v>
      </c>
      <c r="K312">
        <f t="shared" ca="1" si="12"/>
        <v>6</v>
      </c>
      <c r="L312" t="str">
        <f t="shared" si="13"/>
        <v>Medium</v>
      </c>
      <c r="M312" t="str">
        <f t="shared" si="14"/>
        <v>Excellent</v>
      </c>
    </row>
    <row r="313" spans="1:13" x14ac:dyDescent="0.25">
      <c r="A313" t="str">
        <f>Data_preprocessing!M313</f>
        <v>Bob</v>
      </c>
      <c r="B313">
        <f>Data_preprocessing!O313</f>
        <v>35</v>
      </c>
      <c r="C313">
        <f>Data_preprocessing!Q313</f>
        <v>50000</v>
      </c>
      <c r="D313" t="str">
        <f>Data_preprocessing!R313</f>
        <v>Other</v>
      </c>
      <c r="E313" t="str">
        <f>Data_preprocessing!S313</f>
        <v>IT</v>
      </c>
      <c r="F313" t="str">
        <f>Data_preprocessing!T313</f>
        <v>Manager</v>
      </c>
      <c r="G313" s="2">
        <f>Data_preprocessing!U313</f>
        <v>43195</v>
      </c>
      <c r="H313" t="str">
        <f>Data_preprocessing!V313</f>
        <v>D</v>
      </c>
      <c r="I313" t="str">
        <f>Data_preprocessing!Y313</f>
        <v>user@domain.com</v>
      </c>
      <c r="J313" t="str">
        <f>Data_preprocessing!Z313</f>
        <v>Phone not provided</v>
      </c>
      <c r="K313">
        <f t="shared" ca="1" si="12"/>
        <v>7</v>
      </c>
      <c r="L313" t="str">
        <f t="shared" si="13"/>
        <v>Low</v>
      </c>
      <c r="M313" t="str">
        <f t="shared" si="14"/>
        <v>Below Average</v>
      </c>
    </row>
    <row r="314" spans="1:13" x14ac:dyDescent="0.25">
      <c r="A314" t="str">
        <f>Data_preprocessing!M314</f>
        <v>Ivy</v>
      </c>
      <c r="B314">
        <f>Data_preprocessing!O314</f>
        <v>25</v>
      </c>
      <c r="C314">
        <f>Data_preprocessing!Q314</f>
        <v>50000</v>
      </c>
      <c r="D314" t="str">
        <f>Data_preprocessing!R314</f>
        <v>Female</v>
      </c>
      <c r="E314" t="str">
        <f>Data_preprocessing!S314</f>
        <v>HR</v>
      </c>
      <c r="F314" t="str">
        <f>Data_preprocessing!T314</f>
        <v>Manager</v>
      </c>
      <c r="G314" s="2">
        <f>Data_preprocessing!U314</f>
        <v>43845</v>
      </c>
      <c r="H314" t="str">
        <f>Data_preprocessing!V314</f>
        <v>C</v>
      </c>
      <c r="I314" t="str">
        <f>Data_preprocessing!Y314</f>
        <v>user@domain.com</v>
      </c>
      <c r="J314" t="str">
        <f>Data_preprocessing!Z314</f>
        <v>Phone not provided</v>
      </c>
      <c r="K314">
        <f t="shared" ca="1" si="12"/>
        <v>6</v>
      </c>
      <c r="L314" t="str">
        <f t="shared" si="13"/>
        <v>Low</v>
      </c>
      <c r="M314" t="str">
        <f t="shared" si="14"/>
        <v>Average</v>
      </c>
    </row>
    <row r="315" spans="1:13" x14ac:dyDescent="0.25">
      <c r="A315" t="str">
        <f>Data_preprocessing!M315</f>
        <v>Jack</v>
      </c>
      <c r="B315">
        <f>Data_preprocessing!O315</f>
        <v>40</v>
      </c>
      <c r="C315">
        <f>Data_preprocessing!Q315</f>
        <v>50000</v>
      </c>
      <c r="D315" t="str">
        <f>Data_preprocessing!R315</f>
        <v>Male</v>
      </c>
      <c r="E315" t="str">
        <f>Data_preprocessing!S315</f>
        <v>Finance</v>
      </c>
      <c r="F315" t="str">
        <f>Data_preprocessing!T315</f>
        <v>Director</v>
      </c>
      <c r="G315" s="2">
        <f>Data_preprocessing!U315</f>
        <v>43549</v>
      </c>
      <c r="H315" t="str">
        <f>Data_preprocessing!V315</f>
        <v>F</v>
      </c>
      <c r="I315" t="str">
        <f>Data_preprocessing!Y315</f>
        <v>Email not provided</v>
      </c>
      <c r="J315" t="str">
        <f>Data_preprocessing!Z315</f>
        <v>555-555-5555</v>
      </c>
      <c r="K315">
        <f t="shared" ca="1" si="12"/>
        <v>6</v>
      </c>
      <c r="L315" t="str">
        <f t="shared" si="13"/>
        <v>Low</v>
      </c>
      <c r="M315" t="str">
        <f t="shared" si="14"/>
        <v>Poor</v>
      </c>
    </row>
    <row r="316" spans="1:13" x14ac:dyDescent="0.25">
      <c r="A316" t="str">
        <f>Data_preprocessing!M316</f>
        <v>Frank</v>
      </c>
      <c r="B316">
        <f>Data_preprocessing!O316</f>
        <v>25</v>
      </c>
      <c r="C316">
        <f>Data_preprocessing!Q316</f>
        <v>60000</v>
      </c>
      <c r="D316" t="str">
        <f>Data_preprocessing!R316</f>
        <v>Male</v>
      </c>
      <c r="E316" t="str">
        <f>Data_preprocessing!S316</f>
        <v>Sales</v>
      </c>
      <c r="F316" t="str">
        <f>Data_preprocessing!T316</f>
        <v>Assistant</v>
      </c>
      <c r="G316" s="2">
        <f>Data_preprocessing!U316</f>
        <v>43549</v>
      </c>
      <c r="H316" t="str">
        <f>Data_preprocessing!V316</f>
        <v>B</v>
      </c>
      <c r="I316" t="str">
        <f>Data_preprocessing!Y316</f>
        <v>name@company.org</v>
      </c>
      <c r="J316" t="str">
        <f>Data_preprocessing!Z316</f>
        <v>Phone not provided</v>
      </c>
      <c r="K316">
        <f t="shared" ca="1" si="12"/>
        <v>6</v>
      </c>
      <c r="L316" t="str">
        <f t="shared" si="13"/>
        <v>Medium</v>
      </c>
      <c r="M316" t="str">
        <f t="shared" si="14"/>
        <v>Good</v>
      </c>
    </row>
    <row r="317" spans="1:13" x14ac:dyDescent="0.25">
      <c r="A317" t="str">
        <f>Data_preprocessing!M317</f>
        <v>Jack</v>
      </c>
      <c r="B317">
        <f>Data_preprocessing!O317</f>
        <v>30</v>
      </c>
      <c r="C317">
        <f>Data_preprocessing!Q317</f>
        <v>60000</v>
      </c>
      <c r="D317" t="str">
        <f>Data_preprocessing!R317</f>
        <v>Other</v>
      </c>
      <c r="E317" t="str">
        <f>Data_preprocessing!S317</f>
        <v>Finance</v>
      </c>
      <c r="F317" t="str">
        <f>Data_preprocessing!T317</f>
        <v>Clerk</v>
      </c>
      <c r="G317" s="2">
        <f>Data_preprocessing!U317</f>
        <v>43881</v>
      </c>
      <c r="H317" t="str">
        <f>Data_preprocessing!V317</f>
        <v>A</v>
      </c>
      <c r="I317" t="str">
        <f>Data_preprocessing!Y317</f>
        <v>Email not provided</v>
      </c>
      <c r="J317" t="str">
        <f>Data_preprocessing!Z317</f>
        <v>098-765-4321</v>
      </c>
      <c r="K317">
        <f t="shared" ca="1" si="12"/>
        <v>5</v>
      </c>
      <c r="L317" t="str">
        <f t="shared" si="13"/>
        <v>Medium</v>
      </c>
      <c r="M317" t="str">
        <f t="shared" si="14"/>
        <v>Excellent</v>
      </c>
    </row>
    <row r="318" spans="1:13" x14ac:dyDescent="0.25">
      <c r="A318" t="str">
        <f>Data_preprocessing!M318</f>
        <v>Charlie</v>
      </c>
      <c r="B318">
        <f>Data_preprocessing!O318</f>
        <v>25</v>
      </c>
      <c r="C318">
        <f>Data_preprocessing!Q318</f>
        <v>65000</v>
      </c>
      <c r="D318" t="str">
        <f>Data_preprocessing!R318</f>
        <v>Female</v>
      </c>
      <c r="E318" t="str">
        <f>Data_preprocessing!S318</f>
        <v>IT</v>
      </c>
      <c r="F318" t="str">
        <f>Data_preprocessing!T318</f>
        <v>Clerk</v>
      </c>
      <c r="G318" s="2">
        <f>Data_preprocessing!U318</f>
        <v>43800</v>
      </c>
      <c r="H318" t="str">
        <f>Data_preprocessing!V318</f>
        <v>C</v>
      </c>
      <c r="I318" t="str">
        <f>Data_preprocessing!Y318</f>
        <v>name@company.org</v>
      </c>
      <c r="J318" t="str">
        <f>Data_preprocessing!Z318</f>
        <v>Phone not provided</v>
      </c>
      <c r="K318">
        <f t="shared" ca="1" si="12"/>
        <v>6</v>
      </c>
      <c r="L318" t="str">
        <f t="shared" si="13"/>
        <v>High</v>
      </c>
      <c r="M318" t="str">
        <f t="shared" si="14"/>
        <v>Average</v>
      </c>
    </row>
    <row r="319" spans="1:13" x14ac:dyDescent="0.25">
      <c r="A319" t="str">
        <f>Data_preprocessing!M319</f>
        <v>Hannah</v>
      </c>
      <c r="B319">
        <f>Data_preprocessing!O319</f>
        <v>25</v>
      </c>
      <c r="C319">
        <f>Data_preprocessing!Q319</f>
        <v>60000</v>
      </c>
      <c r="D319" t="str">
        <f>Data_preprocessing!R319</f>
        <v>Other</v>
      </c>
      <c r="E319" t="str">
        <f>Data_preprocessing!S319</f>
        <v>Marketing</v>
      </c>
      <c r="F319" t="str">
        <f>Data_preprocessing!T319</f>
        <v>Assistant</v>
      </c>
      <c r="G319" s="2">
        <f>Data_preprocessing!U319</f>
        <v>43845</v>
      </c>
      <c r="H319" t="str">
        <f>Data_preprocessing!V319</f>
        <v>F</v>
      </c>
      <c r="I319" t="str">
        <f>Data_preprocessing!Y319</f>
        <v>name@company.org</v>
      </c>
      <c r="J319" t="str">
        <f>Data_preprocessing!Z319</f>
        <v>Phone not provided</v>
      </c>
      <c r="K319">
        <f t="shared" ca="1" si="12"/>
        <v>6</v>
      </c>
      <c r="L319" t="str">
        <f t="shared" si="13"/>
        <v>Medium</v>
      </c>
      <c r="M319" t="str">
        <f t="shared" si="14"/>
        <v>Poor</v>
      </c>
    </row>
    <row r="320" spans="1:13" x14ac:dyDescent="0.25">
      <c r="A320" t="str">
        <f>Data_preprocessing!M320</f>
        <v>Hannah</v>
      </c>
      <c r="B320">
        <f>Data_preprocessing!O320</f>
        <v>35</v>
      </c>
      <c r="C320">
        <f>Data_preprocessing!Q320</f>
        <v>55000</v>
      </c>
      <c r="D320" t="str">
        <f>Data_preprocessing!R320</f>
        <v>Female</v>
      </c>
      <c r="E320" t="str">
        <f>Data_preprocessing!S320</f>
        <v>HR</v>
      </c>
      <c r="F320" t="str">
        <f>Data_preprocessing!T320</f>
        <v>Clerk</v>
      </c>
      <c r="G320" s="2">
        <f>Data_preprocessing!U320</f>
        <v>43881</v>
      </c>
      <c r="H320" t="str">
        <f>Data_preprocessing!V320</f>
        <v>C</v>
      </c>
      <c r="I320" t="str">
        <f>Data_preprocessing!Y320</f>
        <v>Email not provided</v>
      </c>
      <c r="J320" t="str">
        <f>Data_preprocessing!Z320</f>
        <v>Phone not provided</v>
      </c>
      <c r="K320">
        <f t="shared" ca="1" si="12"/>
        <v>5</v>
      </c>
      <c r="L320" t="str">
        <f t="shared" si="13"/>
        <v>Low</v>
      </c>
      <c r="M320" t="str">
        <f t="shared" si="14"/>
        <v>Average</v>
      </c>
    </row>
    <row r="321" spans="1:13" x14ac:dyDescent="0.25">
      <c r="A321" t="str">
        <f>Data_preprocessing!M321</f>
        <v>Bob</v>
      </c>
      <c r="B321">
        <f>Data_preprocessing!O321</f>
        <v>50</v>
      </c>
      <c r="C321">
        <f>Data_preprocessing!Q321</f>
        <v>65000</v>
      </c>
      <c r="D321" t="str">
        <f>Data_preprocessing!R321</f>
        <v>Male</v>
      </c>
      <c r="E321" t="str">
        <f>Data_preprocessing!S321</f>
        <v>Sales</v>
      </c>
      <c r="F321" t="str">
        <f>Data_preprocessing!T321</f>
        <v>Manager</v>
      </c>
      <c r="G321" s="2">
        <f>Data_preprocessing!U321</f>
        <v>43195</v>
      </c>
      <c r="H321" t="str">
        <f>Data_preprocessing!V321</f>
        <v>F</v>
      </c>
      <c r="I321" t="str">
        <f>Data_preprocessing!Y321</f>
        <v>user@domain.com</v>
      </c>
      <c r="J321" t="str">
        <f>Data_preprocessing!Z321</f>
        <v>123-456-7890</v>
      </c>
      <c r="K321">
        <f t="shared" ca="1" si="12"/>
        <v>7</v>
      </c>
      <c r="L321" t="str">
        <f t="shared" si="13"/>
        <v>High</v>
      </c>
      <c r="M321" t="str">
        <f t="shared" si="14"/>
        <v>Poor</v>
      </c>
    </row>
    <row r="322" spans="1:13" x14ac:dyDescent="0.25">
      <c r="A322" t="str">
        <f>Data_preprocessing!M322</f>
        <v>Frank</v>
      </c>
      <c r="B322">
        <f>Data_preprocessing!O322</f>
        <v>35</v>
      </c>
      <c r="C322">
        <f>Data_preprocessing!Q322</f>
        <v>55000</v>
      </c>
      <c r="D322" t="str">
        <f>Data_preprocessing!R322</f>
        <v>Other</v>
      </c>
      <c r="E322" t="str">
        <f>Data_preprocessing!S322</f>
        <v>Marketing</v>
      </c>
      <c r="F322" t="str">
        <f>Data_preprocessing!T322</f>
        <v>Clerk</v>
      </c>
      <c r="G322" s="2">
        <f>Data_preprocessing!U322</f>
        <v>43800</v>
      </c>
      <c r="H322" t="str">
        <f>Data_preprocessing!V322</f>
        <v>D</v>
      </c>
      <c r="I322" t="str">
        <f>Data_preprocessing!Y322</f>
        <v>user@domain.com</v>
      </c>
      <c r="J322" t="str">
        <f>Data_preprocessing!Z322</f>
        <v>Phone not provided</v>
      </c>
      <c r="K322">
        <f t="shared" ref="K322:K385" ca="1" si="15">DATEDIF(G322,TODAY(),"Y")</f>
        <v>6</v>
      </c>
      <c r="L322" t="str">
        <f t="shared" ref="L322:L385" si="16">IF(C322&lt;60000,"Low",IF(C322&lt;65000,"Medium","High"))</f>
        <v>Low</v>
      </c>
      <c r="M322" t="str">
        <f t="shared" si="14"/>
        <v>Below Average</v>
      </c>
    </row>
    <row r="323" spans="1:13" x14ac:dyDescent="0.25">
      <c r="A323" t="str">
        <f>Data_preprocessing!M323</f>
        <v>Grace</v>
      </c>
      <c r="B323">
        <f>Data_preprocessing!O323</f>
        <v>40</v>
      </c>
      <c r="C323">
        <f>Data_preprocessing!Q323</f>
        <v>60000</v>
      </c>
      <c r="D323" t="str">
        <f>Data_preprocessing!R323</f>
        <v>Other</v>
      </c>
      <c r="E323" t="str">
        <f>Data_preprocessing!S323</f>
        <v>Finance</v>
      </c>
      <c r="F323" t="str">
        <f>Data_preprocessing!T323</f>
        <v>Clerk</v>
      </c>
      <c r="G323" s="2">
        <f>Data_preprocessing!U323</f>
        <v>43845</v>
      </c>
      <c r="H323" t="str">
        <f>Data_preprocessing!V323</f>
        <v>C</v>
      </c>
      <c r="I323" t="str">
        <f>Data_preprocessing!Y323</f>
        <v>name@company.org</v>
      </c>
      <c r="J323" t="str">
        <f>Data_preprocessing!Z323</f>
        <v>Phone not provided</v>
      </c>
      <c r="K323">
        <f t="shared" ca="1" si="15"/>
        <v>6</v>
      </c>
      <c r="L323" t="str">
        <f t="shared" si="16"/>
        <v>Medium</v>
      </c>
      <c r="M323" t="str">
        <f t="shared" ref="M323:M386" si="17">IF(H323="A","Excellent",IF(H323="B","Good",IF(H323="C","Average",IF(H323="D","Below Average","Poor"))))</f>
        <v>Average</v>
      </c>
    </row>
    <row r="324" spans="1:13" x14ac:dyDescent="0.25">
      <c r="A324" t="str">
        <f>Data_preprocessing!M324</f>
        <v>Bob</v>
      </c>
      <c r="B324">
        <f>Data_preprocessing!O324</f>
        <v>25</v>
      </c>
      <c r="C324">
        <f>Data_preprocessing!Q324</f>
        <v>60000</v>
      </c>
      <c r="D324" t="str">
        <f>Data_preprocessing!R324</f>
        <v>Male</v>
      </c>
      <c r="E324" t="str">
        <f>Data_preprocessing!S324</f>
        <v>Sales</v>
      </c>
      <c r="F324" t="str">
        <f>Data_preprocessing!T324</f>
        <v>Assistant</v>
      </c>
      <c r="G324" s="2">
        <f>Data_preprocessing!U324</f>
        <v>43549</v>
      </c>
      <c r="H324" t="str">
        <f>Data_preprocessing!V324</f>
        <v>C</v>
      </c>
      <c r="I324" t="str">
        <f>Data_preprocessing!Y324</f>
        <v>user@domain.com</v>
      </c>
      <c r="J324" t="str">
        <f>Data_preprocessing!Z324</f>
        <v>123-456-7890</v>
      </c>
      <c r="K324">
        <f t="shared" ca="1" si="15"/>
        <v>6</v>
      </c>
      <c r="L324" t="str">
        <f t="shared" si="16"/>
        <v>Medium</v>
      </c>
      <c r="M324" t="str">
        <f t="shared" si="17"/>
        <v>Average</v>
      </c>
    </row>
    <row r="325" spans="1:13" x14ac:dyDescent="0.25">
      <c r="A325" t="str">
        <f>Data_preprocessing!M325</f>
        <v>Jack</v>
      </c>
      <c r="B325">
        <f>Data_preprocessing!O325</f>
        <v>40</v>
      </c>
      <c r="C325">
        <f>Data_preprocessing!Q325</f>
        <v>60000</v>
      </c>
      <c r="D325" t="str">
        <f>Data_preprocessing!R325</f>
        <v>Other</v>
      </c>
      <c r="E325" t="str">
        <f>Data_preprocessing!S325</f>
        <v>Marketing</v>
      </c>
      <c r="F325" t="str">
        <f>Data_preprocessing!T325</f>
        <v>Assistant</v>
      </c>
      <c r="G325" s="2">
        <f>Data_preprocessing!U325</f>
        <v>43845</v>
      </c>
      <c r="H325" t="str">
        <f>Data_preprocessing!V325</f>
        <v>C</v>
      </c>
      <c r="I325" t="str">
        <f>Data_preprocessing!Y325</f>
        <v>email@example.com</v>
      </c>
      <c r="J325" t="str">
        <f>Data_preprocessing!Z325</f>
        <v>555-555-5555</v>
      </c>
      <c r="K325">
        <f t="shared" ca="1" si="15"/>
        <v>6</v>
      </c>
      <c r="L325" t="str">
        <f t="shared" si="16"/>
        <v>Medium</v>
      </c>
      <c r="M325" t="str">
        <f t="shared" si="17"/>
        <v>Average</v>
      </c>
    </row>
    <row r="326" spans="1:13" x14ac:dyDescent="0.25">
      <c r="A326" t="str">
        <f>Data_preprocessing!M326</f>
        <v>Bob</v>
      </c>
      <c r="B326">
        <f>Data_preprocessing!O326</f>
        <v>50</v>
      </c>
      <c r="C326">
        <f>Data_preprocessing!Q326</f>
        <v>60000</v>
      </c>
      <c r="D326" t="str">
        <f>Data_preprocessing!R326</f>
        <v>Female</v>
      </c>
      <c r="E326" t="str">
        <f>Data_preprocessing!S326</f>
        <v>Sales</v>
      </c>
      <c r="F326" t="str">
        <f>Data_preprocessing!T326</f>
        <v>Clerk</v>
      </c>
      <c r="G326" s="2">
        <f>Data_preprocessing!U326</f>
        <v>43549</v>
      </c>
      <c r="H326" t="str">
        <f>Data_preprocessing!V326</f>
        <v>D</v>
      </c>
      <c r="I326" t="str">
        <f>Data_preprocessing!Y326</f>
        <v>name@company.org</v>
      </c>
      <c r="J326" t="str">
        <f>Data_preprocessing!Z326</f>
        <v>123-456-7890</v>
      </c>
      <c r="K326">
        <f t="shared" ca="1" si="15"/>
        <v>6</v>
      </c>
      <c r="L326" t="str">
        <f t="shared" si="16"/>
        <v>Medium</v>
      </c>
      <c r="M326" t="str">
        <f t="shared" si="17"/>
        <v>Below Average</v>
      </c>
    </row>
    <row r="327" spans="1:13" x14ac:dyDescent="0.25">
      <c r="A327" t="str">
        <f>Data_preprocessing!M327</f>
        <v>Jack</v>
      </c>
      <c r="B327">
        <f>Data_preprocessing!O327</f>
        <v>50</v>
      </c>
      <c r="C327">
        <f>Data_preprocessing!Q327</f>
        <v>60000</v>
      </c>
      <c r="D327" t="str">
        <f>Data_preprocessing!R327</f>
        <v>Female</v>
      </c>
      <c r="E327" t="str">
        <f>Data_preprocessing!S327</f>
        <v>IT</v>
      </c>
      <c r="F327" t="str">
        <f>Data_preprocessing!T327</f>
        <v>Analyst</v>
      </c>
      <c r="G327" s="2">
        <f>Data_preprocessing!U327</f>
        <v>43800</v>
      </c>
      <c r="H327" t="str">
        <f>Data_preprocessing!V327</f>
        <v>A</v>
      </c>
      <c r="I327" t="str">
        <f>Data_preprocessing!Y327</f>
        <v>user@domain.com</v>
      </c>
      <c r="J327" t="str">
        <f>Data_preprocessing!Z327</f>
        <v>098-765-4321</v>
      </c>
      <c r="K327">
        <f t="shared" ca="1" si="15"/>
        <v>6</v>
      </c>
      <c r="L327" t="str">
        <f t="shared" si="16"/>
        <v>Medium</v>
      </c>
      <c r="M327" t="str">
        <f t="shared" si="17"/>
        <v>Excellent</v>
      </c>
    </row>
    <row r="328" spans="1:13" x14ac:dyDescent="0.25">
      <c r="A328" t="str">
        <f>Data_preprocessing!M328</f>
        <v>Alice</v>
      </c>
      <c r="B328">
        <f>Data_preprocessing!O328</f>
        <v>25</v>
      </c>
      <c r="C328">
        <f>Data_preprocessing!Q328</f>
        <v>65000</v>
      </c>
      <c r="D328" t="str">
        <f>Data_preprocessing!R328</f>
        <v>Female</v>
      </c>
      <c r="E328" t="str">
        <f>Data_preprocessing!S328</f>
        <v>IT</v>
      </c>
      <c r="F328" t="str">
        <f>Data_preprocessing!T328</f>
        <v>Assistant</v>
      </c>
      <c r="G328" s="2">
        <f>Data_preprocessing!U328</f>
        <v>43549</v>
      </c>
      <c r="H328" t="str">
        <f>Data_preprocessing!V328</f>
        <v>F</v>
      </c>
      <c r="I328" t="str">
        <f>Data_preprocessing!Y328</f>
        <v>email@example.com</v>
      </c>
      <c r="J328" t="str">
        <f>Data_preprocessing!Z328</f>
        <v>123-456-7890</v>
      </c>
      <c r="K328">
        <f t="shared" ca="1" si="15"/>
        <v>6</v>
      </c>
      <c r="L328" t="str">
        <f t="shared" si="16"/>
        <v>High</v>
      </c>
      <c r="M328" t="str">
        <f t="shared" si="17"/>
        <v>Poor</v>
      </c>
    </row>
    <row r="329" spans="1:13" x14ac:dyDescent="0.25">
      <c r="A329" t="str">
        <f>Data_preprocessing!M329</f>
        <v>Hannah</v>
      </c>
      <c r="B329">
        <f>Data_preprocessing!O329</f>
        <v>30</v>
      </c>
      <c r="C329">
        <f>Data_preprocessing!Q329</f>
        <v>70000</v>
      </c>
      <c r="D329" t="str">
        <f>Data_preprocessing!R329</f>
        <v>Female</v>
      </c>
      <c r="E329" t="str">
        <f>Data_preprocessing!S329</f>
        <v>HR</v>
      </c>
      <c r="F329" t="str">
        <f>Data_preprocessing!T329</f>
        <v>Director</v>
      </c>
      <c r="G329" s="2">
        <f>Data_preprocessing!U329</f>
        <v>43195</v>
      </c>
      <c r="H329" t="str">
        <f>Data_preprocessing!V329</f>
        <v>C</v>
      </c>
      <c r="I329" t="str">
        <f>Data_preprocessing!Y329</f>
        <v>Email not provided</v>
      </c>
      <c r="J329" t="str">
        <f>Data_preprocessing!Z329</f>
        <v>555-555-5555</v>
      </c>
      <c r="K329">
        <f t="shared" ca="1" si="15"/>
        <v>7</v>
      </c>
      <c r="L329" t="str">
        <f t="shared" si="16"/>
        <v>High</v>
      </c>
      <c r="M329" t="str">
        <f t="shared" si="17"/>
        <v>Average</v>
      </c>
    </row>
    <row r="330" spans="1:13" x14ac:dyDescent="0.25">
      <c r="A330" t="str">
        <f>Data_preprocessing!M330</f>
        <v>Alice</v>
      </c>
      <c r="B330">
        <f>Data_preprocessing!O330</f>
        <v>25</v>
      </c>
      <c r="C330">
        <f>Data_preprocessing!Q330</f>
        <v>65000</v>
      </c>
      <c r="D330" t="str">
        <f>Data_preprocessing!R330</f>
        <v>Male</v>
      </c>
      <c r="E330" t="str">
        <f>Data_preprocessing!S330</f>
        <v>HR</v>
      </c>
      <c r="F330" t="str">
        <f>Data_preprocessing!T330</f>
        <v>Director</v>
      </c>
      <c r="G330" s="2">
        <f>Data_preprocessing!U330</f>
        <v>43549</v>
      </c>
      <c r="H330" t="str">
        <f>Data_preprocessing!V330</f>
        <v>D</v>
      </c>
      <c r="I330" t="str">
        <f>Data_preprocessing!Y330</f>
        <v>user@domain.com</v>
      </c>
      <c r="J330" t="str">
        <f>Data_preprocessing!Z330</f>
        <v>Phone not provided</v>
      </c>
      <c r="K330">
        <f t="shared" ca="1" si="15"/>
        <v>6</v>
      </c>
      <c r="L330" t="str">
        <f t="shared" si="16"/>
        <v>High</v>
      </c>
      <c r="M330" t="str">
        <f t="shared" si="17"/>
        <v>Below Average</v>
      </c>
    </row>
    <row r="331" spans="1:13" x14ac:dyDescent="0.25">
      <c r="A331" t="str">
        <f>Data_preprocessing!M331</f>
        <v>Ivy</v>
      </c>
      <c r="B331">
        <f>Data_preprocessing!O331</f>
        <v>35</v>
      </c>
      <c r="C331">
        <f>Data_preprocessing!Q331</f>
        <v>55000</v>
      </c>
      <c r="D331" t="str">
        <f>Data_preprocessing!R331</f>
        <v>Other</v>
      </c>
      <c r="E331" t="str">
        <f>Data_preprocessing!S331</f>
        <v>IT</v>
      </c>
      <c r="F331" t="str">
        <f>Data_preprocessing!T331</f>
        <v>Manager</v>
      </c>
      <c r="G331" s="2">
        <f>Data_preprocessing!U331</f>
        <v>43195</v>
      </c>
      <c r="H331" t="str">
        <f>Data_preprocessing!V331</f>
        <v>A</v>
      </c>
      <c r="I331" t="str">
        <f>Data_preprocessing!Y331</f>
        <v>email@example.com</v>
      </c>
      <c r="J331" t="str">
        <f>Data_preprocessing!Z331</f>
        <v>123-456-7890</v>
      </c>
      <c r="K331">
        <f t="shared" ca="1" si="15"/>
        <v>7</v>
      </c>
      <c r="L331" t="str">
        <f t="shared" si="16"/>
        <v>Low</v>
      </c>
      <c r="M331" t="str">
        <f t="shared" si="17"/>
        <v>Excellent</v>
      </c>
    </row>
    <row r="332" spans="1:13" x14ac:dyDescent="0.25">
      <c r="A332" t="str">
        <f>Data_preprocessing!M332</f>
        <v>Frank</v>
      </c>
      <c r="B332">
        <f>Data_preprocessing!O332</f>
        <v>35</v>
      </c>
      <c r="C332">
        <f>Data_preprocessing!Q332</f>
        <v>65000</v>
      </c>
      <c r="D332" t="str">
        <f>Data_preprocessing!R332</f>
        <v>Female</v>
      </c>
      <c r="E332" t="str">
        <f>Data_preprocessing!S332</f>
        <v>Sales</v>
      </c>
      <c r="F332" t="str">
        <f>Data_preprocessing!T332</f>
        <v>Clerk</v>
      </c>
      <c r="G332" s="2">
        <f>Data_preprocessing!U332</f>
        <v>43800</v>
      </c>
      <c r="H332" t="str">
        <f>Data_preprocessing!V332</f>
        <v>F</v>
      </c>
      <c r="I332" t="str">
        <f>Data_preprocessing!Y332</f>
        <v>Email not provided</v>
      </c>
      <c r="J332" t="str">
        <f>Data_preprocessing!Z332</f>
        <v>123-456-7890</v>
      </c>
      <c r="K332">
        <f t="shared" ca="1" si="15"/>
        <v>6</v>
      </c>
      <c r="L332" t="str">
        <f t="shared" si="16"/>
        <v>High</v>
      </c>
      <c r="M332" t="str">
        <f t="shared" si="17"/>
        <v>Poor</v>
      </c>
    </row>
    <row r="333" spans="1:13" x14ac:dyDescent="0.25">
      <c r="A333" t="str">
        <f>Data_preprocessing!M333</f>
        <v>Grace</v>
      </c>
      <c r="B333">
        <f>Data_preprocessing!O333</f>
        <v>30</v>
      </c>
      <c r="C333">
        <f>Data_preprocessing!Q333</f>
        <v>50000</v>
      </c>
      <c r="D333" t="str">
        <f>Data_preprocessing!R333</f>
        <v>Male</v>
      </c>
      <c r="E333" t="str">
        <f>Data_preprocessing!S333</f>
        <v>IT</v>
      </c>
      <c r="F333" t="str">
        <f>Data_preprocessing!T333</f>
        <v>Analyst</v>
      </c>
      <c r="G333" s="2">
        <f>Data_preprocessing!U333</f>
        <v>43800</v>
      </c>
      <c r="H333" t="str">
        <f>Data_preprocessing!V333</f>
        <v>D</v>
      </c>
      <c r="I333" t="str">
        <f>Data_preprocessing!Y333</f>
        <v>Email not provided</v>
      </c>
      <c r="J333" t="str">
        <f>Data_preprocessing!Z333</f>
        <v>123-456-7890</v>
      </c>
      <c r="K333">
        <f t="shared" ca="1" si="15"/>
        <v>6</v>
      </c>
      <c r="L333" t="str">
        <f t="shared" si="16"/>
        <v>Low</v>
      </c>
      <c r="M333" t="str">
        <f t="shared" si="17"/>
        <v>Below Average</v>
      </c>
    </row>
    <row r="334" spans="1:13" x14ac:dyDescent="0.25">
      <c r="A334" t="str">
        <f>Data_preprocessing!M334</f>
        <v>Jack</v>
      </c>
      <c r="B334">
        <f>Data_preprocessing!O334</f>
        <v>25</v>
      </c>
      <c r="C334">
        <f>Data_preprocessing!Q334</f>
        <v>55000</v>
      </c>
      <c r="D334" t="str">
        <f>Data_preprocessing!R334</f>
        <v>Other</v>
      </c>
      <c r="E334" t="str">
        <f>Data_preprocessing!S334</f>
        <v>HR</v>
      </c>
      <c r="F334" t="str">
        <f>Data_preprocessing!T334</f>
        <v>Manager</v>
      </c>
      <c r="G334" s="2">
        <f>Data_preprocessing!U334</f>
        <v>43845</v>
      </c>
      <c r="H334" t="str">
        <f>Data_preprocessing!V334</f>
        <v>F</v>
      </c>
      <c r="I334" t="str">
        <f>Data_preprocessing!Y334</f>
        <v>email@example.com</v>
      </c>
      <c r="J334" t="str">
        <f>Data_preprocessing!Z334</f>
        <v>123-456-7890</v>
      </c>
      <c r="K334">
        <f t="shared" ca="1" si="15"/>
        <v>6</v>
      </c>
      <c r="L334" t="str">
        <f t="shared" si="16"/>
        <v>Low</v>
      </c>
      <c r="M334" t="str">
        <f t="shared" si="17"/>
        <v>Poor</v>
      </c>
    </row>
    <row r="335" spans="1:13" x14ac:dyDescent="0.25">
      <c r="A335" t="str">
        <f>Data_preprocessing!M335</f>
        <v>Grace</v>
      </c>
      <c r="B335">
        <f>Data_preprocessing!O335</f>
        <v>40</v>
      </c>
      <c r="C335">
        <f>Data_preprocessing!Q335</f>
        <v>60000</v>
      </c>
      <c r="D335" t="str">
        <f>Data_preprocessing!R335</f>
        <v>Other</v>
      </c>
      <c r="E335" t="str">
        <f>Data_preprocessing!S335</f>
        <v>IT</v>
      </c>
      <c r="F335" t="str">
        <f>Data_preprocessing!T335</f>
        <v>Clerk</v>
      </c>
      <c r="G335" s="2">
        <f>Data_preprocessing!U335</f>
        <v>43195</v>
      </c>
      <c r="H335" t="str">
        <f>Data_preprocessing!V335</f>
        <v>C</v>
      </c>
      <c r="I335" t="str">
        <f>Data_preprocessing!Y335</f>
        <v>name@company.org</v>
      </c>
      <c r="J335" t="str">
        <f>Data_preprocessing!Z335</f>
        <v>555-555-5555</v>
      </c>
      <c r="K335">
        <f t="shared" ca="1" si="15"/>
        <v>7</v>
      </c>
      <c r="L335" t="str">
        <f t="shared" si="16"/>
        <v>Medium</v>
      </c>
      <c r="M335" t="str">
        <f t="shared" si="17"/>
        <v>Average</v>
      </c>
    </row>
    <row r="336" spans="1:13" x14ac:dyDescent="0.25">
      <c r="A336" t="str">
        <f>Data_preprocessing!M336</f>
        <v>Jack</v>
      </c>
      <c r="B336">
        <f>Data_preprocessing!O336</f>
        <v>30</v>
      </c>
      <c r="C336">
        <f>Data_preprocessing!Q336</f>
        <v>55000</v>
      </c>
      <c r="D336" t="str">
        <f>Data_preprocessing!R336</f>
        <v>Male</v>
      </c>
      <c r="E336" t="str">
        <f>Data_preprocessing!S336</f>
        <v>IT</v>
      </c>
      <c r="F336" t="str">
        <f>Data_preprocessing!T336</f>
        <v>Assistant</v>
      </c>
      <c r="G336" s="2">
        <f>Data_preprocessing!U336</f>
        <v>43195</v>
      </c>
      <c r="H336" t="str">
        <f>Data_preprocessing!V336</f>
        <v>A</v>
      </c>
      <c r="I336" t="str">
        <f>Data_preprocessing!Y336</f>
        <v>name@company.org</v>
      </c>
      <c r="J336" t="str">
        <f>Data_preprocessing!Z336</f>
        <v>Phone not provided</v>
      </c>
      <c r="K336">
        <f t="shared" ca="1" si="15"/>
        <v>7</v>
      </c>
      <c r="L336" t="str">
        <f t="shared" si="16"/>
        <v>Low</v>
      </c>
      <c r="M336" t="str">
        <f t="shared" si="17"/>
        <v>Excellent</v>
      </c>
    </row>
    <row r="337" spans="1:13" x14ac:dyDescent="0.25">
      <c r="A337" t="str">
        <f>Data_preprocessing!M337</f>
        <v>Charlie</v>
      </c>
      <c r="B337">
        <f>Data_preprocessing!O337</f>
        <v>30</v>
      </c>
      <c r="C337">
        <f>Data_preprocessing!Q337</f>
        <v>70000</v>
      </c>
      <c r="D337" t="str">
        <f>Data_preprocessing!R337</f>
        <v>Male</v>
      </c>
      <c r="E337" t="str">
        <f>Data_preprocessing!S337</f>
        <v>Sales</v>
      </c>
      <c r="F337" t="str">
        <f>Data_preprocessing!T337</f>
        <v>Director</v>
      </c>
      <c r="G337" s="2">
        <f>Data_preprocessing!U337</f>
        <v>43881</v>
      </c>
      <c r="H337" t="str">
        <f>Data_preprocessing!V337</f>
        <v>D</v>
      </c>
      <c r="I337" t="str">
        <f>Data_preprocessing!Y337</f>
        <v>user@domain.com</v>
      </c>
      <c r="J337" t="str">
        <f>Data_preprocessing!Z337</f>
        <v>Phone not provided</v>
      </c>
      <c r="K337">
        <f t="shared" ca="1" si="15"/>
        <v>5</v>
      </c>
      <c r="L337" t="str">
        <f t="shared" si="16"/>
        <v>High</v>
      </c>
      <c r="M337" t="str">
        <f t="shared" si="17"/>
        <v>Below Average</v>
      </c>
    </row>
    <row r="338" spans="1:13" x14ac:dyDescent="0.25">
      <c r="A338" t="str">
        <f>Data_preprocessing!M338</f>
        <v>Bob</v>
      </c>
      <c r="B338">
        <f>Data_preprocessing!O338</f>
        <v>25</v>
      </c>
      <c r="C338">
        <f>Data_preprocessing!Q338</f>
        <v>60000</v>
      </c>
      <c r="D338" t="str">
        <f>Data_preprocessing!R338</f>
        <v>Female</v>
      </c>
      <c r="E338" t="str">
        <f>Data_preprocessing!S338</f>
        <v>Marketing</v>
      </c>
      <c r="F338" t="str">
        <f>Data_preprocessing!T338</f>
        <v>Analyst</v>
      </c>
      <c r="G338" s="2">
        <f>Data_preprocessing!U338</f>
        <v>43881</v>
      </c>
      <c r="H338" t="str">
        <f>Data_preprocessing!V338</f>
        <v>A</v>
      </c>
      <c r="I338" t="str">
        <f>Data_preprocessing!Y338</f>
        <v>Email not provided</v>
      </c>
      <c r="J338" t="str">
        <f>Data_preprocessing!Z338</f>
        <v>123-456-7890</v>
      </c>
      <c r="K338">
        <f t="shared" ca="1" si="15"/>
        <v>5</v>
      </c>
      <c r="L338" t="str">
        <f t="shared" si="16"/>
        <v>Medium</v>
      </c>
      <c r="M338" t="str">
        <f t="shared" si="17"/>
        <v>Excellent</v>
      </c>
    </row>
    <row r="339" spans="1:13" x14ac:dyDescent="0.25">
      <c r="A339" t="str">
        <f>Data_preprocessing!M339</f>
        <v>Ivy</v>
      </c>
      <c r="B339">
        <f>Data_preprocessing!O339</f>
        <v>30</v>
      </c>
      <c r="C339">
        <f>Data_preprocessing!Q339</f>
        <v>60000</v>
      </c>
      <c r="D339" t="str">
        <f>Data_preprocessing!R339</f>
        <v>Other</v>
      </c>
      <c r="E339" t="str">
        <f>Data_preprocessing!S339</f>
        <v>HR</v>
      </c>
      <c r="F339" t="str">
        <f>Data_preprocessing!T339</f>
        <v>Director</v>
      </c>
      <c r="G339" s="2">
        <f>Data_preprocessing!U339</f>
        <v>43881</v>
      </c>
      <c r="H339" t="str">
        <f>Data_preprocessing!V339</f>
        <v>C</v>
      </c>
      <c r="I339" t="str">
        <f>Data_preprocessing!Y339</f>
        <v>name@company.org</v>
      </c>
      <c r="J339" t="str">
        <f>Data_preprocessing!Z339</f>
        <v>555-555-5555</v>
      </c>
      <c r="K339">
        <f t="shared" ca="1" si="15"/>
        <v>5</v>
      </c>
      <c r="L339" t="str">
        <f t="shared" si="16"/>
        <v>Medium</v>
      </c>
      <c r="M339" t="str">
        <f t="shared" si="17"/>
        <v>Average</v>
      </c>
    </row>
    <row r="340" spans="1:13" x14ac:dyDescent="0.25">
      <c r="A340" t="str">
        <f>Data_preprocessing!M340</f>
        <v>Hannah</v>
      </c>
      <c r="B340">
        <f>Data_preprocessing!O340</f>
        <v>40</v>
      </c>
      <c r="C340">
        <f>Data_preprocessing!Q340</f>
        <v>55000</v>
      </c>
      <c r="D340" t="str">
        <f>Data_preprocessing!R340</f>
        <v>Other</v>
      </c>
      <c r="E340" t="str">
        <f>Data_preprocessing!S340</f>
        <v>Sales</v>
      </c>
      <c r="F340" t="str">
        <f>Data_preprocessing!T340</f>
        <v>Assistant</v>
      </c>
      <c r="G340" s="2">
        <f>Data_preprocessing!U340</f>
        <v>43549</v>
      </c>
      <c r="H340" t="str">
        <f>Data_preprocessing!V340</f>
        <v>A</v>
      </c>
      <c r="I340" t="str">
        <f>Data_preprocessing!Y340</f>
        <v>name@company.org</v>
      </c>
      <c r="J340" t="str">
        <f>Data_preprocessing!Z340</f>
        <v>555-555-5555</v>
      </c>
      <c r="K340">
        <f t="shared" ca="1" si="15"/>
        <v>6</v>
      </c>
      <c r="L340" t="str">
        <f t="shared" si="16"/>
        <v>Low</v>
      </c>
      <c r="M340" t="str">
        <f t="shared" si="17"/>
        <v>Excellent</v>
      </c>
    </row>
    <row r="341" spans="1:13" x14ac:dyDescent="0.25">
      <c r="A341" t="str">
        <f>Data_preprocessing!M341</f>
        <v>Jack</v>
      </c>
      <c r="B341">
        <f>Data_preprocessing!O341</f>
        <v>50</v>
      </c>
      <c r="C341">
        <f>Data_preprocessing!Q341</f>
        <v>60000</v>
      </c>
      <c r="D341" t="str">
        <f>Data_preprocessing!R341</f>
        <v>Male</v>
      </c>
      <c r="E341" t="str">
        <f>Data_preprocessing!S341</f>
        <v>IT</v>
      </c>
      <c r="F341" t="str">
        <f>Data_preprocessing!T341</f>
        <v>Clerk</v>
      </c>
      <c r="G341" s="2">
        <f>Data_preprocessing!U341</f>
        <v>43881</v>
      </c>
      <c r="H341" t="str">
        <f>Data_preprocessing!V341</f>
        <v>A</v>
      </c>
      <c r="I341" t="str">
        <f>Data_preprocessing!Y341</f>
        <v>Email not provided</v>
      </c>
      <c r="J341" t="str">
        <f>Data_preprocessing!Z341</f>
        <v>123-456-7890</v>
      </c>
      <c r="K341">
        <f t="shared" ca="1" si="15"/>
        <v>5</v>
      </c>
      <c r="L341" t="str">
        <f t="shared" si="16"/>
        <v>Medium</v>
      </c>
      <c r="M341" t="str">
        <f t="shared" si="17"/>
        <v>Excellent</v>
      </c>
    </row>
    <row r="342" spans="1:13" x14ac:dyDescent="0.25">
      <c r="A342" t="str">
        <f>Data_preprocessing!M342</f>
        <v>Grace</v>
      </c>
      <c r="B342">
        <f>Data_preprocessing!O342</f>
        <v>30</v>
      </c>
      <c r="C342">
        <f>Data_preprocessing!Q342</f>
        <v>60000</v>
      </c>
      <c r="D342" t="str">
        <f>Data_preprocessing!R342</f>
        <v>Other</v>
      </c>
      <c r="E342" t="str">
        <f>Data_preprocessing!S342</f>
        <v>IT</v>
      </c>
      <c r="F342" t="str">
        <f>Data_preprocessing!T342</f>
        <v>Assistant</v>
      </c>
      <c r="G342" s="2">
        <f>Data_preprocessing!U342</f>
        <v>43195</v>
      </c>
      <c r="H342" t="str">
        <f>Data_preprocessing!V342</f>
        <v>B</v>
      </c>
      <c r="I342" t="str">
        <f>Data_preprocessing!Y342</f>
        <v>Email not provided</v>
      </c>
      <c r="J342" t="str">
        <f>Data_preprocessing!Z342</f>
        <v>098-765-4321</v>
      </c>
      <c r="K342">
        <f t="shared" ca="1" si="15"/>
        <v>7</v>
      </c>
      <c r="L342" t="str">
        <f t="shared" si="16"/>
        <v>Medium</v>
      </c>
      <c r="M342" t="str">
        <f t="shared" si="17"/>
        <v>Good</v>
      </c>
    </row>
    <row r="343" spans="1:13" x14ac:dyDescent="0.25">
      <c r="A343" t="str">
        <f>Data_preprocessing!M343</f>
        <v>Ivy</v>
      </c>
      <c r="B343">
        <f>Data_preprocessing!O343</f>
        <v>50</v>
      </c>
      <c r="C343">
        <f>Data_preprocessing!Q343</f>
        <v>60000</v>
      </c>
      <c r="D343" t="str">
        <f>Data_preprocessing!R343</f>
        <v>Female</v>
      </c>
      <c r="E343" t="str">
        <f>Data_preprocessing!S343</f>
        <v>Marketing</v>
      </c>
      <c r="F343" t="str">
        <f>Data_preprocessing!T343</f>
        <v>Assistant</v>
      </c>
      <c r="G343" s="2">
        <f>Data_preprocessing!U343</f>
        <v>43549</v>
      </c>
      <c r="H343" t="str">
        <f>Data_preprocessing!V343</f>
        <v>A</v>
      </c>
      <c r="I343" t="str">
        <f>Data_preprocessing!Y343</f>
        <v>name@company.org</v>
      </c>
      <c r="J343" t="str">
        <f>Data_preprocessing!Z343</f>
        <v>123-456-7890</v>
      </c>
      <c r="K343">
        <f t="shared" ca="1" si="15"/>
        <v>6</v>
      </c>
      <c r="L343" t="str">
        <f t="shared" si="16"/>
        <v>Medium</v>
      </c>
      <c r="M343" t="str">
        <f t="shared" si="17"/>
        <v>Excellent</v>
      </c>
    </row>
    <row r="344" spans="1:13" x14ac:dyDescent="0.25">
      <c r="A344" t="str">
        <f>Data_preprocessing!M344</f>
        <v>David</v>
      </c>
      <c r="B344">
        <f>Data_preprocessing!O344</f>
        <v>40</v>
      </c>
      <c r="C344">
        <f>Data_preprocessing!Q344</f>
        <v>60000</v>
      </c>
      <c r="D344" t="str">
        <f>Data_preprocessing!R344</f>
        <v>Other</v>
      </c>
      <c r="E344" t="str">
        <f>Data_preprocessing!S344</f>
        <v>HR</v>
      </c>
      <c r="F344" t="str">
        <f>Data_preprocessing!T344</f>
        <v>Director</v>
      </c>
      <c r="G344" s="2">
        <f>Data_preprocessing!U344</f>
        <v>43800</v>
      </c>
      <c r="H344" t="str">
        <f>Data_preprocessing!V344</f>
        <v>F</v>
      </c>
      <c r="I344" t="str">
        <f>Data_preprocessing!Y344</f>
        <v>email@example.com</v>
      </c>
      <c r="J344" t="str">
        <f>Data_preprocessing!Z344</f>
        <v>098-765-4321</v>
      </c>
      <c r="K344">
        <f t="shared" ca="1" si="15"/>
        <v>6</v>
      </c>
      <c r="L344" t="str">
        <f t="shared" si="16"/>
        <v>Medium</v>
      </c>
      <c r="M344" t="str">
        <f t="shared" si="17"/>
        <v>Poor</v>
      </c>
    </row>
    <row r="345" spans="1:13" x14ac:dyDescent="0.25">
      <c r="A345" t="str">
        <f>Data_preprocessing!M345</f>
        <v>David</v>
      </c>
      <c r="B345">
        <f>Data_preprocessing!O345</f>
        <v>25</v>
      </c>
      <c r="C345">
        <f>Data_preprocessing!Q345</f>
        <v>65000</v>
      </c>
      <c r="D345" t="str">
        <f>Data_preprocessing!R345</f>
        <v>Male</v>
      </c>
      <c r="E345" t="str">
        <f>Data_preprocessing!S345</f>
        <v>HR</v>
      </c>
      <c r="F345" t="str">
        <f>Data_preprocessing!T345</f>
        <v>Analyst</v>
      </c>
      <c r="G345" s="2">
        <f>Data_preprocessing!U345</f>
        <v>43845</v>
      </c>
      <c r="H345" t="str">
        <f>Data_preprocessing!V345</f>
        <v>D</v>
      </c>
      <c r="I345" t="str">
        <f>Data_preprocessing!Y345</f>
        <v>user@domain.com</v>
      </c>
      <c r="J345" t="str">
        <f>Data_preprocessing!Z345</f>
        <v>123-456-7890</v>
      </c>
      <c r="K345">
        <f t="shared" ca="1" si="15"/>
        <v>6</v>
      </c>
      <c r="L345" t="str">
        <f t="shared" si="16"/>
        <v>High</v>
      </c>
      <c r="M345" t="str">
        <f t="shared" si="17"/>
        <v>Below Average</v>
      </c>
    </row>
    <row r="346" spans="1:13" x14ac:dyDescent="0.25">
      <c r="A346" t="str">
        <f>Data_preprocessing!M346</f>
        <v>Alice</v>
      </c>
      <c r="B346">
        <f>Data_preprocessing!O346</f>
        <v>35</v>
      </c>
      <c r="C346">
        <f>Data_preprocessing!Q346</f>
        <v>60000</v>
      </c>
      <c r="D346" t="str">
        <f>Data_preprocessing!R346</f>
        <v>Male</v>
      </c>
      <c r="E346" t="str">
        <f>Data_preprocessing!S346</f>
        <v>Finance</v>
      </c>
      <c r="F346" t="str">
        <f>Data_preprocessing!T346</f>
        <v>Assistant</v>
      </c>
      <c r="G346" s="2">
        <f>Data_preprocessing!U346</f>
        <v>43881</v>
      </c>
      <c r="H346" t="str">
        <f>Data_preprocessing!V346</f>
        <v>B</v>
      </c>
      <c r="I346" t="str">
        <f>Data_preprocessing!Y346</f>
        <v>name@company.org</v>
      </c>
      <c r="J346" t="str">
        <f>Data_preprocessing!Z346</f>
        <v>098-765-4321</v>
      </c>
      <c r="K346">
        <f t="shared" ca="1" si="15"/>
        <v>5</v>
      </c>
      <c r="L346" t="str">
        <f t="shared" si="16"/>
        <v>Medium</v>
      </c>
      <c r="M346" t="str">
        <f t="shared" si="17"/>
        <v>Good</v>
      </c>
    </row>
    <row r="347" spans="1:13" x14ac:dyDescent="0.25">
      <c r="A347" t="str">
        <f>Data_preprocessing!M347</f>
        <v>Hannah</v>
      </c>
      <c r="B347">
        <f>Data_preprocessing!O347</f>
        <v>30</v>
      </c>
      <c r="C347">
        <f>Data_preprocessing!Q347</f>
        <v>50000</v>
      </c>
      <c r="D347" t="str">
        <f>Data_preprocessing!R347</f>
        <v>Female</v>
      </c>
      <c r="E347" t="str">
        <f>Data_preprocessing!S347</f>
        <v>HR</v>
      </c>
      <c r="F347" t="str">
        <f>Data_preprocessing!T347</f>
        <v>Director</v>
      </c>
      <c r="G347" s="2">
        <f>Data_preprocessing!U347</f>
        <v>43800</v>
      </c>
      <c r="H347" t="str">
        <f>Data_preprocessing!V347</f>
        <v>D</v>
      </c>
      <c r="I347" t="str">
        <f>Data_preprocessing!Y347</f>
        <v>name@company.org</v>
      </c>
      <c r="J347" t="str">
        <f>Data_preprocessing!Z347</f>
        <v>098-765-4321</v>
      </c>
      <c r="K347">
        <f t="shared" ca="1" si="15"/>
        <v>6</v>
      </c>
      <c r="L347" t="str">
        <f t="shared" si="16"/>
        <v>Low</v>
      </c>
      <c r="M347" t="str">
        <f t="shared" si="17"/>
        <v>Below Average</v>
      </c>
    </row>
    <row r="348" spans="1:13" x14ac:dyDescent="0.25">
      <c r="A348" t="str">
        <f>Data_preprocessing!M348</f>
        <v>Charlie</v>
      </c>
      <c r="B348">
        <f>Data_preprocessing!O348</f>
        <v>35</v>
      </c>
      <c r="C348">
        <f>Data_preprocessing!Q348</f>
        <v>70000</v>
      </c>
      <c r="D348" t="str">
        <f>Data_preprocessing!R348</f>
        <v>Female</v>
      </c>
      <c r="E348" t="str">
        <f>Data_preprocessing!S348</f>
        <v>Marketing</v>
      </c>
      <c r="F348" t="str">
        <f>Data_preprocessing!T348</f>
        <v>Analyst</v>
      </c>
      <c r="G348" s="2">
        <f>Data_preprocessing!U348</f>
        <v>43195</v>
      </c>
      <c r="H348" t="str">
        <f>Data_preprocessing!V348</f>
        <v>D</v>
      </c>
      <c r="I348" t="str">
        <f>Data_preprocessing!Y348</f>
        <v>Email not provided</v>
      </c>
      <c r="J348" t="str">
        <f>Data_preprocessing!Z348</f>
        <v>123-456-7890</v>
      </c>
      <c r="K348">
        <f t="shared" ca="1" si="15"/>
        <v>7</v>
      </c>
      <c r="L348" t="str">
        <f t="shared" si="16"/>
        <v>High</v>
      </c>
      <c r="M348" t="str">
        <f t="shared" si="17"/>
        <v>Below Average</v>
      </c>
    </row>
    <row r="349" spans="1:13" x14ac:dyDescent="0.25">
      <c r="A349" t="str">
        <f>Data_preprocessing!M349</f>
        <v>Grace</v>
      </c>
      <c r="B349">
        <f>Data_preprocessing!O349</f>
        <v>40</v>
      </c>
      <c r="C349">
        <f>Data_preprocessing!Q349</f>
        <v>60000</v>
      </c>
      <c r="D349" t="str">
        <f>Data_preprocessing!R349</f>
        <v>Other</v>
      </c>
      <c r="E349" t="str">
        <f>Data_preprocessing!S349</f>
        <v>Finance</v>
      </c>
      <c r="F349" t="str">
        <f>Data_preprocessing!T349</f>
        <v>Clerk</v>
      </c>
      <c r="G349" s="2">
        <f>Data_preprocessing!U349</f>
        <v>43845</v>
      </c>
      <c r="H349" t="str">
        <f>Data_preprocessing!V349</f>
        <v>C</v>
      </c>
      <c r="I349" t="str">
        <f>Data_preprocessing!Y349</f>
        <v>email@example.com</v>
      </c>
      <c r="J349" t="str">
        <f>Data_preprocessing!Z349</f>
        <v>098-765-4321</v>
      </c>
      <c r="K349">
        <f t="shared" ca="1" si="15"/>
        <v>6</v>
      </c>
      <c r="L349" t="str">
        <f t="shared" si="16"/>
        <v>Medium</v>
      </c>
      <c r="M349" t="str">
        <f t="shared" si="17"/>
        <v>Average</v>
      </c>
    </row>
    <row r="350" spans="1:13" x14ac:dyDescent="0.25">
      <c r="A350" t="str">
        <f>Data_preprocessing!M350</f>
        <v>Bob</v>
      </c>
      <c r="B350">
        <f>Data_preprocessing!O350</f>
        <v>30</v>
      </c>
      <c r="C350">
        <f>Data_preprocessing!Q350</f>
        <v>55000</v>
      </c>
      <c r="D350" t="str">
        <f>Data_preprocessing!R350</f>
        <v>Other</v>
      </c>
      <c r="E350" t="str">
        <f>Data_preprocessing!S350</f>
        <v>Finance</v>
      </c>
      <c r="F350" t="str">
        <f>Data_preprocessing!T350</f>
        <v>Clerk</v>
      </c>
      <c r="G350" s="2">
        <f>Data_preprocessing!U350</f>
        <v>43800</v>
      </c>
      <c r="H350" t="str">
        <f>Data_preprocessing!V350</f>
        <v>C</v>
      </c>
      <c r="I350" t="str">
        <f>Data_preprocessing!Y350</f>
        <v>user@domain.com</v>
      </c>
      <c r="J350" t="str">
        <f>Data_preprocessing!Z350</f>
        <v>Phone not provided</v>
      </c>
      <c r="K350">
        <f t="shared" ca="1" si="15"/>
        <v>6</v>
      </c>
      <c r="L350" t="str">
        <f t="shared" si="16"/>
        <v>Low</v>
      </c>
      <c r="M350" t="str">
        <f t="shared" si="17"/>
        <v>Average</v>
      </c>
    </row>
    <row r="351" spans="1:13" x14ac:dyDescent="0.25">
      <c r="A351" t="str">
        <f>Data_preprocessing!M351</f>
        <v>Bob</v>
      </c>
      <c r="B351">
        <f>Data_preprocessing!O351</f>
        <v>50</v>
      </c>
      <c r="C351">
        <f>Data_preprocessing!Q351</f>
        <v>60000</v>
      </c>
      <c r="D351" t="str">
        <f>Data_preprocessing!R351</f>
        <v>Male</v>
      </c>
      <c r="E351" t="str">
        <f>Data_preprocessing!S351</f>
        <v>IT</v>
      </c>
      <c r="F351" t="str">
        <f>Data_preprocessing!T351</f>
        <v>Manager</v>
      </c>
      <c r="G351" s="2">
        <f>Data_preprocessing!U351</f>
        <v>43845</v>
      </c>
      <c r="H351" t="str">
        <f>Data_preprocessing!V351</f>
        <v>B</v>
      </c>
      <c r="I351" t="str">
        <f>Data_preprocessing!Y351</f>
        <v>name@company.org</v>
      </c>
      <c r="J351" t="str">
        <f>Data_preprocessing!Z351</f>
        <v>Phone not provided</v>
      </c>
      <c r="K351">
        <f t="shared" ca="1" si="15"/>
        <v>6</v>
      </c>
      <c r="L351" t="str">
        <f t="shared" si="16"/>
        <v>Medium</v>
      </c>
      <c r="M351" t="str">
        <f t="shared" si="17"/>
        <v>Good</v>
      </c>
    </row>
    <row r="352" spans="1:13" x14ac:dyDescent="0.25">
      <c r="A352" t="str">
        <f>Data_preprocessing!M352</f>
        <v>Grace</v>
      </c>
      <c r="B352">
        <f>Data_preprocessing!O352</f>
        <v>35</v>
      </c>
      <c r="C352">
        <f>Data_preprocessing!Q352</f>
        <v>55000</v>
      </c>
      <c r="D352" t="str">
        <f>Data_preprocessing!R352</f>
        <v>Female</v>
      </c>
      <c r="E352" t="str">
        <f>Data_preprocessing!S352</f>
        <v>IT</v>
      </c>
      <c r="F352" t="str">
        <f>Data_preprocessing!T352</f>
        <v>Director</v>
      </c>
      <c r="G352" s="2">
        <f>Data_preprocessing!U352</f>
        <v>43881</v>
      </c>
      <c r="H352" t="str">
        <f>Data_preprocessing!V352</f>
        <v>C</v>
      </c>
      <c r="I352" t="str">
        <f>Data_preprocessing!Y352</f>
        <v>user@domain.com</v>
      </c>
      <c r="J352" t="str">
        <f>Data_preprocessing!Z352</f>
        <v>555-555-5555</v>
      </c>
      <c r="K352">
        <f t="shared" ca="1" si="15"/>
        <v>5</v>
      </c>
      <c r="L352" t="str">
        <f t="shared" si="16"/>
        <v>Low</v>
      </c>
      <c r="M352" t="str">
        <f t="shared" si="17"/>
        <v>Average</v>
      </c>
    </row>
    <row r="353" spans="1:13" x14ac:dyDescent="0.25">
      <c r="A353" t="str">
        <f>Data_preprocessing!M353</f>
        <v>Frank</v>
      </c>
      <c r="B353">
        <f>Data_preprocessing!O353</f>
        <v>35</v>
      </c>
      <c r="C353">
        <f>Data_preprocessing!Q353</f>
        <v>60000</v>
      </c>
      <c r="D353" t="str">
        <f>Data_preprocessing!R353</f>
        <v>Female</v>
      </c>
      <c r="E353" t="str">
        <f>Data_preprocessing!S353</f>
        <v>HR</v>
      </c>
      <c r="F353" t="str">
        <f>Data_preprocessing!T353</f>
        <v>Analyst</v>
      </c>
      <c r="G353" s="2">
        <f>Data_preprocessing!U353</f>
        <v>43195</v>
      </c>
      <c r="H353" t="str">
        <f>Data_preprocessing!V353</f>
        <v>C</v>
      </c>
      <c r="I353" t="str">
        <f>Data_preprocessing!Y353</f>
        <v>Email not provided</v>
      </c>
      <c r="J353" t="str">
        <f>Data_preprocessing!Z353</f>
        <v>098-765-4321</v>
      </c>
      <c r="K353">
        <f t="shared" ca="1" si="15"/>
        <v>7</v>
      </c>
      <c r="L353" t="str">
        <f t="shared" si="16"/>
        <v>Medium</v>
      </c>
      <c r="M353" t="str">
        <f t="shared" si="17"/>
        <v>Average</v>
      </c>
    </row>
    <row r="354" spans="1:13" x14ac:dyDescent="0.25">
      <c r="A354" t="str">
        <f>Data_preprocessing!M354</f>
        <v>Charlie</v>
      </c>
      <c r="B354">
        <f>Data_preprocessing!O354</f>
        <v>30</v>
      </c>
      <c r="C354">
        <f>Data_preprocessing!Q354</f>
        <v>55000</v>
      </c>
      <c r="D354" t="str">
        <f>Data_preprocessing!R354</f>
        <v>Female</v>
      </c>
      <c r="E354" t="str">
        <f>Data_preprocessing!S354</f>
        <v>Finance</v>
      </c>
      <c r="F354" t="str">
        <f>Data_preprocessing!T354</f>
        <v>Assistant</v>
      </c>
      <c r="G354" s="2">
        <f>Data_preprocessing!U354</f>
        <v>43845</v>
      </c>
      <c r="H354" t="str">
        <f>Data_preprocessing!V354</f>
        <v>C</v>
      </c>
      <c r="I354" t="str">
        <f>Data_preprocessing!Y354</f>
        <v>name@company.org</v>
      </c>
      <c r="J354" t="str">
        <f>Data_preprocessing!Z354</f>
        <v>098-765-4321</v>
      </c>
      <c r="K354">
        <f t="shared" ca="1" si="15"/>
        <v>6</v>
      </c>
      <c r="L354" t="str">
        <f t="shared" si="16"/>
        <v>Low</v>
      </c>
      <c r="M354" t="str">
        <f t="shared" si="17"/>
        <v>Average</v>
      </c>
    </row>
    <row r="355" spans="1:13" x14ac:dyDescent="0.25">
      <c r="A355" t="str">
        <f>Data_preprocessing!M355</f>
        <v>Ivy</v>
      </c>
      <c r="B355">
        <f>Data_preprocessing!O355</f>
        <v>35</v>
      </c>
      <c r="C355">
        <f>Data_preprocessing!Q355</f>
        <v>60000</v>
      </c>
      <c r="D355" t="str">
        <f>Data_preprocessing!R355</f>
        <v>Other</v>
      </c>
      <c r="E355" t="str">
        <f>Data_preprocessing!S355</f>
        <v>IT</v>
      </c>
      <c r="F355" t="str">
        <f>Data_preprocessing!T355</f>
        <v>Clerk</v>
      </c>
      <c r="G355" s="2">
        <f>Data_preprocessing!U355</f>
        <v>43800</v>
      </c>
      <c r="H355" t="str">
        <f>Data_preprocessing!V355</f>
        <v>D</v>
      </c>
      <c r="I355" t="str">
        <f>Data_preprocessing!Y355</f>
        <v>name@company.org</v>
      </c>
      <c r="J355" t="str">
        <f>Data_preprocessing!Z355</f>
        <v>555-555-5555</v>
      </c>
      <c r="K355">
        <f t="shared" ca="1" si="15"/>
        <v>6</v>
      </c>
      <c r="L355" t="str">
        <f t="shared" si="16"/>
        <v>Medium</v>
      </c>
      <c r="M355" t="str">
        <f t="shared" si="17"/>
        <v>Below Average</v>
      </c>
    </row>
    <row r="356" spans="1:13" x14ac:dyDescent="0.25">
      <c r="A356" t="str">
        <f>Data_preprocessing!M356</f>
        <v>Jack</v>
      </c>
      <c r="B356">
        <f>Data_preprocessing!O356</f>
        <v>30</v>
      </c>
      <c r="C356">
        <f>Data_preprocessing!Q356</f>
        <v>65000</v>
      </c>
      <c r="D356" t="str">
        <f>Data_preprocessing!R356</f>
        <v>Female</v>
      </c>
      <c r="E356" t="str">
        <f>Data_preprocessing!S356</f>
        <v>Marketing</v>
      </c>
      <c r="F356" t="str">
        <f>Data_preprocessing!T356</f>
        <v>Analyst</v>
      </c>
      <c r="G356" s="2">
        <f>Data_preprocessing!U356</f>
        <v>43881</v>
      </c>
      <c r="H356" t="str">
        <f>Data_preprocessing!V356</f>
        <v>B</v>
      </c>
      <c r="I356" t="str">
        <f>Data_preprocessing!Y356</f>
        <v>Email not provided</v>
      </c>
      <c r="J356" t="str">
        <f>Data_preprocessing!Z356</f>
        <v>098-765-4321</v>
      </c>
      <c r="K356">
        <f t="shared" ca="1" si="15"/>
        <v>5</v>
      </c>
      <c r="L356" t="str">
        <f t="shared" si="16"/>
        <v>High</v>
      </c>
      <c r="M356" t="str">
        <f t="shared" si="17"/>
        <v>Good</v>
      </c>
    </row>
    <row r="357" spans="1:13" x14ac:dyDescent="0.25">
      <c r="A357" t="str">
        <f>Data_preprocessing!M357</f>
        <v>Frank</v>
      </c>
      <c r="B357">
        <f>Data_preprocessing!O357</f>
        <v>25</v>
      </c>
      <c r="C357">
        <f>Data_preprocessing!Q357</f>
        <v>55000</v>
      </c>
      <c r="D357" t="str">
        <f>Data_preprocessing!R357</f>
        <v>Male</v>
      </c>
      <c r="E357" t="str">
        <f>Data_preprocessing!S357</f>
        <v>IT</v>
      </c>
      <c r="F357" t="str">
        <f>Data_preprocessing!T357</f>
        <v>Director</v>
      </c>
      <c r="G357" s="2">
        <f>Data_preprocessing!U357</f>
        <v>43881</v>
      </c>
      <c r="H357" t="str">
        <f>Data_preprocessing!V357</f>
        <v>D</v>
      </c>
      <c r="I357" t="str">
        <f>Data_preprocessing!Y357</f>
        <v>Email not provided</v>
      </c>
      <c r="J357" t="str">
        <f>Data_preprocessing!Z357</f>
        <v>555-555-5555</v>
      </c>
      <c r="K357">
        <f t="shared" ca="1" si="15"/>
        <v>5</v>
      </c>
      <c r="L357" t="str">
        <f t="shared" si="16"/>
        <v>Low</v>
      </c>
      <c r="M357" t="str">
        <f t="shared" si="17"/>
        <v>Below Average</v>
      </c>
    </row>
    <row r="358" spans="1:13" x14ac:dyDescent="0.25">
      <c r="A358" t="str">
        <f>Data_preprocessing!M358</f>
        <v>Jack</v>
      </c>
      <c r="B358">
        <f>Data_preprocessing!O358</f>
        <v>50</v>
      </c>
      <c r="C358">
        <f>Data_preprocessing!Q358</f>
        <v>55000</v>
      </c>
      <c r="D358" t="str">
        <f>Data_preprocessing!R358</f>
        <v>Male</v>
      </c>
      <c r="E358" t="str">
        <f>Data_preprocessing!S358</f>
        <v>IT</v>
      </c>
      <c r="F358" t="str">
        <f>Data_preprocessing!T358</f>
        <v>Manager</v>
      </c>
      <c r="G358" s="2">
        <f>Data_preprocessing!U358</f>
        <v>43800</v>
      </c>
      <c r="H358" t="str">
        <f>Data_preprocessing!V358</f>
        <v>F</v>
      </c>
      <c r="I358" t="str">
        <f>Data_preprocessing!Y358</f>
        <v>name@company.org</v>
      </c>
      <c r="J358" t="str">
        <f>Data_preprocessing!Z358</f>
        <v>123-456-7890</v>
      </c>
      <c r="K358">
        <f t="shared" ca="1" si="15"/>
        <v>6</v>
      </c>
      <c r="L358" t="str">
        <f t="shared" si="16"/>
        <v>Low</v>
      </c>
      <c r="M358" t="str">
        <f t="shared" si="17"/>
        <v>Poor</v>
      </c>
    </row>
    <row r="359" spans="1:13" x14ac:dyDescent="0.25">
      <c r="A359" t="str">
        <f>Data_preprocessing!M359</f>
        <v>Jack</v>
      </c>
      <c r="B359">
        <f>Data_preprocessing!O359</f>
        <v>35</v>
      </c>
      <c r="C359">
        <f>Data_preprocessing!Q359</f>
        <v>50000</v>
      </c>
      <c r="D359" t="str">
        <f>Data_preprocessing!R359</f>
        <v>Other</v>
      </c>
      <c r="E359" t="str">
        <f>Data_preprocessing!S359</f>
        <v>Finance</v>
      </c>
      <c r="F359" t="str">
        <f>Data_preprocessing!T359</f>
        <v>Clerk</v>
      </c>
      <c r="G359" s="2">
        <f>Data_preprocessing!U359</f>
        <v>43800</v>
      </c>
      <c r="H359" t="str">
        <f>Data_preprocessing!V359</f>
        <v>D</v>
      </c>
      <c r="I359" t="str">
        <f>Data_preprocessing!Y359</f>
        <v>user@domain.com</v>
      </c>
      <c r="J359" t="str">
        <f>Data_preprocessing!Z359</f>
        <v>Phone not provided</v>
      </c>
      <c r="K359">
        <f t="shared" ca="1" si="15"/>
        <v>6</v>
      </c>
      <c r="L359" t="str">
        <f t="shared" si="16"/>
        <v>Low</v>
      </c>
      <c r="M359" t="str">
        <f t="shared" si="17"/>
        <v>Below Average</v>
      </c>
    </row>
    <row r="360" spans="1:13" x14ac:dyDescent="0.25">
      <c r="A360" t="str">
        <f>Data_preprocessing!M360</f>
        <v>Frank</v>
      </c>
      <c r="B360">
        <f>Data_preprocessing!O360</f>
        <v>35</v>
      </c>
      <c r="C360">
        <f>Data_preprocessing!Q360</f>
        <v>55000</v>
      </c>
      <c r="D360" t="str">
        <f>Data_preprocessing!R360</f>
        <v>Other</v>
      </c>
      <c r="E360" t="str">
        <f>Data_preprocessing!S360</f>
        <v>Finance</v>
      </c>
      <c r="F360" t="str">
        <f>Data_preprocessing!T360</f>
        <v>Analyst</v>
      </c>
      <c r="G360" s="2">
        <f>Data_preprocessing!U360</f>
        <v>43845</v>
      </c>
      <c r="H360" t="str">
        <f>Data_preprocessing!V360</f>
        <v>F</v>
      </c>
      <c r="I360" t="str">
        <f>Data_preprocessing!Y360</f>
        <v>email@example.com</v>
      </c>
      <c r="J360" t="str">
        <f>Data_preprocessing!Z360</f>
        <v>Phone not provided</v>
      </c>
      <c r="K360">
        <f t="shared" ca="1" si="15"/>
        <v>6</v>
      </c>
      <c r="L360" t="str">
        <f t="shared" si="16"/>
        <v>Low</v>
      </c>
      <c r="M360" t="str">
        <f t="shared" si="17"/>
        <v>Poor</v>
      </c>
    </row>
    <row r="361" spans="1:13" x14ac:dyDescent="0.25">
      <c r="A361" t="str">
        <f>Data_preprocessing!M361</f>
        <v>Alice</v>
      </c>
      <c r="B361">
        <f>Data_preprocessing!O361</f>
        <v>35</v>
      </c>
      <c r="C361">
        <f>Data_preprocessing!Q361</f>
        <v>50000</v>
      </c>
      <c r="D361" t="str">
        <f>Data_preprocessing!R361</f>
        <v>Female</v>
      </c>
      <c r="E361" t="str">
        <f>Data_preprocessing!S361</f>
        <v>Sales</v>
      </c>
      <c r="F361" t="str">
        <f>Data_preprocessing!T361</f>
        <v>Analyst</v>
      </c>
      <c r="G361" s="2">
        <f>Data_preprocessing!U361</f>
        <v>43549</v>
      </c>
      <c r="H361" t="str">
        <f>Data_preprocessing!V361</f>
        <v>A</v>
      </c>
      <c r="I361" t="str">
        <f>Data_preprocessing!Y361</f>
        <v>user@domain.com</v>
      </c>
      <c r="J361" t="str">
        <f>Data_preprocessing!Z361</f>
        <v>Phone not provided</v>
      </c>
      <c r="K361">
        <f t="shared" ca="1" si="15"/>
        <v>6</v>
      </c>
      <c r="L361" t="str">
        <f t="shared" si="16"/>
        <v>Low</v>
      </c>
      <c r="M361" t="str">
        <f t="shared" si="17"/>
        <v>Excellent</v>
      </c>
    </row>
    <row r="362" spans="1:13" x14ac:dyDescent="0.25">
      <c r="A362" t="str">
        <f>Data_preprocessing!M362</f>
        <v>David</v>
      </c>
      <c r="B362">
        <f>Data_preprocessing!O362</f>
        <v>40</v>
      </c>
      <c r="C362">
        <f>Data_preprocessing!Q362</f>
        <v>70000</v>
      </c>
      <c r="D362" t="str">
        <f>Data_preprocessing!R362</f>
        <v>Other</v>
      </c>
      <c r="E362" t="str">
        <f>Data_preprocessing!S362</f>
        <v>Marketing</v>
      </c>
      <c r="F362" t="str">
        <f>Data_preprocessing!T362</f>
        <v>Analyst</v>
      </c>
      <c r="G362" s="2">
        <f>Data_preprocessing!U362</f>
        <v>43881</v>
      </c>
      <c r="H362" t="str">
        <f>Data_preprocessing!V362</f>
        <v>A</v>
      </c>
      <c r="I362" t="str">
        <f>Data_preprocessing!Y362</f>
        <v>Email not provided</v>
      </c>
      <c r="J362" t="str">
        <f>Data_preprocessing!Z362</f>
        <v>098-765-4321</v>
      </c>
      <c r="K362">
        <f t="shared" ca="1" si="15"/>
        <v>5</v>
      </c>
      <c r="L362" t="str">
        <f t="shared" si="16"/>
        <v>High</v>
      </c>
      <c r="M362" t="str">
        <f t="shared" si="17"/>
        <v>Excellent</v>
      </c>
    </row>
    <row r="363" spans="1:13" x14ac:dyDescent="0.25">
      <c r="A363" t="str">
        <f>Data_preprocessing!M363</f>
        <v>Jack</v>
      </c>
      <c r="B363">
        <f>Data_preprocessing!O363</f>
        <v>30</v>
      </c>
      <c r="C363">
        <f>Data_preprocessing!Q363</f>
        <v>60000</v>
      </c>
      <c r="D363" t="str">
        <f>Data_preprocessing!R363</f>
        <v>Male</v>
      </c>
      <c r="E363" t="str">
        <f>Data_preprocessing!S363</f>
        <v>Finance</v>
      </c>
      <c r="F363" t="str">
        <f>Data_preprocessing!T363</f>
        <v>Director</v>
      </c>
      <c r="G363" s="2">
        <f>Data_preprocessing!U363</f>
        <v>43845</v>
      </c>
      <c r="H363" t="str">
        <f>Data_preprocessing!V363</f>
        <v>F</v>
      </c>
      <c r="I363" t="str">
        <f>Data_preprocessing!Y363</f>
        <v>email@example.com</v>
      </c>
      <c r="J363" t="str">
        <f>Data_preprocessing!Z363</f>
        <v>Phone not provided</v>
      </c>
      <c r="K363">
        <f t="shared" ca="1" si="15"/>
        <v>6</v>
      </c>
      <c r="L363" t="str">
        <f t="shared" si="16"/>
        <v>Medium</v>
      </c>
      <c r="M363" t="str">
        <f t="shared" si="17"/>
        <v>Poor</v>
      </c>
    </row>
    <row r="364" spans="1:13" x14ac:dyDescent="0.25">
      <c r="A364" t="str">
        <f>Data_preprocessing!M364</f>
        <v>Frank</v>
      </c>
      <c r="B364">
        <f>Data_preprocessing!O364</f>
        <v>35</v>
      </c>
      <c r="C364">
        <f>Data_preprocessing!Q364</f>
        <v>50000</v>
      </c>
      <c r="D364" t="str">
        <f>Data_preprocessing!R364</f>
        <v>Female</v>
      </c>
      <c r="E364" t="str">
        <f>Data_preprocessing!S364</f>
        <v>HR</v>
      </c>
      <c r="F364" t="str">
        <f>Data_preprocessing!T364</f>
        <v>Director</v>
      </c>
      <c r="G364" s="2">
        <f>Data_preprocessing!U364</f>
        <v>43800</v>
      </c>
      <c r="H364" t="str">
        <f>Data_preprocessing!V364</f>
        <v>F</v>
      </c>
      <c r="I364" t="str">
        <f>Data_preprocessing!Y364</f>
        <v>user@domain.com</v>
      </c>
      <c r="J364" t="str">
        <f>Data_preprocessing!Z364</f>
        <v>123-456-7890</v>
      </c>
      <c r="K364">
        <f t="shared" ca="1" si="15"/>
        <v>6</v>
      </c>
      <c r="L364" t="str">
        <f t="shared" si="16"/>
        <v>Low</v>
      </c>
      <c r="M364" t="str">
        <f t="shared" si="17"/>
        <v>Poor</v>
      </c>
    </row>
    <row r="365" spans="1:13" x14ac:dyDescent="0.25">
      <c r="A365" t="str">
        <f>Data_preprocessing!M365</f>
        <v>Frank</v>
      </c>
      <c r="B365">
        <f>Data_preprocessing!O365</f>
        <v>40</v>
      </c>
      <c r="C365">
        <f>Data_preprocessing!Q365</f>
        <v>65000</v>
      </c>
      <c r="D365" t="str">
        <f>Data_preprocessing!R365</f>
        <v>Male</v>
      </c>
      <c r="E365" t="str">
        <f>Data_preprocessing!S365</f>
        <v>Marketing</v>
      </c>
      <c r="F365" t="str">
        <f>Data_preprocessing!T365</f>
        <v>Director</v>
      </c>
      <c r="G365" s="2">
        <f>Data_preprocessing!U365</f>
        <v>43845</v>
      </c>
      <c r="H365" t="str">
        <f>Data_preprocessing!V365</f>
        <v>D</v>
      </c>
      <c r="I365" t="str">
        <f>Data_preprocessing!Y365</f>
        <v>user@domain.com</v>
      </c>
      <c r="J365" t="str">
        <f>Data_preprocessing!Z365</f>
        <v>Phone not provided</v>
      </c>
      <c r="K365">
        <f t="shared" ca="1" si="15"/>
        <v>6</v>
      </c>
      <c r="L365" t="str">
        <f t="shared" si="16"/>
        <v>High</v>
      </c>
      <c r="M365" t="str">
        <f t="shared" si="17"/>
        <v>Below Average</v>
      </c>
    </row>
    <row r="366" spans="1:13" x14ac:dyDescent="0.25">
      <c r="A366" t="str">
        <f>Data_preprocessing!M366</f>
        <v>Eve</v>
      </c>
      <c r="B366">
        <f>Data_preprocessing!O366</f>
        <v>35</v>
      </c>
      <c r="C366">
        <f>Data_preprocessing!Q366</f>
        <v>60000</v>
      </c>
      <c r="D366" t="str">
        <f>Data_preprocessing!R366</f>
        <v>Female</v>
      </c>
      <c r="E366" t="str">
        <f>Data_preprocessing!S366</f>
        <v>Marketing</v>
      </c>
      <c r="F366" t="str">
        <f>Data_preprocessing!T366</f>
        <v>Assistant</v>
      </c>
      <c r="G366" s="2">
        <f>Data_preprocessing!U366</f>
        <v>43800</v>
      </c>
      <c r="H366" t="str">
        <f>Data_preprocessing!V366</f>
        <v>F</v>
      </c>
      <c r="I366" t="str">
        <f>Data_preprocessing!Y366</f>
        <v>Email not provided</v>
      </c>
      <c r="J366" t="str">
        <f>Data_preprocessing!Z366</f>
        <v>123-456-7890</v>
      </c>
      <c r="K366">
        <f t="shared" ca="1" si="15"/>
        <v>6</v>
      </c>
      <c r="L366" t="str">
        <f t="shared" si="16"/>
        <v>Medium</v>
      </c>
      <c r="M366" t="str">
        <f t="shared" si="17"/>
        <v>Poor</v>
      </c>
    </row>
    <row r="367" spans="1:13" x14ac:dyDescent="0.25">
      <c r="A367" t="str">
        <f>Data_preprocessing!M367</f>
        <v>Alice</v>
      </c>
      <c r="B367">
        <f>Data_preprocessing!O367</f>
        <v>30</v>
      </c>
      <c r="C367">
        <f>Data_preprocessing!Q367</f>
        <v>50000</v>
      </c>
      <c r="D367" t="str">
        <f>Data_preprocessing!R367</f>
        <v>Other</v>
      </c>
      <c r="E367" t="str">
        <f>Data_preprocessing!S367</f>
        <v>Finance</v>
      </c>
      <c r="F367" t="str">
        <f>Data_preprocessing!T367</f>
        <v>Analyst</v>
      </c>
      <c r="G367" s="2">
        <f>Data_preprocessing!U367</f>
        <v>43195</v>
      </c>
      <c r="H367" t="str">
        <f>Data_preprocessing!V367</f>
        <v>B</v>
      </c>
      <c r="I367" t="str">
        <f>Data_preprocessing!Y367</f>
        <v>Email not provided</v>
      </c>
      <c r="J367" t="str">
        <f>Data_preprocessing!Z367</f>
        <v>123-456-7890</v>
      </c>
      <c r="K367">
        <f t="shared" ca="1" si="15"/>
        <v>7</v>
      </c>
      <c r="L367" t="str">
        <f t="shared" si="16"/>
        <v>Low</v>
      </c>
      <c r="M367" t="str">
        <f t="shared" si="17"/>
        <v>Good</v>
      </c>
    </row>
    <row r="368" spans="1:13" x14ac:dyDescent="0.25">
      <c r="A368" t="str">
        <f>Data_preprocessing!M368</f>
        <v>Hannah</v>
      </c>
      <c r="B368">
        <f>Data_preprocessing!O368</f>
        <v>35</v>
      </c>
      <c r="C368">
        <f>Data_preprocessing!Q368</f>
        <v>60000</v>
      </c>
      <c r="D368" t="str">
        <f>Data_preprocessing!R368</f>
        <v>Female</v>
      </c>
      <c r="E368" t="str">
        <f>Data_preprocessing!S368</f>
        <v>Marketing</v>
      </c>
      <c r="F368" t="str">
        <f>Data_preprocessing!T368</f>
        <v>Clerk</v>
      </c>
      <c r="G368" s="2">
        <f>Data_preprocessing!U368</f>
        <v>43800</v>
      </c>
      <c r="H368" t="str">
        <f>Data_preprocessing!V368</f>
        <v>A</v>
      </c>
      <c r="I368" t="str">
        <f>Data_preprocessing!Y368</f>
        <v>Email not provided</v>
      </c>
      <c r="J368" t="str">
        <f>Data_preprocessing!Z368</f>
        <v>098-765-4321</v>
      </c>
      <c r="K368">
        <f t="shared" ca="1" si="15"/>
        <v>6</v>
      </c>
      <c r="L368" t="str">
        <f t="shared" si="16"/>
        <v>Medium</v>
      </c>
      <c r="M368" t="str">
        <f t="shared" si="17"/>
        <v>Excellent</v>
      </c>
    </row>
    <row r="369" spans="1:13" x14ac:dyDescent="0.25">
      <c r="A369" t="str">
        <f>Data_preprocessing!M369</f>
        <v>Eve</v>
      </c>
      <c r="B369">
        <f>Data_preprocessing!O369</f>
        <v>25</v>
      </c>
      <c r="C369">
        <f>Data_preprocessing!Q369</f>
        <v>60000</v>
      </c>
      <c r="D369" t="str">
        <f>Data_preprocessing!R369</f>
        <v>Female</v>
      </c>
      <c r="E369" t="str">
        <f>Data_preprocessing!S369</f>
        <v>Finance</v>
      </c>
      <c r="F369" t="str">
        <f>Data_preprocessing!T369</f>
        <v>Director</v>
      </c>
      <c r="G369" s="2">
        <f>Data_preprocessing!U369</f>
        <v>43800</v>
      </c>
      <c r="H369" t="str">
        <f>Data_preprocessing!V369</f>
        <v>A</v>
      </c>
      <c r="I369" t="str">
        <f>Data_preprocessing!Y369</f>
        <v>email@example.com</v>
      </c>
      <c r="J369" t="str">
        <f>Data_preprocessing!Z369</f>
        <v>123-456-7890</v>
      </c>
      <c r="K369">
        <f t="shared" ca="1" si="15"/>
        <v>6</v>
      </c>
      <c r="L369" t="str">
        <f t="shared" si="16"/>
        <v>Medium</v>
      </c>
      <c r="M369" t="str">
        <f t="shared" si="17"/>
        <v>Excellent</v>
      </c>
    </row>
    <row r="370" spans="1:13" x14ac:dyDescent="0.25">
      <c r="A370" t="str">
        <f>Data_preprocessing!M370</f>
        <v>Eve</v>
      </c>
      <c r="B370">
        <f>Data_preprocessing!O370</f>
        <v>35</v>
      </c>
      <c r="C370">
        <f>Data_preprocessing!Q370</f>
        <v>60000</v>
      </c>
      <c r="D370" t="str">
        <f>Data_preprocessing!R370</f>
        <v>Male</v>
      </c>
      <c r="E370" t="str">
        <f>Data_preprocessing!S370</f>
        <v>IT</v>
      </c>
      <c r="F370" t="str">
        <f>Data_preprocessing!T370</f>
        <v>Director</v>
      </c>
      <c r="G370" s="2">
        <f>Data_preprocessing!U370</f>
        <v>43800</v>
      </c>
      <c r="H370" t="str">
        <f>Data_preprocessing!V370</f>
        <v>F</v>
      </c>
      <c r="I370" t="str">
        <f>Data_preprocessing!Y370</f>
        <v>Email not provided</v>
      </c>
      <c r="J370" t="str">
        <f>Data_preprocessing!Z370</f>
        <v>Phone not provided</v>
      </c>
      <c r="K370">
        <f t="shared" ca="1" si="15"/>
        <v>6</v>
      </c>
      <c r="L370" t="str">
        <f t="shared" si="16"/>
        <v>Medium</v>
      </c>
      <c r="M370" t="str">
        <f t="shared" si="17"/>
        <v>Poor</v>
      </c>
    </row>
    <row r="371" spans="1:13" x14ac:dyDescent="0.25">
      <c r="A371" t="str">
        <f>Data_preprocessing!M371</f>
        <v>Grace</v>
      </c>
      <c r="B371">
        <f>Data_preprocessing!O371</f>
        <v>40</v>
      </c>
      <c r="C371">
        <f>Data_preprocessing!Q371</f>
        <v>70000</v>
      </c>
      <c r="D371" t="str">
        <f>Data_preprocessing!R371</f>
        <v>Male</v>
      </c>
      <c r="E371" t="str">
        <f>Data_preprocessing!S371</f>
        <v>Sales</v>
      </c>
      <c r="F371" t="str">
        <f>Data_preprocessing!T371</f>
        <v>Analyst</v>
      </c>
      <c r="G371" s="2">
        <f>Data_preprocessing!U371</f>
        <v>43549</v>
      </c>
      <c r="H371" t="str">
        <f>Data_preprocessing!V371</f>
        <v>C</v>
      </c>
      <c r="I371" t="str">
        <f>Data_preprocessing!Y371</f>
        <v>Email not provided</v>
      </c>
      <c r="J371" t="str">
        <f>Data_preprocessing!Z371</f>
        <v>Phone not provided</v>
      </c>
      <c r="K371">
        <f t="shared" ca="1" si="15"/>
        <v>6</v>
      </c>
      <c r="L371" t="str">
        <f t="shared" si="16"/>
        <v>High</v>
      </c>
      <c r="M371" t="str">
        <f t="shared" si="17"/>
        <v>Average</v>
      </c>
    </row>
    <row r="372" spans="1:13" x14ac:dyDescent="0.25">
      <c r="A372" t="str">
        <f>Data_preprocessing!M372</f>
        <v>David</v>
      </c>
      <c r="B372">
        <f>Data_preprocessing!O372</f>
        <v>50</v>
      </c>
      <c r="C372">
        <f>Data_preprocessing!Q372</f>
        <v>65000</v>
      </c>
      <c r="D372" t="str">
        <f>Data_preprocessing!R372</f>
        <v>Female</v>
      </c>
      <c r="E372" t="str">
        <f>Data_preprocessing!S372</f>
        <v>IT</v>
      </c>
      <c r="F372" t="str">
        <f>Data_preprocessing!T372</f>
        <v>Director</v>
      </c>
      <c r="G372" s="2">
        <f>Data_preprocessing!U372</f>
        <v>43800</v>
      </c>
      <c r="H372" t="str">
        <f>Data_preprocessing!V372</f>
        <v>C</v>
      </c>
      <c r="I372" t="str">
        <f>Data_preprocessing!Y372</f>
        <v>name@company.org</v>
      </c>
      <c r="J372" t="str">
        <f>Data_preprocessing!Z372</f>
        <v>Phone not provided</v>
      </c>
      <c r="K372">
        <f t="shared" ca="1" si="15"/>
        <v>6</v>
      </c>
      <c r="L372" t="str">
        <f t="shared" si="16"/>
        <v>High</v>
      </c>
      <c r="M372" t="str">
        <f t="shared" si="17"/>
        <v>Average</v>
      </c>
    </row>
    <row r="373" spans="1:13" x14ac:dyDescent="0.25">
      <c r="A373" t="str">
        <f>Data_preprocessing!M373</f>
        <v>Frank</v>
      </c>
      <c r="B373">
        <f>Data_preprocessing!O373</f>
        <v>25</v>
      </c>
      <c r="C373">
        <f>Data_preprocessing!Q373</f>
        <v>60000</v>
      </c>
      <c r="D373" t="str">
        <f>Data_preprocessing!R373</f>
        <v>Other</v>
      </c>
      <c r="E373" t="str">
        <f>Data_preprocessing!S373</f>
        <v>Finance</v>
      </c>
      <c r="F373" t="str">
        <f>Data_preprocessing!T373</f>
        <v>Assistant</v>
      </c>
      <c r="G373" s="2">
        <f>Data_preprocessing!U373</f>
        <v>43881</v>
      </c>
      <c r="H373" t="str">
        <f>Data_preprocessing!V373</f>
        <v>F</v>
      </c>
      <c r="I373" t="str">
        <f>Data_preprocessing!Y373</f>
        <v>name@company.org</v>
      </c>
      <c r="J373" t="str">
        <f>Data_preprocessing!Z373</f>
        <v>098-765-4321</v>
      </c>
      <c r="K373">
        <f t="shared" ca="1" si="15"/>
        <v>5</v>
      </c>
      <c r="L373" t="str">
        <f t="shared" si="16"/>
        <v>Medium</v>
      </c>
      <c r="M373" t="str">
        <f t="shared" si="17"/>
        <v>Poor</v>
      </c>
    </row>
    <row r="374" spans="1:13" x14ac:dyDescent="0.25">
      <c r="A374" t="str">
        <f>Data_preprocessing!M374</f>
        <v>David</v>
      </c>
      <c r="B374">
        <f>Data_preprocessing!O374</f>
        <v>40</v>
      </c>
      <c r="C374">
        <f>Data_preprocessing!Q374</f>
        <v>60000</v>
      </c>
      <c r="D374" t="str">
        <f>Data_preprocessing!R374</f>
        <v>Other</v>
      </c>
      <c r="E374" t="str">
        <f>Data_preprocessing!S374</f>
        <v>Finance</v>
      </c>
      <c r="F374" t="str">
        <f>Data_preprocessing!T374</f>
        <v>Assistant</v>
      </c>
      <c r="G374" s="2">
        <f>Data_preprocessing!U374</f>
        <v>43881</v>
      </c>
      <c r="H374" t="str">
        <f>Data_preprocessing!V374</f>
        <v>B</v>
      </c>
      <c r="I374" t="str">
        <f>Data_preprocessing!Y374</f>
        <v>email@example.com</v>
      </c>
      <c r="J374" t="str">
        <f>Data_preprocessing!Z374</f>
        <v>Phone not provided</v>
      </c>
      <c r="K374">
        <f t="shared" ca="1" si="15"/>
        <v>5</v>
      </c>
      <c r="L374" t="str">
        <f t="shared" si="16"/>
        <v>Medium</v>
      </c>
      <c r="M374" t="str">
        <f t="shared" si="17"/>
        <v>Good</v>
      </c>
    </row>
    <row r="375" spans="1:13" x14ac:dyDescent="0.25">
      <c r="A375" t="str">
        <f>Data_preprocessing!M375</f>
        <v>Charlie</v>
      </c>
      <c r="B375">
        <f>Data_preprocessing!O375</f>
        <v>30</v>
      </c>
      <c r="C375">
        <f>Data_preprocessing!Q375</f>
        <v>50000</v>
      </c>
      <c r="D375" t="str">
        <f>Data_preprocessing!R375</f>
        <v>Male</v>
      </c>
      <c r="E375" t="str">
        <f>Data_preprocessing!S375</f>
        <v>IT</v>
      </c>
      <c r="F375" t="str">
        <f>Data_preprocessing!T375</f>
        <v>Director</v>
      </c>
      <c r="G375" s="2">
        <f>Data_preprocessing!U375</f>
        <v>43845</v>
      </c>
      <c r="H375" t="str">
        <f>Data_preprocessing!V375</f>
        <v>C</v>
      </c>
      <c r="I375" t="str">
        <f>Data_preprocessing!Y375</f>
        <v>name@company.org</v>
      </c>
      <c r="J375" t="str">
        <f>Data_preprocessing!Z375</f>
        <v>555-555-5555</v>
      </c>
      <c r="K375">
        <f t="shared" ca="1" si="15"/>
        <v>6</v>
      </c>
      <c r="L375" t="str">
        <f t="shared" si="16"/>
        <v>Low</v>
      </c>
      <c r="M375" t="str">
        <f t="shared" si="17"/>
        <v>Average</v>
      </c>
    </row>
    <row r="376" spans="1:13" x14ac:dyDescent="0.25">
      <c r="A376" t="str">
        <f>Data_preprocessing!M376</f>
        <v>Grace</v>
      </c>
      <c r="B376">
        <f>Data_preprocessing!O376</f>
        <v>25</v>
      </c>
      <c r="C376">
        <f>Data_preprocessing!Q376</f>
        <v>60000</v>
      </c>
      <c r="D376" t="str">
        <f>Data_preprocessing!R376</f>
        <v>Other</v>
      </c>
      <c r="E376" t="str">
        <f>Data_preprocessing!S376</f>
        <v>HR</v>
      </c>
      <c r="F376" t="str">
        <f>Data_preprocessing!T376</f>
        <v>Analyst</v>
      </c>
      <c r="G376" s="2">
        <f>Data_preprocessing!U376</f>
        <v>43549</v>
      </c>
      <c r="H376" t="str">
        <f>Data_preprocessing!V376</f>
        <v>F</v>
      </c>
      <c r="I376" t="str">
        <f>Data_preprocessing!Y376</f>
        <v>Email not provided</v>
      </c>
      <c r="J376" t="str">
        <f>Data_preprocessing!Z376</f>
        <v>Phone not provided</v>
      </c>
      <c r="K376">
        <f t="shared" ca="1" si="15"/>
        <v>6</v>
      </c>
      <c r="L376" t="str">
        <f t="shared" si="16"/>
        <v>Medium</v>
      </c>
      <c r="M376" t="str">
        <f t="shared" si="17"/>
        <v>Poor</v>
      </c>
    </row>
    <row r="377" spans="1:13" x14ac:dyDescent="0.25">
      <c r="A377" t="str">
        <f>Data_preprocessing!M377</f>
        <v>Hannah</v>
      </c>
      <c r="B377">
        <f>Data_preprocessing!O377</f>
        <v>40</v>
      </c>
      <c r="C377">
        <f>Data_preprocessing!Q377</f>
        <v>50000</v>
      </c>
      <c r="D377" t="str">
        <f>Data_preprocessing!R377</f>
        <v>Male</v>
      </c>
      <c r="E377" t="str">
        <f>Data_preprocessing!S377</f>
        <v>HR</v>
      </c>
      <c r="F377" t="str">
        <f>Data_preprocessing!T377</f>
        <v>Analyst</v>
      </c>
      <c r="G377" s="2">
        <f>Data_preprocessing!U377</f>
        <v>43845</v>
      </c>
      <c r="H377" t="str">
        <f>Data_preprocessing!V377</f>
        <v>B</v>
      </c>
      <c r="I377" t="str">
        <f>Data_preprocessing!Y377</f>
        <v>email@example.com</v>
      </c>
      <c r="J377" t="str">
        <f>Data_preprocessing!Z377</f>
        <v>555-555-5555</v>
      </c>
      <c r="K377">
        <f t="shared" ca="1" si="15"/>
        <v>6</v>
      </c>
      <c r="L377" t="str">
        <f t="shared" si="16"/>
        <v>Low</v>
      </c>
      <c r="M377" t="str">
        <f t="shared" si="17"/>
        <v>Good</v>
      </c>
    </row>
    <row r="378" spans="1:13" x14ac:dyDescent="0.25">
      <c r="A378" t="str">
        <f>Data_preprocessing!M378</f>
        <v>David</v>
      </c>
      <c r="B378">
        <f>Data_preprocessing!O378</f>
        <v>30</v>
      </c>
      <c r="C378">
        <f>Data_preprocessing!Q378</f>
        <v>70000</v>
      </c>
      <c r="D378" t="str">
        <f>Data_preprocessing!R378</f>
        <v>Other</v>
      </c>
      <c r="E378" t="str">
        <f>Data_preprocessing!S378</f>
        <v>HR</v>
      </c>
      <c r="F378" t="str">
        <f>Data_preprocessing!T378</f>
        <v>Analyst</v>
      </c>
      <c r="G378" s="2">
        <f>Data_preprocessing!U378</f>
        <v>43881</v>
      </c>
      <c r="H378" t="str">
        <f>Data_preprocessing!V378</f>
        <v>B</v>
      </c>
      <c r="I378" t="str">
        <f>Data_preprocessing!Y378</f>
        <v>Email not provided</v>
      </c>
      <c r="J378" t="str">
        <f>Data_preprocessing!Z378</f>
        <v>555-555-5555</v>
      </c>
      <c r="K378">
        <f t="shared" ca="1" si="15"/>
        <v>5</v>
      </c>
      <c r="L378" t="str">
        <f t="shared" si="16"/>
        <v>High</v>
      </c>
      <c r="M378" t="str">
        <f t="shared" si="17"/>
        <v>Good</v>
      </c>
    </row>
    <row r="379" spans="1:13" x14ac:dyDescent="0.25">
      <c r="A379" t="str">
        <f>Data_preprocessing!M379</f>
        <v>Bob</v>
      </c>
      <c r="B379">
        <f>Data_preprocessing!O379</f>
        <v>35</v>
      </c>
      <c r="C379">
        <f>Data_preprocessing!Q379</f>
        <v>70000</v>
      </c>
      <c r="D379" t="str">
        <f>Data_preprocessing!R379</f>
        <v>Female</v>
      </c>
      <c r="E379" t="str">
        <f>Data_preprocessing!S379</f>
        <v>Finance</v>
      </c>
      <c r="F379" t="str">
        <f>Data_preprocessing!T379</f>
        <v>Manager</v>
      </c>
      <c r="G379" s="2">
        <f>Data_preprocessing!U379</f>
        <v>43881</v>
      </c>
      <c r="H379" t="str">
        <f>Data_preprocessing!V379</f>
        <v>D</v>
      </c>
      <c r="I379" t="str">
        <f>Data_preprocessing!Y379</f>
        <v>email@example.com</v>
      </c>
      <c r="J379" t="str">
        <f>Data_preprocessing!Z379</f>
        <v>098-765-4321</v>
      </c>
      <c r="K379">
        <f t="shared" ca="1" si="15"/>
        <v>5</v>
      </c>
      <c r="L379" t="str">
        <f t="shared" si="16"/>
        <v>High</v>
      </c>
      <c r="M379" t="str">
        <f t="shared" si="17"/>
        <v>Below Average</v>
      </c>
    </row>
    <row r="380" spans="1:13" x14ac:dyDescent="0.25">
      <c r="A380" t="str">
        <f>Data_preprocessing!M380</f>
        <v>Jack</v>
      </c>
      <c r="B380">
        <f>Data_preprocessing!O380</f>
        <v>50</v>
      </c>
      <c r="C380">
        <f>Data_preprocessing!Q380</f>
        <v>55000</v>
      </c>
      <c r="D380" t="str">
        <f>Data_preprocessing!R380</f>
        <v>Male</v>
      </c>
      <c r="E380" t="str">
        <f>Data_preprocessing!S380</f>
        <v>Marketing</v>
      </c>
      <c r="F380" t="str">
        <f>Data_preprocessing!T380</f>
        <v>Director</v>
      </c>
      <c r="G380" s="2">
        <f>Data_preprocessing!U380</f>
        <v>43195</v>
      </c>
      <c r="H380" t="str">
        <f>Data_preprocessing!V380</f>
        <v>B</v>
      </c>
      <c r="I380" t="str">
        <f>Data_preprocessing!Y380</f>
        <v>email@example.com</v>
      </c>
      <c r="J380" t="str">
        <f>Data_preprocessing!Z380</f>
        <v>123-456-7890</v>
      </c>
      <c r="K380">
        <f t="shared" ca="1" si="15"/>
        <v>7</v>
      </c>
      <c r="L380" t="str">
        <f t="shared" si="16"/>
        <v>Low</v>
      </c>
      <c r="M380" t="str">
        <f t="shared" si="17"/>
        <v>Good</v>
      </c>
    </row>
    <row r="381" spans="1:13" x14ac:dyDescent="0.25">
      <c r="A381" t="str">
        <f>Data_preprocessing!M381</f>
        <v>Charlie</v>
      </c>
      <c r="B381">
        <f>Data_preprocessing!O381</f>
        <v>30</v>
      </c>
      <c r="C381">
        <f>Data_preprocessing!Q381</f>
        <v>70000</v>
      </c>
      <c r="D381" t="str">
        <f>Data_preprocessing!R381</f>
        <v>Male</v>
      </c>
      <c r="E381" t="str">
        <f>Data_preprocessing!S381</f>
        <v>Finance</v>
      </c>
      <c r="F381" t="str">
        <f>Data_preprocessing!T381</f>
        <v>Analyst</v>
      </c>
      <c r="G381" s="2">
        <f>Data_preprocessing!U381</f>
        <v>43800</v>
      </c>
      <c r="H381" t="str">
        <f>Data_preprocessing!V381</f>
        <v>C</v>
      </c>
      <c r="I381" t="str">
        <f>Data_preprocessing!Y381</f>
        <v>user@domain.com</v>
      </c>
      <c r="J381" t="str">
        <f>Data_preprocessing!Z381</f>
        <v>555-555-5555</v>
      </c>
      <c r="K381">
        <f t="shared" ca="1" si="15"/>
        <v>6</v>
      </c>
      <c r="L381" t="str">
        <f t="shared" si="16"/>
        <v>High</v>
      </c>
      <c r="M381" t="str">
        <f t="shared" si="17"/>
        <v>Average</v>
      </c>
    </row>
    <row r="382" spans="1:13" x14ac:dyDescent="0.25">
      <c r="A382" t="str">
        <f>Data_preprocessing!M382</f>
        <v>Alice</v>
      </c>
      <c r="B382">
        <f>Data_preprocessing!O382</f>
        <v>35</v>
      </c>
      <c r="C382">
        <f>Data_preprocessing!Q382</f>
        <v>55000</v>
      </c>
      <c r="D382" t="str">
        <f>Data_preprocessing!R382</f>
        <v>Female</v>
      </c>
      <c r="E382" t="str">
        <f>Data_preprocessing!S382</f>
        <v>Marketing</v>
      </c>
      <c r="F382" t="str">
        <f>Data_preprocessing!T382</f>
        <v>Assistant</v>
      </c>
      <c r="G382" s="2">
        <f>Data_preprocessing!U382</f>
        <v>43881</v>
      </c>
      <c r="H382" t="str">
        <f>Data_preprocessing!V382</f>
        <v>C</v>
      </c>
      <c r="I382" t="str">
        <f>Data_preprocessing!Y382</f>
        <v>user@domain.com</v>
      </c>
      <c r="J382" t="str">
        <f>Data_preprocessing!Z382</f>
        <v>Phone not provided</v>
      </c>
      <c r="K382">
        <f t="shared" ca="1" si="15"/>
        <v>5</v>
      </c>
      <c r="L382" t="str">
        <f t="shared" si="16"/>
        <v>Low</v>
      </c>
      <c r="M382" t="str">
        <f t="shared" si="17"/>
        <v>Average</v>
      </c>
    </row>
    <row r="383" spans="1:13" x14ac:dyDescent="0.25">
      <c r="A383" t="str">
        <f>Data_preprocessing!M383</f>
        <v>Hannah</v>
      </c>
      <c r="B383">
        <f>Data_preprocessing!O383</f>
        <v>30</v>
      </c>
      <c r="C383">
        <f>Data_preprocessing!Q383</f>
        <v>65000</v>
      </c>
      <c r="D383" t="str">
        <f>Data_preprocessing!R383</f>
        <v>Male</v>
      </c>
      <c r="E383" t="str">
        <f>Data_preprocessing!S383</f>
        <v>IT</v>
      </c>
      <c r="F383" t="str">
        <f>Data_preprocessing!T383</f>
        <v>Clerk</v>
      </c>
      <c r="G383" s="2">
        <f>Data_preprocessing!U383</f>
        <v>43845</v>
      </c>
      <c r="H383" t="str">
        <f>Data_preprocessing!V383</f>
        <v>F</v>
      </c>
      <c r="I383" t="str">
        <f>Data_preprocessing!Y383</f>
        <v>email@example.com</v>
      </c>
      <c r="J383" t="str">
        <f>Data_preprocessing!Z383</f>
        <v>123-456-7890</v>
      </c>
      <c r="K383">
        <f t="shared" ca="1" si="15"/>
        <v>6</v>
      </c>
      <c r="L383" t="str">
        <f t="shared" si="16"/>
        <v>High</v>
      </c>
      <c r="M383" t="str">
        <f t="shared" si="17"/>
        <v>Poor</v>
      </c>
    </row>
    <row r="384" spans="1:13" x14ac:dyDescent="0.25">
      <c r="A384" t="str">
        <f>Data_preprocessing!M384</f>
        <v>Charlie</v>
      </c>
      <c r="B384">
        <f>Data_preprocessing!O384</f>
        <v>30</v>
      </c>
      <c r="C384">
        <f>Data_preprocessing!Q384</f>
        <v>50000</v>
      </c>
      <c r="D384" t="str">
        <f>Data_preprocessing!R384</f>
        <v>Other</v>
      </c>
      <c r="E384" t="str">
        <f>Data_preprocessing!S384</f>
        <v>Sales</v>
      </c>
      <c r="F384" t="str">
        <f>Data_preprocessing!T384</f>
        <v>Clerk</v>
      </c>
      <c r="G384" s="2">
        <f>Data_preprocessing!U384</f>
        <v>43845</v>
      </c>
      <c r="H384" t="str">
        <f>Data_preprocessing!V384</f>
        <v>F</v>
      </c>
      <c r="I384" t="str">
        <f>Data_preprocessing!Y384</f>
        <v>name@company.org</v>
      </c>
      <c r="J384" t="str">
        <f>Data_preprocessing!Z384</f>
        <v>Phone not provided</v>
      </c>
      <c r="K384">
        <f t="shared" ca="1" si="15"/>
        <v>6</v>
      </c>
      <c r="L384" t="str">
        <f t="shared" si="16"/>
        <v>Low</v>
      </c>
      <c r="M384" t="str">
        <f t="shared" si="17"/>
        <v>Poor</v>
      </c>
    </row>
    <row r="385" spans="1:13" x14ac:dyDescent="0.25">
      <c r="A385" t="str">
        <f>Data_preprocessing!M385</f>
        <v>Jack</v>
      </c>
      <c r="B385">
        <f>Data_preprocessing!O385</f>
        <v>50</v>
      </c>
      <c r="C385">
        <f>Data_preprocessing!Q385</f>
        <v>65000</v>
      </c>
      <c r="D385" t="str">
        <f>Data_preprocessing!R385</f>
        <v>Other</v>
      </c>
      <c r="E385" t="str">
        <f>Data_preprocessing!S385</f>
        <v>Marketing</v>
      </c>
      <c r="F385" t="str">
        <f>Data_preprocessing!T385</f>
        <v>Analyst</v>
      </c>
      <c r="G385" s="2">
        <f>Data_preprocessing!U385</f>
        <v>43800</v>
      </c>
      <c r="H385" t="str">
        <f>Data_preprocessing!V385</f>
        <v>B</v>
      </c>
      <c r="I385" t="str">
        <f>Data_preprocessing!Y385</f>
        <v>user@domain.com</v>
      </c>
      <c r="J385" t="str">
        <f>Data_preprocessing!Z385</f>
        <v>Phone not provided</v>
      </c>
      <c r="K385">
        <f t="shared" ca="1" si="15"/>
        <v>6</v>
      </c>
      <c r="L385" t="str">
        <f t="shared" si="16"/>
        <v>High</v>
      </c>
      <c r="M385" t="str">
        <f t="shared" si="17"/>
        <v>Good</v>
      </c>
    </row>
    <row r="386" spans="1:13" x14ac:dyDescent="0.25">
      <c r="A386" t="str">
        <f>Data_preprocessing!M386</f>
        <v>Grace</v>
      </c>
      <c r="B386">
        <f>Data_preprocessing!O386</f>
        <v>35</v>
      </c>
      <c r="C386">
        <f>Data_preprocessing!Q386</f>
        <v>70000</v>
      </c>
      <c r="D386" t="str">
        <f>Data_preprocessing!R386</f>
        <v>Male</v>
      </c>
      <c r="E386" t="str">
        <f>Data_preprocessing!S386</f>
        <v>HR</v>
      </c>
      <c r="F386" t="str">
        <f>Data_preprocessing!T386</f>
        <v>Clerk</v>
      </c>
      <c r="G386" s="2">
        <f>Data_preprocessing!U386</f>
        <v>43800</v>
      </c>
      <c r="H386" t="str">
        <f>Data_preprocessing!V386</f>
        <v>A</v>
      </c>
      <c r="I386" t="str">
        <f>Data_preprocessing!Y386</f>
        <v>Email not provided</v>
      </c>
      <c r="J386" t="str">
        <f>Data_preprocessing!Z386</f>
        <v>123-456-7890</v>
      </c>
      <c r="K386">
        <f t="shared" ref="K386:K449" ca="1" si="18">DATEDIF(G386,TODAY(),"Y")</f>
        <v>6</v>
      </c>
      <c r="L386" t="str">
        <f t="shared" ref="L386:L449" si="19">IF(C386&lt;60000,"Low",IF(C386&lt;65000,"Medium","High"))</f>
        <v>High</v>
      </c>
      <c r="M386" t="str">
        <f t="shared" si="17"/>
        <v>Excellent</v>
      </c>
    </row>
    <row r="387" spans="1:13" x14ac:dyDescent="0.25">
      <c r="A387" t="str">
        <f>Data_preprocessing!M387</f>
        <v>Jack</v>
      </c>
      <c r="B387">
        <f>Data_preprocessing!O387</f>
        <v>40</v>
      </c>
      <c r="C387">
        <f>Data_preprocessing!Q387</f>
        <v>65000</v>
      </c>
      <c r="D387" t="str">
        <f>Data_preprocessing!R387</f>
        <v>Other</v>
      </c>
      <c r="E387" t="str">
        <f>Data_preprocessing!S387</f>
        <v>Finance</v>
      </c>
      <c r="F387" t="str">
        <f>Data_preprocessing!T387</f>
        <v>Clerk</v>
      </c>
      <c r="G387" s="2">
        <f>Data_preprocessing!U387</f>
        <v>43195</v>
      </c>
      <c r="H387" t="str">
        <f>Data_preprocessing!V387</f>
        <v>D</v>
      </c>
      <c r="I387" t="str">
        <f>Data_preprocessing!Y387</f>
        <v>Email not provided</v>
      </c>
      <c r="J387" t="str">
        <f>Data_preprocessing!Z387</f>
        <v>123-456-7890</v>
      </c>
      <c r="K387">
        <f t="shared" ca="1" si="18"/>
        <v>7</v>
      </c>
      <c r="L387" t="str">
        <f t="shared" si="19"/>
        <v>High</v>
      </c>
      <c r="M387" t="str">
        <f t="shared" ref="M387:M450" si="20">IF(H387="A","Excellent",IF(H387="B","Good",IF(H387="C","Average",IF(H387="D","Below Average","Poor"))))</f>
        <v>Below Average</v>
      </c>
    </row>
    <row r="388" spans="1:13" x14ac:dyDescent="0.25">
      <c r="A388" t="str">
        <f>Data_preprocessing!M388</f>
        <v>Eve</v>
      </c>
      <c r="B388">
        <f>Data_preprocessing!O388</f>
        <v>40</v>
      </c>
      <c r="C388">
        <f>Data_preprocessing!Q388</f>
        <v>65000</v>
      </c>
      <c r="D388" t="str">
        <f>Data_preprocessing!R388</f>
        <v>Male</v>
      </c>
      <c r="E388" t="str">
        <f>Data_preprocessing!S388</f>
        <v>IT</v>
      </c>
      <c r="F388" t="str">
        <f>Data_preprocessing!T388</f>
        <v>Manager</v>
      </c>
      <c r="G388" s="2">
        <f>Data_preprocessing!U388</f>
        <v>43549</v>
      </c>
      <c r="H388" t="str">
        <f>Data_preprocessing!V388</f>
        <v>A</v>
      </c>
      <c r="I388" t="str">
        <f>Data_preprocessing!Y388</f>
        <v>user@domain.com</v>
      </c>
      <c r="J388" t="str">
        <f>Data_preprocessing!Z388</f>
        <v>Phone not provided</v>
      </c>
      <c r="K388">
        <f t="shared" ca="1" si="18"/>
        <v>6</v>
      </c>
      <c r="L388" t="str">
        <f t="shared" si="19"/>
        <v>High</v>
      </c>
      <c r="M388" t="str">
        <f t="shared" si="20"/>
        <v>Excellent</v>
      </c>
    </row>
    <row r="389" spans="1:13" x14ac:dyDescent="0.25">
      <c r="A389" t="str">
        <f>Data_preprocessing!M389</f>
        <v>Jack</v>
      </c>
      <c r="B389">
        <f>Data_preprocessing!O389</f>
        <v>30</v>
      </c>
      <c r="C389">
        <f>Data_preprocessing!Q389</f>
        <v>65000</v>
      </c>
      <c r="D389" t="str">
        <f>Data_preprocessing!R389</f>
        <v>Female</v>
      </c>
      <c r="E389" t="str">
        <f>Data_preprocessing!S389</f>
        <v>HR</v>
      </c>
      <c r="F389" t="str">
        <f>Data_preprocessing!T389</f>
        <v>Assistant</v>
      </c>
      <c r="G389" s="2">
        <f>Data_preprocessing!U389</f>
        <v>43845</v>
      </c>
      <c r="H389" t="str">
        <f>Data_preprocessing!V389</f>
        <v>B</v>
      </c>
      <c r="I389" t="str">
        <f>Data_preprocessing!Y389</f>
        <v>email@example.com</v>
      </c>
      <c r="J389" t="str">
        <f>Data_preprocessing!Z389</f>
        <v>098-765-4321</v>
      </c>
      <c r="K389">
        <f t="shared" ca="1" si="18"/>
        <v>6</v>
      </c>
      <c r="L389" t="str">
        <f t="shared" si="19"/>
        <v>High</v>
      </c>
      <c r="M389" t="str">
        <f t="shared" si="20"/>
        <v>Good</v>
      </c>
    </row>
    <row r="390" spans="1:13" x14ac:dyDescent="0.25">
      <c r="A390" t="str">
        <f>Data_preprocessing!M390</f>
        <v>Eve</v>
      </c>
      <c r="B390">
        <f>Data_preprocessing!O390</f>
        <v>35</v>
      </c>
      <c r="C390">
        <f>Data_preprocessing!Q390</f>
        <v>70000</v>
      </c>
      <c r="D390" t="str">
        <f>Data_preprocessing!R390</f>
        <v>Male</v>
      </c>
      <c r="E390" t="str">
        <f>Data_preprocessing!S390</f>
        <v>IT</v>
      </c>
      <c r="F390" t="str">
        <f>Data_preprocessing!T390</f>
        <v>Assistant</v>
      </c>
      <c r="G390" s="2">
        <f>Data_preprocessing!U390</f>
        <v>43800</v>
      </c>
      <c r="H390" t="str">
        <f>Data_preprocessing!V390</f>
        <v>B</v>
      </c>
      <c r="I390" t="str">
        <f>Data_preprocessing!Y390</f>
        <v>name@company.org</v>
      </c>
      <c r="J390" t="str">
        <f>Data_preprocessing!Z390</f>
        <v>Phone not provided</v>
      </c>
      <c r="K390">
        <f t="shared" ca="1" si="18"/>
        <v>6</v>
      </c>
      <c r="L390" t="str">
        <f t="shared" si="19"/>
        <v>High</v>
      </c>
      <c r="M390" t="str">
        <f t="shared" si="20"/>
        <v>Good</v>
      </c>
    </row>
    <row r="391" spans="1:13" x14ac:dyDescent="0.25">
      <c r="A391" t="str">
        <f>Data_preprocessing!M391</f>
        <v>Grace</v>
      </c>
      <c r="B391">
        <f>Data_preprocessing!O391</f>
        <v>35</v>
      </c>
      <c r="C391">
        <f>Data_preprocessing!Q391</f>
        <v>60000</v>
      </c>
      <c r="D391" t="str">
        <f>Data_preprocessing!R391</f>
        <v>Female</v>
      </c>
      <c r="E391" t="str">
        <f>Data_preprocessing!S391</f>
        <v>Sales</v>
      </c>
      <c r="F391" t="str">
        <f>Data_preprocessing!T391</f>
        <v>Manager</v>
      </c>
      <c r="G391" s="2">
        <f>Data_preprocessing!U391</f>
        <v>43845</v>
      </c>
      <c r="H391" t="str">
        <f>Data_preprocessing!V391</f>
        <v>A</v>
      </c>
      <c r="I391" t="str">
        <f>Data_preprocessing!Y391</f>
        <v>Email not provided</v>
      </c>
      <c r="J391" t="str">
        <f>Data_preprocessing!Z391</f>
        <v>Phone not provided</v>
      </c>
      <c r="K391">
        <f t="shared" ca="1" si="18"/>
        <v>6</v>
      </c>
      <c r="L391" t="str">
        <f t="shared" si="19"/>
        <v>Medium</v>
      </c>
      <c r="M391" t="str">
        <f t="shared" si="20"/>
        <v>Excellent</v>
      </c>
    </row>
    <row r="392" spans="1:13" x14ac:dyDescent="0.25">
      <c r="A392" t="str">
        <f>Data_preprocessing!M392</f>
        <v>Ivy</v>
      </c>
      <c r="B392">
        <f>Data_preprocessing!O392</f>
        <v>50</v>
      </c>
      <c r="C392">
        <f>Data_preprocessing!Q392</f>
        <v>65000</v>
      </c>
      <c r="D392" t="str">
        <f>Data_preprocessing!R392</f>
        <v>Other</v>
      </c>
      <c r="E392" t="str">
        <f>Data_preprocessing!S392</f>
        <v>Finance</v>
      </c>
      <c r="F392" t="str">
        <f>Data_preprocessing!T392</f>
        <v>Manager</v>
      </c>
      <c r="G392" s="2">
        <f>Data_preprocessing!U392</f>
        <v>43800</v>
      </c>
      <c r="H392" t="str">
        <f>Data_preprocessing!V392</f>
        <v>D</v>
      </c>
      <c r="I392" t="str">
        <f>Data_preprocessing!Y392</f>
        <v>user@domain.com</v>
      </c>
      <c r="J392" t="str">
        <f>Data_preprocessing!Z392</f>
        <v>098-765-4321</v>
      </c>
      <c r="K392">
        <f t="shared" ca="1" si="18"/>
        <v>6</v>
      </c>
      <c r="L392" t="str">
        <f t="shared" si="19"/>
        <v>High</v>
      </c>
      <c r="M392" t="str">
        <f t="shared" si="20"/>
        <v>Below Average</v>
      </c>
    </row>
    <row r="393" spans="1:13" x14ac:dyDescent="0.25">
      <c r="A393" t="str">
        <f>Data_preprocessing!M393</f>
        <v>Eve</v>
      </c>
      <c r="B393">
        <f>Data_preprocessing!O393</f>
        <v>35</v>
      </c>
      <c r="C393">
        <f>Data_preprocessing!Q393</f>
        <v>55000</v>
      </c>
      <c r="D393" t="str">
        <f>Data_preprocessing!R393</f>
        <v>Female</v>
      </c>
      <c r="E393" t="str">
        <f>Data_preprocessing!S393</f>
        <v>Finance</v>
      </c>
      <c r="F393" t="str">
        <f>Data_preprocessing!T393</f>
        <v>Clerk</v>
      </c>
      <c r="G393" s="2">
        <f>Data_preprocessing!U393</f>
        <v>43881</v>
      </c>
      <c r="H393" t="str">
        <f>Data_preprocessing!V393</f>
        <v>A</v>
      </c>
      <c r="I393" t="str">
        <f>Data_preprocessing!Y393</f>
        <v>name@company.org</v>
      </c>
      <c r="J393" t="str">
        <f>Data_preprocessing!Z393</f>
        <v>123-456-7890</v>
      </c>
      <c r="K393">
        <f t="shared" ca="1" si="18"/>
        <v>5</v>
      </c>
      <c r="L393" t="str">
        <f t="shared" si="19"/>
        <v>Low</v>
      </c>
      <c r="M393" t="str">
        <f t="shared" si="20"/>
        <v>Excellent</v>
      </c>
    </row>
    <row r="394" spans="1:13" x14ac:dyDescent="0.25">
      <c r="A394" t="str">
        <f>Data_preprocessing!M394</f>
        <v>Alice</v>
      </c>
      <c r="B394">
        <f>Data_preprocessing!O394</f>
        <v>40</v>
      </c>
      <c r="C394">
        <f>Data_preprocessing!Q394</f>
        <v>70000</v>
      </c>
      <c r="D394" t="str">
        <f>Data_preprocessing!R394</f>
        <v>Other</v>
      </c>
      <c r="E394" t="str">
        <f>Data_preprocessing!S394</f>
        <v>Sales</v>
      </c>
      <c r="F394" t="str">
        <f>Data_preprocessing!T394</f>
        <v>Director</v>
      </c>
      <c r="G394" s="2">
        <f>Data_preprocessing!U394</f>
        <v>43845</v>
      </c>
      <c r="H394" t="str">
        <f>Data_preprocessing!V394</f>
        <v>F</v>
      </c>
      <c r="I394" t="str">
        <f>Data_preprocessing!Y394</f>
        <v>name@company.org</v>
      </c>
      <c r="J394" t="str">
        <f>Data_preprocessing!Z394</f>
        <v>Phone not provided</v>
      </c>
      <c r="K394">
        <f t="shared" ca="1" si="18"/>
        <v>6</v>
      </c>
      <c r="L394" t="str">
        <f t="shared" si="19"/>
        <v>High</v>
      </c>
      <c r="M394" t="str">
        <f t="shared" si="20"/>
        <v>Poor</v>
      </c>
    </row>
    <row r="395" spans="1:13" x14ac:dyDescent="0.25">
      <c r="A395" t="str">
        <f>Data_preprocessing!M395</f>
        <v>Jack</v>
      </c>
      <c r="B395">
        <f>Data_preprocessing!O395</f>
        <v>50</v>
      </c>
      <c r="C395">
        <f>Data_preprocessing!Q395</f>
        <v>65000</v>
      </c>
      <c r="D395" t="str">
        <f>Data_preprocessing!R395</f>
        <v>Male</v>
      </c>
      <c r="E395" t="str">
        <f>Data_preprocessing!S395</f>
        <v>Finance</v>
      </c>
      <c r="F395" t="str">
        <f>Data_preprocessing!T395</f>
        <v>Clerk</v>
      </c>
      <c r="G395" s="2">
        <f>Data_preprocessing!U395</f>
        <v>43881</v>
      </c>
      <c r="H395" t="str">
        <f>Data_preprocessing!V395</f>
        <v>C</v>
      </c>
      <c r="I395" t="str">
        <f>Data_preprocessing!Y395</f>
        <v>name@company.org</v>
      </c>
      <c r="J395" t="str">
        <f>Data_preprocessing!Z395</f>
        <v>Phone not provided</v>
      </c>
      <c r="K395">
        <f t="shared" ca="1" si="18"/>
        <v>5</v>
      </c>
      <c r="L395" t="str">
        <f t="shared" si="19"/>
        <v>High</v>
      </c>
      <c r="M395" t="str">
        <f t="shared" si="20"/>
        <v>Average</v>
      </c>
    </row>
    <row r="396" spans="1:13" x14ac:dyDescent="0.25">
      <c r="A396" t="str">
        <f>Data_preprocessing!M396</f>
        <v>Jack</v>
      </c>
      <c r="B396">
        <f>Data_preprocessing!O396</f>
        <v>25</v>
      </c>
      <c r="C396">
        <f>Data_preprocessing!Q396</f>
        <v>60000</v>
      </c>
      <c r="D396" t="str">
        <f>Data_preprocessing!R396</f>
        <v>Other</v>
      </c>
      <c r="E396" t="str">
        <f>Data_preprocessing!S396</f>
        <v>Marketing</v>
      </c>
      <c r="F396" t="str">
        <f>Data_preprocessing!T396</f>
        <v>Manager</v>
      </c>
      <c r="G396" s="2">
        <f>Data_preprocessing!U396</f>
        <v>43845</v>
      </c>
      <c r="H396" t="str">
        <f>Data_preprocessing!V396</f>
        <v>F</v>
      </c>
      <c r="I396" t="str">
        <f>Data_preprocessing!Y396</f>
        <v>email@example.com</v>
      </c>
      <c r="J396" t="str">
        <f>Data_preprocessing!Z396</f>
        <v>Phone not provided</v>
      </c>
      <c r="K396">
        <f t="shared" ca="1" si="18"/>
        <v>6</v>
      </c>
      <c r="L396" t="str">
        <f t="shared" si="19"/>
        <v>Medium</v>
      </c>
      <c r="M396" t="str">
        <f t="shared" si="20"/>
        <v>Poor</v>
      </c>
    </row>
    <row r="397" spans="1:13" x14ac:dyDescent="0.25">
      <c r="A397" t="str">
        <f>Data_preprocessing!M397</f>
        <v>Alice</v>
      </c>
      <c r="B397">
        <f>Data_preprocessing!O397</f>
        <v>40</v>
      </c>
      <c r="C397">
        <f>Data_preprocessing!Q397</f>
        <v>70000</v>
      </c>
      <c r="D397" t="str">
        <f>Data_preprocessing!R397</f>
        <v>Male</v>
      </c>
      <c r="E397" t="str">
        <f>Data_preprocessing!S397</f>
        <v>IT</v>
      </c>
      <c r="F397" t="str">
        <f>Data_preprocessing!T397</f>
        <v>Assistant</v>
      </c>
      <c r="G397" s="2">
        <f>Data_preprocessing!U397</f>
        <v>43549</v>
      </c>
      <c r="H397" t="str">
        <f>Data_preprocessing!V397</f>
        <v>C</v>
      </c>
      <c r="I397" t="str">
        <f>Data_preprocessing!Y397</f>
        <v>Email not provided</v>
      </c>
      <c r="J397" t="str">
        <f>Data_preprocessing!Z397</f>
        <v>098-765-4321</v>
      </c>
      <c r="K397">
        <f t="shared" ca="1" si="18"/>
        <v>6</v>
      </c>
      <c r="L397" t="str">
        <f t="shared" si="19"/>
        <v>High</v>
      </c>
      <c r="M397" t="str">
        <f t="shared" si="20"/>
        <v>Average</v>
      </c>
    </row>
    <row r="398" spans="1:13" x14ac:dyDescent="0.25">
      <c r="A398" t="str">
        <f>Data_preprocessing!M398</f>
        <v>Bob</v>
      </c>
      <c r="B398">
        <f>Data_preprocessing!O398</f>
        <v>50</v>
      </c>
      <c r="C398">
        <f>Data_preprocessing!Q398</f>
        <v>60000</v>
      </c>
      <c r="D398" t="str">
        <f>Data_preprocessing!R398</f>
        <v>Male</v>
      </c>
      <c r="E398" t="str">
        <f>Data_preprocessing!S398</f>
        <v>HR</v>
      </c>
      <c r="F398" t="str">
        <f>Data_preprocessing!T398</f>
        <v>Clerk</v>
      </c>
      <c r="G398" s="2">
        <f>Data_preprocessing!U398</f>
        <v>43195</v>
      </c>
      <c r="H398" t="str">
        <f>Data_preprocessing!V398</f>
        <v>B</v>
      </c>
      <c r="I398" t="str">
        <f>Data_preprocessing!Y398</f>
        <v>name@company.org</v>
      </c>
      <c r="J398" t="str">
        <f>Data_preprocessing!Z398</f>
        <v>Phone not provided</v>
      </c>
      <c r="K398">
        <f t="shared" ca="1" si="18"/>
        <v>7</v>
      </c>
      <c r="L398" t="str">
        <f t="shared" si="19"/>
        <v>Medium</v>
      </c>
      <c r="M398" t="str">
        <f t="shared" si="20"/>
        <v>Good</v>
      </c>
    </row>
    <row r="399" spans="1:13" x14ac:dyDescent="0.25">
      <c r="A399" t="str">
        <f>Data_preprocessing!M399</f>
        <v>Frank</v>
      </c>
      <c r="B399">
        <f>Data_preprocessing!O399</f>
        <v>40</v>
      </c>
      <c r="C399">
        <f>Data_preprocessing!Q399</f>
        <v>60000</v>
      </c>
      <c r="D399" t="str">
        <f>Data_preprocessing!R399</f>
        <v>Female</v>
      </c>
      <c r="E399" t="str">
        <f>Data_preprocessing!S399</f>
        <v>Sales</v>
      </c>
      <c r="F399" t="str">
        <f>Data_preprocessing!T399</f>
        <v>Director</v>
      </c>
      <c r="G399" s="2">
        <f>Data_preprocessing!U399</f>
        <v>43881</v>
      </c>
      <c r="H399" t="str">
        <f>Data_preprocessing!V399</f>
        <v>D</v>
      </c>
      <c r="I399" t="str">
        <f>Data_preprocessing!Y399</f>
        <v>Email not provided</v>
      </c>
      <c r="J399" t="str">
        <f>Data_preprocessing!Z399</f>
        <v>098-765-4321</v>
      </c>
      <c r="K399">
        <f t="shared" ca="1" si="18"/>
        <v>5</v>
      </c>
      <c r="L399" t="str">
        <f t="shared" si="19"/>
        <v>Medium</v>
      </c>
      <c r="M399" t="str">
        <f t="shared" si="20"/>
        <v>Below Average</v>
      </c>
    </row>
    <row r="400" spans="1:13" x14ac:dyDescent="0.25">
      <c r="A400" t="str">
        <f>Data_preprocessing!M400</f>
        <v>Ivy</v>
      </c>
      <c r="B400">
        <f>Data_preprocessing!O400</f>
        <v>35</v>
      </c>
      <c r="C400">
        <f>Data_preprocessing!Q400</f>
        <v>55000</v>
      </c>
      <c r="D400" t="str">
        <f>Data_preprocessing!R400</f>
        <v>Female</v>
      </c>
      <c r="E400" t="str">
        <f>Data_preprocessing!S400</f>
        <v>Marketing</v>
      </c>
      <c r="F400" t="str">
        <f>Data_preprocessing!T400</f>
        <v>Clerk</v>
      </c>
      <c r="G400" s="2">
        <f>Data_preprocessing!U400</f>
        <v>43800</v>
      </c>
      <c r="H400" t="str">
        <f>Data_preprocessing!V400</f>
        <v>A</v>
      </c>
      <c r="I400" t="str">
        <f>Data_preprocessing!Y400</f>
        <v>user@domain.com</v>
      </c>
      <c r="J400" t="str">
        <f>Data_preprocessing!Z400</f>
        <v>123-456-7890</v>
      </c>
      <c r="K400">
        <f t="shared" ca="1" si="18"/>
        <v>6</v>
      </c>
      <c r="L400" t="str">
        <f t="shared" si="19"/>
        <v>Low</v>
      </c>
      <c r="M400" t="str">
        <f t="shared" si="20"/>
        <v>Excellent</v>
      </c>
    </row>
    <row r="401" spans="1:13" x14ac:dyDescent="0.25">
      <c r="A401" t="str">
        <f>Data_preprocessing!M401</f>
        <v>Hannah</v>
      </c>
      <c r="B401">
        <f>Data_preprocessing!O401</f>
        <v>25</v>
      </c>
      <c r="C401">
        <f>Data_preprocessing!Q401</f>
        <v>65000</v>
      </c>
      <c r="D401" t="str">
        <f>Data_preprocessing!R401</f>
        <v>Female</v>
      </c>
      <c r="E401" t="str">
        <f>Data_preprocessing!S401</f>
        <v>HR</v>
      </c>
      <c r="F401" t="str">
        <f>Data_preprocessing!T401</f>
        <v>Analyst</v>
      </c>
      <c r="G401" s="2">
        <f>Data_preprocessing!U401</f>
        <v>43549</v>
      </c>
      <c r="H401" t="str">
        <f>Data_preprocessing!V401</f>
        <v>D</v>
      </c>
      <c r="I401" t="str">
        <f>Data_preprocessing!Y401</f>
        <v>Email not provided</v>
      </c>
      <c r="J401" t="str">
        <f>Data_preprocessing!Z401</f>
        <v>098-765-4321</v>
      </c>
      <c r="K401">
        <f t="shared" ca="1" si="18"/>
        <v>6</v>
      </c>
      <c r="L401" t="str">
        <f t="shared" si="19"/>
        <v>High</v>
      </c>
      <c r="M401" t="str">
        <f t="shared" si="20"/>
        <v>Below Average</v>
      </c>
    </row>
    <row r="402" spans="1:13" x14ac:dyDescent="0.25">
      <c r="A402" t="str">
        <f>Data_preprocessing!M402</f>
        <v>Eve</v>
      </c>
      <c r="B402">
        <f>Data_preprocessing!O402</f>
        <v>35</v>
      </c>
      <c r="C402">
        <f>Data_preprocessing!Q402</f>
        <v>60000</v>
      </c>
      <c r="D402" t="str">
        <f>Data_preprocessing!R402</f>
        <v>Female</v>
      </c>
      <c r="E402" t="str">
        <f>Data_preprocessing!S402</f>
        <v>HR</v>
      </c>
      <c r="F402" t="str">
        <f>Data_preprocessing!T402</f>
        <v>Clerk</v>
      </c>
      <c r="G402" s="2">
        <f>Data_preprocessing!U402</f>
        <v>43845</v>
      </c>
      <c r="H402" t="str">
        <f>Data_preprocessing!V402</f>
        <v>A</v>
      </c>
      <c r="I402" t="str">
        <f>Data_preprocessing!Y402</f>
        <v>email@example.com</v>
      </c>
      <c r="J402" t="str">
        <f>Data_preprocessing!Z402</f>
        <v>098-765-4321</v>
      </c>
      <c r="K402">
        <f t="shared" ca="1" si="18"/>
        <v>6</v>
      </c>
      <c r="L402" t="str">
        <f t="shared" si="19"/>
        <v>Medium</v>
      </c>
      <c r="M402" t="str">
        <f t="shared" si="20"/>
        <v>Excellent</v>
      </c>
    </row>
    <row r="403" spans="1:13" x14ac:dyDescent="0.25">
      <c r="A403" t="str">
        <f>Data_preprocessing!M403</f>
        <v>Alice</v>
      </c>
      <c r="B403">
        <f>Data_preprocessing!O403</f>
        <v>25</v>
      </c>
      <c r="C403">
        <f>Data_preprocessing!Q403</f>
        <v>60000</v>
      </c>
      <c r="D403" t="str">
        <f>Data_preprocessing!R403</f>
        <v>Other</v>
      </c>
      <c r="E403" t="str">
        <f>Data_preprocessing!S403</f>
        <v>Sales</v>
      </c>
      <c r="F403" t="str">
        <f>Data_preprocessing!T403</f>
        <v>Manager</v>
      </c>
      <c r="G403" s="2">
        <f>Data_preprocessing!U403</f>
        <v>43881</v>
      </c>
      <c r="H403" t="str">
        <f>Data_preprocessing!V403</f>
        <v>F</v>
      </c>
      <c r="I403" t="str">
        <f>Data_preprocessing!Y403</f>
        <v>email@example.com</v>
      </c>
      <c r="J403" t="str">
        <f>Data_preprocessing!Z403</f>
        <v>Phone not provided</v>
      </c>
      <c r="K403">
        <f t="shared" ca="1" si="18"/>
        <v>5</v>
      </c>
      <c r="L403" t="str">
        <f t="shared" si="19"/>
        <v>Medium</v>
      </c>
      <c r="M403" t="str">
        <f t="shared" si="20"/>
        <v>Poor</v>
      </c>
    </row>
    <row r="404" spans="1:13" x14ac:dyDescent="0.25">
      <c r="A404" t="str">
        <f>Data_preprocessing!M404</f>
        <v>Grace</v>
      </c>
      <c r="B404">
        <f>Data_preprocessing!O404</f>
        <v>30</v>
      </c>
      <c r="C404">
        <f>Data_preprocessing!Q404</f>
        <v>70000</v>
      </c>
      <c r="D404" t="str">
        <f>Data_preprocessing!R404</f>
        <v>Other</v>
      </c>
      <c r="E404" t="str">
        <f>Data_preprocessing!S404</f>
        <v>Marketing</v>
      </c>
      <c r="F404" t="str">
        <f>Data_preprocessing!T404</f>
        <v>Assistant</v>
      </c>
      <c r="G404" s="2">
        <f>Data_preprocessing!U404</f>
        <v>43845</v>
      </c>
      <c r="H404" t="str">
        <f>Data_preprocessing!V404</f>
        <v>F</v>
      </c>
      <c r="I404" t="str">
        <f>Data_preprocessing!Y404</f>
        <v>Email not provided</v>
      </c>
      <c r="J404" t="str">
        <f>Data_preprocessing!Z404</f>
        <v>Phone not provided</v>
      </c>
      <c r="K404">
        <f t="shared" ca="1" si="18"/>
        <v>6</v>
      </c>
      <c r="L404" t="str">
        <f t="shared" si="19"/>
        <v>High</v>
      </c>
      <c r="M404" t="str">
        <f t="shared" si="20"/>
        <v>Poor</v>
      </c>
    </row>
    <row r="405" spans="1:13" x14ac:dyDescent="0.25">
      <c r="A405" t="str">
        <f>Data_preprocessing!M405</f>
        <v>Eve</v>
      </c>
      <c r="B405">
        <f>Data_preprocessing!O405</f>
        <v>50</v>
      </c>
      <c r="C405">
        <f>Data_preprocessing!Q405</f>
        <v>60000</v>
      </c>
      <c r="D405" t="str">
        <f>Data_preprocessing!R405</f>
        <v>Other</v>
      </c>
      <c r="E405" t="str">
        <f>Data_preprocessing!S405</f>
        <v>HR</v>
      </c>
      <c r="F405" t="str">
        <f>Data_preprocessing!T405</f>
        <v>Assistant</v>
      </c>
      <c r="G405" s="2">
        <f>Data_preprocessing!U405</f>
        <v>43845</v>
      </c>
      <c r="H405" t="str">
        <f>Data_preprocessing!V405</f>
        <v>A</v>
      </c>
      <c r="I405" t="str">
        <f>Data_preprocessing!Y405</f>
        <v>Email not provided</v>
      </c>
      <c r="J405" t="str">
        <f>Data_preprocessing!Z405</f>
        <v>Phone not provided</v>
      </c>
      <c r="K405">
        <f t="shared" ca="1" si="18"/>
        <v>6</v>
      </c>
      <c r="L405" t="str">
        <f t="shared" si="19"/>
        <v>Medium</v>
      </c>
      <c r="M405" t="str">
        <f t="shared" si="20"/>
        <v>Excellent</v>
      </c>
    </row>
    <row r="406" spans="1:13" x14ac:dyDescent="0.25">
      <c r="A406" t="str">
        <f>Data_preprocessing!M406</f>
        <v>Frank</v>
      </c>
      <c r="B406">
        <f>Data_preprocessing!O406</f>
        <v>25</v>
      </c>
      <c r="C406">
        <f>Data_preprocessing!Q406</f>
        <v>55000</v>
      </c>
      <c r="D406" t="str">
        <f>Data_preprocessing!R406</f>
        <v>Male</v>
      </c>
      <c r="E406" t="str">
        <f>Data_preprocessing!S406</f>
        <v>HR</v>
      </c>
      <c r="F406" t="str">
        <f>Data_preprocessing!T406</f>
        <v>Manager</v>
      </c>
      <c r="G406" s="2">
        <f>Data_preprocessing!U406</f>
        <v>43845</v>
      </c>
      <c r="H406" t="str">
        <f>Data_preprocessing!V406</f>
        <v>D</v>
      </c>
      <c r="I406" t="str">
        <f>Data_preprocessing!Y406</f>
        <v>email@example.com</v>
      </c>
      <c r="J406" t="str">
        <f>Data_preprocessing!Z406</f>
        <v>555-555-5555</v>
      </c>
      <c r="K406">
        <f t="shared" ca="1" si="18"/>
        <v>6</v>
      </c>
      <c r="L406" t="str">
        <f t="shared" si="19"/>
        <v>Low</v>
      </c>
      <c r="M406" t="str">
        <f t="shared" si="20"/>
        <v>Below Average</v>
      </c>
    </row>
    <row r="407" spans="1:13" x14ac:dyDescent="0.25">
      <c r="A407" t="str">
        <f>Data_preprocessing!M407</f>
        <v>Grace</v>
      </c>
      <c r="B407">
        <f>Data_preprocessing!O407</f>
        <v>35</v>
      </c>
      <c r="C407">
        <f>Data_preprocessing!Q407</f>
        <v>55000</v>
      </c>
      <c r="D407" t="str">
        <f>Data_preprocessing!R407</f>
        <v>Other</v>
      </c>
      <c r="E407" t="str">
        <f>Data_preprocessing!S407</f>
        <v>Marketing</v>
      </c>
      <c r="F407" t="str">
        <f>Data_preprocessing!T407</f>
        <v>Analyst</v>
      </c>
      <c r="G407" s="2">
        <f>Data_preprocessing!U407</f>
        <v>43195</v>
      </c>
      <c r="H407" t="str">
        <f>Data_preprocessing!V407</f>
        <v>A</v>
      </c>
      <c r="I407" t="str">
        <f>Data_preprocessing!Y407</f>
        <v>email@example.com</v>
      </c>
      <c r="J407" t="str">
        <f>Data_preprocessing!Z407</f>
        <v>098-765-4321</v>
      </c>
      <c r="K407">
        <f t="shared" ca="1" si="18"/>
        <v>7</v>
      </c>
      <c r="L407" t="str">
        <f t="shared" si="19"/>
        <v>Low</v>
      </c>
      <c r="M407" t="str">
        <f t="shared" si="20"/>
        <v>Excellent</v>
      </c>
    </row>
    <row r="408" spans="1:13" x14ac:dyDescent="0.25">
      <c r="A408" t="str">
        <f>Data_preprocessing!M408</f>
        <v>Charlie</v>
      </c>
      <c r="B408">
        <f>Data_preprocessing!O408</f>
        <v>40</v>
      </c>
      <c r="C408">
        <f>Data_preprocessing!Q408</f>
        <v>50000</v>
      </c>
      <c r="D408" t="str">
        <f>Data_preprocessing!R408</f>
        <v>Other</v>
      </c>
      <c r="E408" t="str">
        <f>Data_preprocessing!S408</f>
        <v>Finance</v>
      </c>
      <c r="F408" t="str">
        <f>Data_preprocessing!T408</f>
        <v>Manager</v>
      </c>
      <c r="G408" s="2">
        <f>Data_preprocessing!U408</f>
        <v>43195</v>
      </c>
      <c r="H408" t="str">
        <f>Data_preprocessing!V408</f>
        <v>B</v>
      </c>
      <c r="I408" t="str">
        <f>Data_preprocessing!Y408</f>
        <v>Email not provided</v>
      </c>
      <c r="J408" t="str">
        <f>Data_preprocessing!Z408</f>
        <v>555-555-5555</v>
      </c>
      <c r="K408">
        <f t="shared" ca="1" si="18"/>
        <v>7</v>
      </c>
      <c r="L408" t="str">
        <f t="shared" si="19"/>
        <v>Low</v>
      </c>
      <c r="M408" t="str">
        <f t="shared" si="20"/>
        <v>Good</v>
      </c>
    </row>
    <row r="409" spans="1:13" x14ac:dyDescent="0.25">
      <c r="A409" t="str">
        <f>Data_preprocessing!M409</f>
        <v>Jack</v>
      </c>
      <c r="B409">
        <f>Data_preprocessing!O409</f>
        <v>25</v>
      </c>
      <c r="C409">
        <f>Data_preprocessing!Q409</f>
        <v>55000</v>
      </c>
      <c r="D409" t="str">
        <f>Data_preprocessing!R409</f>
        <v>Other</v>
      </c>
      <c r="E409" t="str">
        <f>Data_preprocessing!S409</f>
        <v>HR</v>
      </c>
      <c r="F409" t="str">
        <f>Data_preprocessing!T409</f>
        <v>Clerk</v>
      </c>
      <c r="G409" s="2">
        <f>Data_preprocessing!U409</f>
        <v>43800</v>
      </c>
      <c r="H409" t="str">
        <f>Data_preprocessing!V409</f>
        <v>F</v>
      </c>
      <c r="I409" t="str">
        <f>Data_preprocessing!Y409</f>
        <v>email@example.com</v>
      </c>
      <c r="J409" t="str">
        <f>Data_preprocessing!Z409</f>
        <v>Phone not provided</v>
      </c>
      <c r="K409">
        <f t="shared" ca="1" si="18"/>
        <v>6</v>
      </c>
      <c r="L409" t="str">
        <f t="shared" si="19"/>
        <v>Low</v>
      </c>
      <c r="M409" t="str">
        <f t="shared" si="20"/>
        <v>Poor</v>
      </c>
    </row>
    <row r="410" spans="1:13" x14ac:dyDescent="0.25">
      <c r="A410" t="str">
        <f>Data_preprocessing!M410</f>
        <v>Charlie</v>
      </c>
      <c r="B410">
        <f>Data_preprocessing!O410</f>
        <v>50</v>
      </c>
      <c r="C410">
        <f>Data_preprocessing!Q410</f>
        <v>60000</v>
      </c>
      <c r="D410" t="str">
        <f>Data_preprocessing!R410</f>
        <v>Female</v>
      </c>
      <c r="E410" t="str">
        <f>Data_preprocessing!S410</f>
        <v>IT</v>
      </c>
      <c r="F410" t="str">
        <f>Data_preprocessing!T410</f>
        <v>Manager</v>
      </c>
      <c r="G410" s="2">
        <f>Data_preprocessing!U410</f>
        <v>43881</v>
      </c>
      <c r="H410" t="str">
        <f>Data_preprocessing!V410</f>
        <v>B</v>
      </c>
      <c r="I410" t="str">
        <f>Data_preprocessing!Y410</f>
        <v>Email not provided</v>
      </c>
      <c r="J410" t="str">
        <f>Data_preprocessing!Z410</f>
        <v>Phone not provided</v>
      </c>
      <c r="K410">
        <f t="shared" ca="1" si="18"/>
        <v>5</v>
      </c>
      <c r="L410" t="str">
        <f t="shared" si="19"/>
        <v>Medium</v>
      </c>
      <c r="M410" t="str">
        <f t="shared" si="20"/>
        <v>Good</v>
      </c>
    </row>
    <row r="411" spans="1:13" x14ac:dyDescent="0.25">
      <c r="A411" t="str">
        <f>Data_preprocessing!M411</f>
        <v>Eve</v>
      </c>
      <c r="B411">
        <f>Data_preprocessing!O411</f>
        <v>25</v>
      </c>
      <c r="C411">
        <f>Data_preprocessing!Q411</f>
        <v>60000</v>
      </c>
      <c r="D411" t="str">
        <f>Data_preprocessing!R411</f>
        <v>Other</v>
      </c>
      <c r="E411" t="str">
        <f>Data_preprocessing!S411</f>
        <v>Marketing</v>
      </c>
      <c r="F411" t="str">
        <f>Data_preprocessing!T411</f>
        <v>Manager</v>
      </c>
      <c r="G411" s="2">
        <f>Data_preprocessing!U411</f>
        <v>43549</v>
      </c>
      <c r="H411" t="str">
        <f>Data_preprocessing!V411</f>
        <v>F</v>
      </c>
      <c r="I411" t="str">
        <f>Data_preprocessing!Y411</f>
        <v>Email not provided</v>
      </c>
      <c r="J411" t="str">
        <f>Data_preprocessing!Z411</f>
        <v>Phone not provided</v>
      </c>
      <c r="K411">
        <f t="shared" ca="1" si="18"/>
        <v>6</v>
      </c>
      <c r="L411" t="str">
        <f t="shared" si="19"/>
        <v>Medium</v>
      </c>
      <c r="M411" t="str">
        <f t="shared" si="20"/>
        <v>Poor</v>
      </c>
    </row>
    <row r="412" spans="1:13" x14ac:dyDescent="0.25">
      <c r="A412" t="str">
        <f>Data_preprocessing!M412</f>
        <v>Frank</v>
      </c>
      <c r="B412">
        <f>Data_preprocessing!O412</f>
        <v>35</v>
      </c>
      <c r="C412">
        <f>Data_preprocessing!Q412</f>
        <v>55000</v>
      </c>
      <c r="D412" t="str">
        <f>Data_preprocessing!R412</f>
        <v>Male</v>
      </c>
      <c r="E412" t="str">
        <f>Data_preprocessing!S412</f>
        <v>HR</v>
      </c>
      <c r="F412" t="str">
        <f>Data_preprocessing!T412</f>
        <v>Analyst</v>
      </c>
      <c r="G412" s="2">
        <f>Data_preprocessing!U412</f>
        <v>43549</v>
      </c>
      <c r="H412" t="str">
        <f>Data_preprocessing!V412</f>
        <v>F</v>
      </c>
      <c r="I412" t="str">
        <f>Data_preprocessing!Y412</f>
        <v>Email not provided</v>
      </c>
      <c r="J412" t="str">
        <f>Data_preprocessing!Z412</f>
        <v>Phone not provided</v>
      </c>
      <c r="K412">
        <f t="shared" ca="1" si="18"/>
        <v>6</v>
      </c>
      <c r="L412" t="str">
        <f t="shared" si="19"/>
        <v>Low</v>
      </c>
      <c r="M412" t="str">
        <f t="shared" si="20"/>
        <v>Poor</v>
      </c>
    </row>
    <row r="413" spans="1:13" x14ac:dyDescent="0.25">
      <c r="A413" t="str">
        <f>Data_preprocessing!M413</f>
        <v>Ivy</v>
      </c>
      <c r="B413">
        <f>Data_preprocessing!O413</f>
        <v>40</v>
      </c>
      <c r="C413">
        <f>Data_preprocessing!Q413</f>
        <v>70000</v>
      </c>
      <c r="D413" t="str">
        <f>Data_preprocessing!R413</f>
        <v>Female</v>
      </c>
      <c r="E413" t="str">
        <f>Data_preprocessing!S413</f>
        <v>Sales</v>
      </c>
      <c r="F413" t="str">
        <f>Data_preprocessing!T413</f>
        <v>Clerk</v>
      </c>
      <c r="G413" s="2">
        <f>Data_preprocessing!U413</f>
        <v>43549</v>
      </c>
      <c r="H413" t="str">
        <f>Data_preprocessing!V413</f>
        <v>C</v>
      </c>
      <c r="I413" t="str">
        <f>Data_preprocessing!Y413</f>
        <v>user@domain.com</v>
      </c>
      <c r="J413" t="str">
        <f>Data_preprocessing!Z413</f>
        <v>Phone not provided</v>
      </c>
      <c r="K413">
        <f t="shared" ca="1" si="18"/>
        <v>6</v>
      </c>
      <c r="L413" t="str">
        <f t="shared" si="19"/>
        <v>High</v>
      </c>
      <c r="M413" t="str">
        <f t="shared" si="20"/>
        <v>Average</v>
      </c>
    </row>
    <row r="414" spans="1:13" x14ac:dyDescent="0.25">
      <c r="A414" t="str">
        <f>Data_preprocessing!M414</f>
        <v>Eve</v>
      </c>
      <c r="B414">
        <f>Data_preprocessing!O414</f>
        <v>50</v>
      </c>
      <c r="C414">
        <f>Data_preprocessing!Q414</f>
        <v>50000</v>
      </c>
      <c r="D414" t="str">
        <f>Data_preprocessing!R414</f>
        <v>Male</v>
      </c>
      <c r="E414" t="str">
        <f>Data_preprocessing!S414</f>
        <v>IT</v>
      </c>
      <c r="F414" t="str">
        <f>Data_preprocessing!T414</f>
        <v>Director</v>
      </c>
      <c r="G414" s="2">
        <f>Data_preprocessing!U414</f>
        <v>43845</v>
      </c>
      <c r="H414" t="str">
        <f>Data_preprocessing!V414</f>
        <v>B</v>
      </c>
      <c r="I414" t="str">
        <f>Data_preprocessing!Y414</f>
        <v>Email not provided</v>
      </c>
      <c r="J414" t="str">
        <f>Data_preprocessing!Z414</f>
        <v>123-456-7890</v>
      </c>
      <c r="K414">
        <f t="shared" ca="1" si="18"/>
        <v>6</v>
      </c>
      <c r="L414" t="str">
        <f t="shared" si="19"/>
        <v>Low</v>
      </c>
      <c r="M414" t="str">
        <f t="shared" si="20"/>
        <v>Good</v>
      </c>
    </row>
    <row r="415" spans="1:13" x14ac:dyDescent="0.25">
      <c r="A415" t="str">
        <f>Data_preprocessing!M415</f>
        <v>Alice</v>
      </c>
      <c r="B415">
        <f>Data_preprocessing!O415</f>
        <v>50</v>
      </c>
      <c r="C415">
        <f>Data_preprocessing!Q415</f>
        <v>60000</v>
      </c>
      <c r="D415" t="str">
        <f>Data_preprocessing!R415</f>
        <v>Other</v>
      </c>
      <c r="E415" t="str">
        <f>Data_preprocessing!S415</f>
        <v>HR</v>
      </c>
      <c r="F415" t="str">
        <f>Data_preprocessing!T415</f>
        <v>Director</v>
      </c>
      <c r="G415" s="2">
        <f>Data_preprocessing!U415</f>
        <v>43195</v>
      </c>
      <c r="H415" t="str">
        <f>Data_preprocessing!V415</f>
        <v>B</v>
      </c>
      <c r="I415" t="str">
        <f>Data_preprocessing!Y415</f>
        <v>Email not provided</v>
      </c>
      <c r="J415" t="str">
        <f>Data_preprocessing!Z415</f>
        <v>098-765-4321</v>
      </c>
      <c r="K415">
        <f t="shared" ca="1" si="18"/>
        <v>7</v>
      </c>
      <c r="L415" t="str">
        <f t="shared" si="19"/>
        <v>Medium</v>
      </c>
      <c r="M415" t="str">
        <f t="shared" si="20"/>
        <v>Good</v>
      </c>
    </row>
    <row r="416" spans="1:13" x14ac:dyDescent="0.25">
      <c r="A416" t="str">
        <f>Data_preprocessing!M416</f>
        <v>David</v>
      </c>
      <c r="B416">
        <f>Data_preprocessing!O416</f>
        <v>30</v>
      </c>
      <c r="C416">
        <f>Data_preprocessing!Q416</f>
        <v>50000</v>
      </c>
      <c r="D416" t="str">
        <f>Data_preprocessing!R416</f>
        <v>Female</v>
      </c>
      <c r="E416" t="str">
        <f>Data_preprocessing!S416</f>
        <v>IT</v>
      </c>
      <c r="F416" t="str">
        <f>Data_preprocessing!T416</f>
        <v>Assistant</v>
      </c>
      <c r="G416" s="2">
        <f>Data_preprocessing!U416</f>
        <v>43881</v>
      </c>
      <c r="H416" t="str">
        <f>Data_preprocessing!V416</f>
        <v>C</v>
      </c>
      <c r="I416" t="str">
        <f>Data_preprocessing!Y416</f>
        <v>user@domain.com</v>
      </c>
      <c r="J416" t="str">
        <f>Data_preprocessing!Z416</f>
        <v>Phone not provided</v>
      </c>
      <c r="K416">
        <f t="shared" ca="1" si="18"/>
        <v>5</v>
      </c>
      <c r="L416" t="str">
        <f t="shared" si="19"/>
        <v>Low</v>
      </c>
      <c r="M416" t="str">
        <f t="shared" si="20"/>
        <v>Average</v>
      </c>
    </row>
    <row r="417" spans="1:13" x14ac:dyDescent="0.25">
      <c r="A417" t="str">
        <f>Data_preprocessing!M417</f>
        <v>Eve</v>
      </c>
      <c r="B417">
        <f>Data_preprocessing!O417</f>
        <v>35</v>
      </c>
      <c r="C417">
        <f>Data_preprocessing!Q417</f>
        <v>60000</v>
      </c>
      <c r="D417" t="str">
        <f>Data_preprocessing!R417</f>
        <v>Male</v>
      </c>
      <c r="E417" t="str">
        <f>Data_preprocessing!S417</f>
        <v>IT</v>
      </c>
      <c r="F417" t="str">
        <f>Data_preprocessing!T417</f>
        <v>Manager</v>
      </c>
      <c r="G417" s="2">
        <f>Data_preprocessing!U417</f>
        <v>43845</v>
      </c>
      <c r="H417" t="str">
        <f>Data_preprocessing!V417</f>
        <v>D</v>
      </c>
      <c r="I417" t="str">
        <f>Data_preprocessing!Y417</f>
        <v>name@company.org</v>
      </c>
      <c r="J417" t="str">
        <f>Data_preprocessing!Z417</f>
        <v>Phone not provided</v>
      </c>
      <c r="K417">
        <f t="shared" ca="1" si="18"/>
        <v>6</v>
      </c>
      <c r="L417" t="str">
        <f t="shared" si="19"/>
        <v>Medium</v>
      </c>
      <c r="M417" t="str">
        <f t="shared" si="20"/>
        <v>Below Average</v>
      </c>
    </row>
    <row r="418" spans="1:13" x14ac:dyDescent="0.25">
      <c r="A418" t="str">
        <f>Data_preprocessing!M418</f>
        <v>Jack</v>
      </c>
      <c r="B418">
        <f>Data_preprocessing!O418</f>
        <v>30</v>
      </c>
      <c r="C418">
        <f>Data_preprocessing!Q418</f>
        <v>70000</v>
      </c>
      <c r="D418" t="str">
        <f>Data_preprocessing!R418</f>
        <v>Other</v>
      </c>
      <c r="E418" t="str">
        <f>Data_preprocessing!S418</f>
        <v>Finance</v>
      </c>
      <c r="F418" t="str">
        <f>Data_preprocessing!T418</f>
        <v>Assistant</v>
      </c>
      <c r="G418" s="2">
        <f>Data_preprocessing!U418</f>
        <v>43195</v>
      </c>
      <c r="H418" t="str">
        <f>Data_preprocessing!V418</f>
        <v>B</v>
      </c>
      <c r="I418" t="str">
        <f>Data_preprocessing!Y418</f>
        <v>email@example.com</v>
      </c>
      <c r="J418" t="str">
        <f>Data_preprocessing!Z418</f>
        <v>Phone not provided</v>
      </c>
      <c r="K418">
        <f t="shared" ca="1" si="18"/>
        <v>7</v>
      </c>
      <c r="L418" t="str">
        <f t="shared" si="19"/>
        <v>High</v>
      </c>
      <c r="M418" t="str">
        <f t="shared" si="20"/>
        <v>Good</v>
      </c>
    </row>
    <row r="419" spans="1:13" x14ac:dyDescent="0.25">
      <c r="A419" t="str">
        <f>Data_preprocessing!M419</f>
        <v>Jack</v>
      </c>
      <c r="B419">
        <f>Data_preprocessing!O419</f>
        <v>50</v>
      </c>
      <c r="C419">
        <f>Data_preprocessing!Q419</f>
        <v>50000</v>
      </c>
      <c r="D419" t="str">
        <f>Data_preprocessing!R419</f>
        <v>Male</v>
      </c>
      <c r="E419" t="str">
        <f>Data_preprocessing!S419</f>
        <v>IT</v>
      </c>
      <c r="F419" t="str">
        <f>Data_preprocessing!T419</f>
        <v>Analyst</v>
      </c>
      <c r="G419" s="2">
        <f>Data_preprocessing!U419</f>
        <v>43195</v>
      </c>
      <c r="H419" t="str">
        <f>Data_preprocessing!V419</f>
        <v>A</v>
      </c>
      <c r="I419" t="str">
        <f>Data_preprocessing!Y419</f>
        <v>Email not provided</v>
      </c>
      <c r="J419" t="str">
        <f>Data_preprocessing!Z419</f>
        <v>Phone not provided</v>
      </c>
      <c r="K419">
        <f t="shared" ca="1" si="18"/>
        <v>7</v>
      </c>
      <c r="L419" t="str">
        <f t="shared" si="19"/>
        <v>Low</v>
      </c>
      <c r="M419" t="str">
        <f t="shared" si="20"/>
        <v>Excellent</v>
      </c>
    </row>
    <row r="420" spans="1:13" x14ac:dyDescent="0.25">
      <c r="A420" t="str">
        <f>Data_preprocessing!M420</f>
        <v>Eve</v>
      </c>
      <c r="B420">
        <f>Data_preprocessing!O420</f>
        <v>40</v>
      </c>
      <c r="C420">
        <f>Data_preprocessing!Q420</f>
        <v>65000</v>
      </c>
      <c r="D420" t="str">
        <f>Data_preprocessing!R420</f>
        <v>Male</v>
      </c>
      <c r="E420" t="str">
        <f>Data_preprocessing!S420</f>
        <v>Finance</v>
      </c>
      <c r="F420" t="str">
        <f>Data_preprocessing!T420</f>
        <v>Director</v>
      </c>
      <c r="G420" s="2">
        <f>Data_preprocessing!U420</f>
        <v>43881</v>
      </c>
      <c r="H420" t="str">
        <f>Data_preprocessing!V420</f>
        <v>C</v>
      </c>
      <c r="I420" t="str">
        <f>Data_preprocessing!Y420</f>
        <v>email@example.com</v>
      </c>
      <c r="J420" t="str">
        <f>Data_preprocessing!Z420</f>
        <v>Phone not provided</v>
      </c>
      <c r="K420">
        <f t="shared" ca="1" si="18"/>
        <v>5</v>
      </c>
      <c r="L420" t="str">
        <f t="shared" si="19"/>
        <v>High</v>
      </c>
      <c r="M420" t="str">
        <f t="shared" si="20"/>
        <v>Average</v>
      </c>
    </row>
    <row r="421" spans="1:13" x14ac:dyDescent="0.25">
      <c r="A421" t="str">
        <f>Data_preprocessing!M421</f>
        <v>Grace</v>
      </c>
      <c r="B421">
        <f>Data_preprocessing!O421</f>
        <v>25</v>
      </c>
      <c r="C421">
        <f>Data_preprocessing!Q421</f>
        <v>60000</v>
      </c>
      <c r="D421" t="str">
        <f>Data_preprocessing!R421</f>
        <v>Male</v>
      </c>
      <c r="E421" t="str">
        <f>Data_preprocessing!S421</f>
        <v>Marketing</v>
      </c>
      <c r="F421" t="str">
        <f>Data_preprocessing!T421</f>
        <v>Manager</v>
      </c>
      <c r="G421" s="2">
        <f>Data_preprocessing!U421</f>
        <v>43881</v>
      </c>
      <c r="H421" t="str">
        <f>Data_preprocessing!V421</f>
        <v>B</v>
      </c>
      <c r="I421" t="str">
        <f>Data_preprocessing!Y421</f>
        <v>Email not provided</v>
      </c>
      <c r="J421" t="str">
        <f>Data_preprocessing!Z421</f>
        <v>555-555-5555</v>
      </c>
      <c r="K421">
        <f t="shared" ca="1" si="18"/>
        <v>5</v>
      </c>
      <c r="L421" t="str">
        <f t="shared" si="19"/>
        <v>Medium</v>
      </c>
      <c r="M421" t="str">
        <f t="shared" si="20"/>
        <v>Good</v>
      </c>
    </row>
    <row r="422" spans="1:13" x14ac:dyDescent="0.25">
      <c r="A422" t="str">
        <f>Data_preprocessing!M422</f>
        <v>David</v>
      </c>
      <c r="B422">
        <f>Data_preprocessing!O422</f>
        <v>25</v>
      </c>
      <c r="C422">
        <f>Data_preprocessing!Q422</f>
        <v>60000</v>
      </c>
      <c r="D422" t="str">
        <f>Data_preprocessing!R422</f>
        <v>Other</v>
      </c>
      <c r="E422" t="str">
        <f>Data_preprocessing!S422</f>
        <v>Finance</v>
      </c>
      <c r="F422" t="str">
        <f>Data_preprocessing!T422</f>
        <v>Analyst</v>
      </c>
      <c r="G422" s="2">
        <f>Data_preprocessing!U422</f>
        <v>43881</v>
      </c>
      <c r="H422" t="str">
        <f>Data_preprocessing!V422</f>
        <v>D</v>
      </c>
      <c r="I422" t="str">
        <f>Data_preprocessing!Y422</f>
        <v>email@example.com</v>
      </c>
      <c r="J422" t="str">
        <f>Data_preprocessing!Z422</f>
        <v>098-765-4321</v>
      </c>
      <c r="K422">
        <f t="shared" ca="1" si="18"/>
        <v>5</v>
      </c>
      <c r="L422" t="str">
        <f t="shared" si="19"/>
        <v>Medium</v>
      </c>
      <c r="M422" t="str">
        <f t="shared" si="20"/>
        <v>Below Average</v>
      </c>
    </row>
    <row r="423" spans="1:13" x14ac:dyDescent="0.25">
      <c r="A423" t="str">
        <f>Data_preprocessing!M423</f>
        <v>Alice</v>
      </c>
      <c r="B423">
        <f>Data_preprocessing!O423</f>
        <v>40</v>
      </c>
      <c r="C423">
        <f>Data_preprocessing!Q423</f>
        <v>60000</v>
      </c>
      <c r="D423" t="str">
        <f>Data_preprocessing!R423</f>
        <v>Other</v>
      </c>
      <c r="E423" t="str">
        <f>Data_preprocessing!S423</f>
        <v>Sales</v>
      </c>
      <c r="F423" t="str">
        <f>Data_preprocessing!T423</f>
        <v>Analyst</v>
      </c>
      <c r="G423" s="2">
        <f>Data_preprocessing!U423</f>
        <v>43845</v>
      </c>
      <c r="H423" t="str">
        <f>Data_preprocessing!V423</f>
        <v>B</v>
      </c>
      <c r="I423" t="str">
        <f>Data_preprocessing!Y423</f>
        <v>user@domain.com</v>
      </c>
      <c r="J423" t="str">
        <f>Data_preprocessing!Z423</f>
        <v>098-765-4321</v>
      </c>
      <c r="K423">
        <f t="shared" ca="1" si="18"/>
        <v>6</v>
      </c>
      <c r="L423" t="str">
        <f t="shared" si="19"/>
        <v>Medium</v>
      </c>
      <c r="M423" t="str">
        <f t="shared" si="20"/>
        <v>Good</v>
      </c>
    </row>
    <row r="424" spans="1:13" x14ac:dyDescent="0.25">
      <c r="A424" t="str">
        <f>Data_preprocessing!M424</f>
        <v>Eve</v>
      </c>
      <c r="B424">
        <f>Data_preprocessing!O424</f>
        <v>50</v>
      </c>
      <c r="C424">
        <f>Data_preprocessing!Q424</f>
        <v>65000</v>
      </c>
      <c r="D424" t="str">
        <f>Data_preprocessing!R424</f>
        <v>Male</v>
      </c>
      <c r="E424" t="str">
        <f>Data_preprocessing!S424</f>
        <v>HR</v>
      </c>
      <c r="F424" t="str">
        <f>Data_preprocessing!T424</f>
        <v>Manager</v>
      </c>
      <c r="G424" s="2">
        <f>Data_preprocessing!U424</f>
        <v>43800</v>
      </c>
      <c r="H424" t="str">
        <f>Data_preprocessing!V424</f>
        <v>F</v>
      </c>
      <c r="I424" t="str">
        <f>Data_preprocessing!Y424</f>
        <v>email@example.com</v>
      </c>
      <c r="J424" t="str">
        <f>Data_preprocessing!Z424</f>
        <v>123-456-7890</v>
      </c>
      <c r="K424">
        <f t="shared" ca="1" si="18"/>
        <v>6</v>
      </c>
      <c r="L424" t="str">
        <f t="shared" si="19"/>
        <v>High</v>
      </c>
      <c r="M424" t="str">
        <f t="shared" si="20"/>
        <v>Poor</v>
      </c>
    </row>
    <row r="425" spans="1:13" x14ac:dyDescent="0.25">
      <c r="A425" t="str">
        <f>Data_preprocessing!M425</f>
        <v>Grace</v>
      </c>
      <c r="B425">
        <f>Data_preprocessing!O425</f>
        <v>25</v>
      </c>
      <c r="C425">
        <f>Data_preprocessing!Q425</f>
        <v>50000</v>
      </c>
      <c r="D425" t="str">
        <f>Data_preprocessing!R425</f>
        <v>Female</v>
      </c>
      <c r="E425" t="str">
        <f>Data_preprocessing!S425</f>
        <v>Marketing</v>
      </c>
      <c r="F425" t="str">
        <f>Data_preprocessing!T425</f>
        <v>Analyst</v>
      </c>
      <c r="G425" s="2">
        <f>Data_preprocessing!U425</f>
        <v>43881</v>
      </c>
      <c r="H425" t="str">
        <f>Data_preprocessing!V425</f>
        <v>A</v>
      </c>
      <c r="I425" t="str">
        <f>Data_preprocessing!Y425</f>
        <v>email@example.com</v>
      </c>
      <c r="J425" t="str">
        <f>Data_preprocessing!Z425</f>
        <v>123-456-7890</v>
      </c>
      <c r="K425">
        <f t="shared" ca="1" si="18"/>
        <v>5</v>
      </c>
      <c r="L425" t="str">
        <f t="shared" si="19"/>
        <v>Low</v>
      </c>
      <c r="M425" t="str">
        <f t="shared" si="20"/>
        <v>Excellent</v>
      </c>
    </row>
    <row r="426" spans="1:13" x14ac:dyDescent="0.25">
      <c r="A426" t="str">
        <f>Data_preprocessing!M426</f>
        <v>Jack</v>
      </c>
      <c r="B426">
        <f>Data_preprocessing!O426</f>
        <v>25</v>
      </c>
      <c r="C426">
        <f>Data_preprocessing!Q426</f>
        <v>65000</v>
      </c>
      <c r="D426" t="str">
        <f>Data_preprocessing!R426</f>
        <v>Female</v>
      </c>
      <c r="E426" t="str">
        <f>Data_preprocessing!S426</f>
        <v>Marketing</v>
      </c>
      <c r="F426" t="str">
        <f>Data_preprocessing!T426</f>
        <v>Manager</v>
      </c>
      <c r="G426" s="2">
        <f>Data_preprocessing!U426</f>
        <v>43800</v>
      </c>
      <c r="H426" t="str">
        <f>Data_preprocessing!V426</f>
        <v>C</v>
      </c>
      <c r="I426" t="str">
        <f>Data_preprocessing!Y426</f>
        <v>email@example.com</v>
      </c>
      <c r="J426" t="str">
        <f>Data_preprocessing!Z426</f>
        <v>123-456-7890</v>
      </c>
      <c r="K426">
        <f t="shared" ca="1" si="18"/>
        <v>6</v>
      </c>
      <c r="L426" t="str">
        <f t="shared" si="19"/>
        <v>High</v>
      </c>
      <c r="M426" t="str">
        <f t="shared" si="20"/>
        <v>Average</v>
      </c>
    </row>
    <row r="427" spans="1:13" x14ac:dyDescent="0.25">
      <c r="A427" t="str">
        <f>Data_preprocessing!M427</f>
        <v>Jack</v>
      </c>
      <c r="B427">
        <f>Data_preprocessing!O427</f>
        <v>25</v>
      </c>
      <c r="C427">
        <f>Data_preprocessing!Q427</f>
        <v>65000</v>
      </c>
      <c r="D427" t="str">
        <f>Data_preprocessing!R427</f>
        <v>Other</v>
      </c>
      <c r="E427" t="str">
        <f>Data_preprocessing!S427</f>
        <v>Sales</v>
      </c>
      <c r="F427" t="str">
        <f>Data_preprocessing!T427</f>
        <v>Manager</v>
      </c>
      <c r="G427" s="2">
        <f>Data_preprocessing!U427</f>
        <v>43845</v>
      </c>
      <c r="H427" t="str">
        <f>Data_preprocessing!V427</f>
        <v>F</v>
      </c>
      <c r="I427" t="str">
        <f>Data_preprocessing!Y427</f>
        <v>name@company.org</v>
      </c>
      <c r="J427" t="str">
        <f>Data_preprocessing!Z427</f>
        <v>098-765-4321</v>
      </c>
      <c r="K427">
        <f t="shared" ca="1" si="18"/>
        <v>6</v>
      </c>
      <c r="L427" t="str">
        <f t="shared" si="19"/>
        <v>High</v>
      </c>
      <c r="M427" t="str">
        <f t="shared" si="20"/>
        <v>Poor</v>
      </c>
    </row>
    <row r="428" spans="1:13" x14ac:dyDescent="0.25">
      <c r="A428" t="str">
        <f>Data_preprocessing!M428</f>
        <v>Frank</v>
      </c>
      <c r="B428">
        <f>Data_preprocessing!O428</f>
        <v>35</v>
      </c>
      <c r="C428">
        <f>Data_preprocessing!Q428</f>
        <v>50000</v>
      </c>
      <c r="D428" t="str">
        <f>Data_preprocessing!R428</f>
        <v>Other</v>
      </c>
      <c r="E428" t="str">
        <f>Data_preprocessing!S428</f>
        <v>Finance</v>
      </c>
      <c r="F428" t="str">
        <f>Data_preprocessing!T428</f>
        <v>Clerk</v>
      </c>
      <c r="G428" s="2">
        <f>Data_preprocessing!U428</f>
        <v>43800</v>
      </c>
      <c r="H428" t="str">
        <f>Data_preprocessing!V428</f>
        <v>D</v>
      </c>
      <c r="I428" t="str">
        <f>Data_preprocessing!Y428</f>
        <v>name@company.org</v>
      </c>
      <c r="J428" t="str">
        <f>Data_preprocessing!Z428</f>
        <v>555-555-5555</v>
      </c>
      <c r="K428">
        <f t="shared" ca="1" si="18"/>
        <v>6</v>
      </c>
      <c r="L428" t="str">
        <f t="shared" si="19"/>
        <v>Low</v>
      </c>
      <c r="M428" t="str">
        <f t="shared" si="20"/>
        <v>Below Average</v>
      </c>
    </row>
    <row r="429" spans="1:13" x14ac:dyDescent="0.25">
      <c r="A429" t="str">
        <f>Data_preprocessing!M429</f>
        <v>Eve</v>
      </c>
      <c r="B429">
        <f>Data_preprocessing!O429</f>
        <v>35</v>
      </c>
      <c r="C429">
        <f>Data_preprocessing!Q429</f>
        <v>70000</v>
      </c>
      <c r="D429" t="str">
        <f>Data_preprocessing!R429</f>
        <v>Other</v>
      </c>
      <c r="E429" t="str">
        <f>Data_preprocessing!S429</f>
        <v>HR</v>
      </c>
      <c r="F429" t="str">
        <f>Data_preprocessing!T429</f>
        <v>Assistant</v>
      </c>
      <c r="G429" s="2">
        <f>Data_preprocessing!U429</f>
        <v>43549</v>
      </c>
      <c r="H429" t="str">
        <f>Data_preprocessing!V429</f>
        <v>F</v>
      </c>
      <c r="I429" t="str">
        <f>Data_preprocessing!Y429</f>
        <v>Email not provided</v>
      </c>
      <c r="J429" t="str">
        <f>Data_preprocessing!Z429</f>
        <v>098-765-4321</v>
      </c>
      <c r="K429">
        <f t="shared" ca="1" si="18"/>
        <v>6</v>
      </c>
      <c r="L429" t="str">
        <f t="shared" si="19"/>
        <v>High</v>
      </c>
      <c r="M429" t="str">
        <f t="shared" si="20"/>
        <v>Poor</v>
      </c>
    </row>
    <row r="430" spans="1:13" x14ac:dyDescent="0.25">
      <c r="A430" t="str">
        <f>Data_preprocessing!M430</f>
        <v>David</v>
      </c>
      <c r="B430">
        <f>Data_preprocessing!O430</f>
        <v>35</v>
      </c>
      <c r="C430">
        <f>Data_preprocessing!Q430</f>
        <v>65000</v>
      </c>
      <c r="D430" t="str">
        <f>Data_preprocessing!R430</f>
        <v>Other</v>
      </c>
      <c r="E430" t="str">
        <f>Data_preprocessing!S430</f>
        <v>Finance</v>
      </c>
      <c r="F430" t="str">
        <f>Data_preprocessing!T430</f>
        <v>Analyst</v>
      </c>
      <c r="G430" s="2">
        <f>Data_preprocessing!U430</f>
        <v>43800</v>
      </c>
      <c r="H430" t="str">
        <f>Data_preprocessing!V430</f>
        <v>F</v>
      </c>
      <c r="I430" t="str">
        <f>Data_preprocessing!Y430</f>
        <v>user@domain.com</v>
      </c>
      <c r="J430" t="str">
        <f>Data_preprocessing!Z430</f>
        <v>098-765-4321</v>
      </c>
      <c r="K430">
        <f t="shared" ca="1" si="18"/>
        <v>6</v>
      </c>
      <c r="L430" t="str">
        <f t="shared" si="19"/>
        <v>High</v>
      </c>
      <c r="M430" t="str">
        <f t="shared" si="20"/>
        <v>Poor</v>
      </c>
    </row>
    <row r="431" spans="1:13" x14ac:dyDescent="0.25">
      <c r="A431" t="str">
        <f>Data_preprocessing!M431</f>
        <v>Bob</v>
      </c>
      <c r="B431">
        <f>Data_preprocessing!O431</f>
        <v>30</v>
      </c>
      <c r="C431">
        <f>Data_preprocessing!Q431</f>
        <v>65000</v>
      </c>
      <c r="D431" t="str">
        <f>Data_preprocessing!R431</f>
        <v>Other</v>
      </c>
      <c r="E431" t="str">
        <f>Data_preprocessing!S431</f>
        <v>IT</v>
      </c>
      <c r="F431" t="str">
        <f>Data_preprocessing!T431</f>
        <v>Analyst</v>
      </c>
      <c r="G431" s="2">
        <f>Data_preprocessing!U431</f>
        <v>43881</v>
      </c>
      <c r="H431" t="str">
        <f>Data_preprocessing!V431</f>
        <v>D</v>
      </c>
      <c r="I431" t="str">
        <f>Data_preprocessing!Y431</f>
        <v>email@example.com</v>
      </c>
      <c r="J431" t="str">
        <f>Data_preprocessing!Z431</f>
        <v>098-765-4321</v>
      </c>
      <c r="K431">
        <f t="shared" ca="1" si="18"/>
        <v>5</v>
      </c>
      <c r="L431" t="str">
        <f t="shared" si="19"/>
        <v>High</v>
      </c>
      <c r="M431" t="str">
        <f t="shared" si="20"/>
        <v>Below Average</v>
      </c>
    </row>
    <row r="432" spans="1:13" x14ac:dyDescent="0.25">
      <c r="A432" t="str">
        <f>Data_preprocessing!M432</f>
        <v>David</v>
      </c>
      <c r="B432">
        <f>Data_preprocessing!O432</f>
        <v>40</v>
      </c>
      <c r="C432">
        <f>Data_preprocessing!Q432</f>
        <v>70000</v>
      </c>
      <c r="D432" t="str">
        <f>Data_preprocessing!R432</f>
        <v>Female</v>
      </c>
      <c r="E432" t="str">
        <f>Data_preprocessing!S432</f>
        <v>Finance</v>
      </c>
      <c r="F432" t="str">
        <f>Data_preprocessing!T432</f>
        <v>Clerk</v>
      </c>
      <c r="G432" s="2">
        <f>Data_preprocessing!U432</f>
        <v>43845</v>
      </c>
      <c r="H432" t="str">
        <f>Data_preprocessing!V432</f>
        <v>F</v>
      </c>
      <c r="I432" t="str">
        <f>Data_preprocessing!Y432</f>
        <v>email@example.com</v>
      </c>
      <c r="J432" t="str">
        <f>Data_preprocessing!Z432</f>
        <v>098-765-4321</v>
      </c>
      <c r="K432">
        <f t="shared" ca="1" si="18"/>
        <v>6</v>
      </c>
      <c r="L432" t="str">
        <f t="shared" si="19"/>
        <v>High</v>
      </c>
      <c r="M432" t="str">
        <f t="shared" si="20"/>
        <v>Poor</v>
      </c>
    </row>
    <row r="433" spans="1:13" x14ac:dyDescent="0.25">
      <c r="A433" t="str">
        <f>Data_preprocessing!M433</f>
        <v>Jack</v>
      </c>
      <c r="B433">
        <f>Data_preprocessing!O433</f>
        <v>40</v>
      </c>
      <c r="C433">
        <f>Data_preprocessing!Q433</f>
        <v>65000</v>
      </c>
      <c r="D433" t="str">
        <f>Data_preprocessing!R433</f>
        <v>Other</v>
      </c>
      <c r="E433" t="str">
        <f>Data_preprocessing!S433</f>
        <v>Marketing</v>
      </c>
      <c r="F433" t="str">
        <f>Data_preprocessing!T433</f>
        <v>Clerk</v>
      </c>
      <c r="G433" s="2">
        <f>Data_preprocessing!U433</f>
        <v>43881</v>
      </c>
      <c r="H433" t="str">
        <f>Data_preprocessing!V433</f>
        <v>C</v>
      </c>
      <c r="I433" t="str">
        <f>Data_preprocessing!Y433</f>
        <v>email@example.com</v>
      </c>
      <c r="J433" t="str">
        <f>Data_preprocessing!Z433</f>
        <v>555-555-5555</v>
      </c>
      <c r="K433">
        <f t="shared" ca="1" si="18"/>
        <v>5</v>
      </c>
      <c r="L433" t="str">
        <f t="shared" si="19"/>
        <v>High</v>
      </c>
      <c r="M433" t="str">
        <f t="shared" si="20"/>
        <v>Average</v>
      </c>
    </row>
    <row r="434" spans="1:13" x14ac:dyDescent="0.25">
      <c r="A434" t="str">
        <f>Data_preprocessing!M434</f>
        <v>Jack</v>
      </c>
      <c r="B434">
        <f>Data_preprocessing!O434</f>
        <v>40</v>
      </c>
      <c r="C434">
        <f>Data_preprocessing!Q434</f>
        <v>65000</v>
      </c>
      <c r="D434" t="str">
        <f>Data_preprocessing!R434</f>
        <v>Male</v>
      </c>
      <c r="E434" t="str">
        <f>Data_preprocessing!S434</f>
        <v>HR</v>
      </c>
      <c r="F434" t="str">
        <f>Data_preprocessing!T434</f>
        <v>Clerk</v>
      </c>
      <c r="G434" s="2">
        <f>Data_preprocessing!U434</f>
        <v>43549</v>
      </c>
      <c r="H434" t="str">
        <f>Data_preprocessing!V434</f>
        <v>B</v>
      </c>
      <c r="I434" t="str">
        <f>Data_preprocessing!Y434</f>
        <v>email@example.com</v>
      </c>
      <c r="J434" t="str">
        <f>Data_preprocessing!Z434</f>
        <v>123-456-7890</v>
      </c>
      <c r="K434">
        <f t="shared" ca="1" si="18"/>
        <v>6</v>
      </c>
      <c r="L434" t="str">
        <f t="shared" si="19"/>
        <v>High</v>
      </c>
      <c r="M434" t="str">
        <f t="shared" si="20"/>
        <v>Good</v>
      </c>
    </row>
    <row r="435" spans="1:13" x14ac:dyDescent="0.25">
      <c r="A435" t="str">
        <f>Data_preprocessing!M435</f>
        <v>Charlie</v>
      </c>
      <c r="B435">
        <f>Data_preprocessing!O435</f>
        <v>35</v>
      </c>
      <c r="C435">
        <f>Data_preprocessing!Q435</f>
        <v>65000</v>
      </c>
      <c r="D435" t="str">
        <f>Data_preprocessing!R435</f>
        <v>Male</v>
      </c>
      <c r="E435" t="str">
        <f>Data_preprocessing!S435</f>
        <v>Finance</v>
      </c>
      <c r="F435" t="str">
        <f>Data_preprocessing!T435</f>
        <v>Director</v>
      </c>
      <c r="G435" s="2">
        <f>Data_preprocessing!U435</f>
        <v>43881</v>
      </c>
      <c r="H435" t="str">
        <f>Data_preprocessing!V435</f>
        <v>F</v>
      </c>
      <c r="I435" t="str">
        <f>Data_preprocessing!Y435</f>
        <v>name@company.org</v>
      </c>
      <c r="J435" t="str">
        <f>Data_preprocessing!Z435</f>
        <v>Phone not provided</v>
      </c>
      <c r="K435">
        <f t="shared" ca="1" si="18"/>
        <v>5</v>
      </c>
      <c r="L435" t="str">
        <f t="shared" si="19"/>
        <v>High</v>
      </c>
      <c r="M435" t="str">
        <f t="shared" si="20"/>
        <v>Poor</v>
      </c>
    </row>
    <row r="436" spans="1:13" x14ac:dyDescent="0.25">
      <c r="A436" t="str">
        <f>Data_preprocessing!M436</f>
        <v>Jack</v>
      </c>
      <c r="B436">
        <f>Data_preprocessing!O436</f>
        <v>35</v>
      </c>
      <c r="C436">
        <f>Data_preprocessing!Q436</f>
        <v>60000</v>
      </c>
      <c r="D436" t="str">
        <f>Data_preprocessing!R436</f>
        <v>Female</v>
      </c>
      <c r="E436" t="str">
        <f>Data_preprocessing!S436</f>
        <v>HR</v>
      </c>
      <c r="F436" t="str">
        <f>Data_preprocessing!T436</f>
        <v>Director</v>
      </c>
      <c r="G436" s="2">
        <f>Data_preprocessing!U436</f>
        <v>43881</v>
      </c>
      <c r="H436" t="str">
        <f>Data_preprocessing!V436</f>
        <v>C</v>
      </c>
      <c r="I436" t="str">
        <f>Data_preprocessing!Y436</f>
        <v>Email not provided</v>
      </c>
      <c r="J436" t="str">
        <f>Data_preprocessing!Z436</f>
        <v>123-456-7890</v>
      </c>
      <c r="K436">
        <f t="shared" ca="1" si="18"/>
        <v>5</v>
      </c>
      <c r="L436" t="str">
        <f t="shared" si="19"/>
        <v>Medium</v>
      </c>
      <c r="M436" t="str">
        <f t="shared" si="20"/>
        <v>Average</v>
      </c>
    </row>
    <row r="437" spans="1:13" x14ac:dyDescent="0.25">
      <c r="A437" t="str">
        <f>Data_preprocessing!M437</f>
        <v>Alice</v>
      </c>
      <c r="B437">
        <f>Data_preprocessing!O437</f>
        <v>50</v>
      </c>
      <c r="C437">
        <f>Data_preprocessing!Q437</f>
        <v>55000</v>
      </c>
      <c r="D437" t="str">
        <f>Data_preprocessing!R437</f>
        <v>Male</v>
      </c>
      <c r="E437" t="str">
        <f>Data_preprocessing!S437</f>
        <v>HR</v>
      </c>
      <c r="F437" t="str">
        <f>Data_preprocessing!T437</f>
        <v>Director</v>
      </c>
      <c r="G437" s="2">
        <f>Data_preprocessing!U437</f>
        <v>43881</v>
      </c>
      <c r="H437" t="str">
        <f>Data_preprocessing!V437</f>
        <v>B</v>
      </c>
      <c r="I437" t="str">
        <f>Data_preprocessing!Y437</f>
        <v>Email not provided</v>
      </c>
      <c r="J437" t="str">
        <f>Data_preprocessing!Z437</f>
        <v>123-456-7890</v>
      </c>
      <c r="K437">
        <f t="shared" ca="1" si="18"/>
        <v>5</v>
      </c>
      <c r="L437" t="str">
        <f t="shared" si="19"/>
        <v>Low</v>
      </c>
      <c r="M437" t="str">
        <f t="shared" si="20"/>
        <v>Good</v>
      </c>
    </row>
    <row r="438" spans="1:13" x14ac:dyDescent="0.25">
      <c r="A438" t="str">
        <f>Data_preprocessing!M438</f>
        <v>Hannah</v>
      </c>
      <c r="B438">
        <f>Data_preprocessing!O438</f>
        <v>50</v>
      </c>
      <c r="C438">
        <f>Data_preprocessing!Q438</f>
        <v>70000</v>
      </c>
      <c r="D438" t="str">
        <f>Data_preprocessing!R438</f>
        <v>Female</v>
      </c>
      <c r="E438" t="str">
        <f>Data_preprocessing!S438</f>
        <v>IT</v>
      </c>
      <c r="F438" t="str">
        <f>Data_preprocessing!T438</f>
        <v>Manager</v>
      </c>
      <c r="G438" s="2">
        <f>Data_preprocessing!U438</f>
        <v>43195</v>
      </c>
      <c r="H438" t="str">
        <f>Data_preprocessing!V438</f>
        <v>B</v>
      </c>
      <c r="I438" t="str">
        <f>Data_preprocessing!Y438</f>
        <v>user@domain.com</v>
      </c>
      <c r="J438" t="str">
        <f>Data_preprocessing!Z438</f>
        <v>Phone not provided</v>
      </c>
      <c r="K438">
        <f t="shared" ca="1" si="18"/>
        <v>7</v>
      </c>
      <c r="L438" t="str">
        <f t="shared" si="19"/>
        <v>High</v>
      </c>
      <c r="M438" t="str">
        <f t="shared" si="20"/>
        <v>Good</v>
      </c>
    </row>
    <row r="439" spans="1:13" x14ac:dyDescent="0.25">
      <c r="A439" t="str">
        <f>Data_preprocessing!M439</f>
        <v>Eve</v>
      </c>
      <c r="B439">
        <f>Data_preprocessing!O439</f>
        <v>35</v>
      </c>
      <c r="C439">
        <f>Data_preprocessing!Q439</f>
        <v>65000</v>
      </c>
      <c r="D439" t="str">
        <f>Data_preprocessing!R439</f>
        <v>Female</v>
      </c>
      <c r="E439" t="str">
        <f>Data_preprocessing!S439</f>
        <v>IT</v>
      </c>
      <c r="F439" t="str">
        <f>Data_preprocessing!T439</f>
        <v>Analyst</v>
      </c>
      <c r="G439" s="2">
        <f>Data_preprocessing!U439</f>
        <v>43549</v>
      </c>
      <c r="H439" t="str">
        <f>Data_preprocessing!V439</f>
        <v>F</v>
      </c>
      <c r="I439" t="str">
        <f>Data_preprocessing!Y439</f>
        <v>email@example.com</v>
      </c>
      <c r="J439" t="str">
        <f>Data_preprocessing!Z439</f>
        <v>098-765-4321</v>
      </c>
      <c r="K439">
        <f t="shared" ca="1" si="18"/>
        <v>6</v>
      </c>
      <c r="L439" t="str">
        <f t="shared" si="19"/>
        <v>High</v>
      </c>
      <c r="M439" t="str">
        <f t="shared" si="20"/>
        <v>Poor</v>
      </c>
    </row>
    <row r="440" spans="1:13" x14ac:dyDescent="0.25">
      <c r="A440" t="str">
        <f>Data_preprocessing!M440</f>
        <v>David</v>
      </c>
      <c r="B440">
        <f>Data_preprocessing!O440</f>
        <v>50</v>
      </c>
      <c r="C440">
        <f>Data_preprocessing!Q440</f>
        <v>60000</v>
      </c>
      <c r="D440" t="str">
        <f>Data_preprocessing!R440</f>
        <v>Male</v>
      </c>
      <c r="E440" t="str">
        <f>Data_preprocessing!S440</f>
        <v>Marketing</v>
      </c>
      <c r="F440" t="str">
        <f>Data_preprocessing!T440</f>
        <v>Assistant</v>
      </c>
      <c r="G440" s="2">
        <f>Data_preprocessing!U440</f>
        <v>43881</v>
      </c>
      <c r="H440" t="str">
        <f>Data_preprocessing!V440</f>
        <v>C</v>
      </c>
      <c r="I440" t="str">
        <f>Data_preprocessing!Y440</f>
        <v>Email not provided</v>
      </c>
      <c r="J440" t="str">
        <f>Data_preprocessing!Z440</f>
        <v>555-555-5555</v>
      </c>
      <c r="K440">
        <f t="shared" ca="1" si="18"/>
        <v>5</v>
      </c>
      <c r="L440" t="str">
        <f t="shared" si="19"/>
        <v>Medium</v>
      </c>
      <c r="M440" t="str">
        <f t="shared" si="20"/>
        <v>Average</v>
      </c>
    </row>
    <row r="441" spans="1:13" x14ac:dyDescent="0.25">
      <c r="A441" t="str">
        <f>Data_preprocessing!M441</f>
        <v>Hannah</v>
      </c>
      <c r="B441">
        <f>Data_preprocessing!O441</f>
        <v>40</v>
      </c>
      <c r="C441">
        <f>Data_preprocessing!Q441</f>
        <v>70000</v>
      </c>
      <c r="D441" t="str">
        <f>Data_preprocessing!R441</f>
        <v>Other</v>
      </c>
      <c r="E441" t="str">
        <f>Data_preprocessing!S441</f>
        <v>Sales</v>
      </c>
      <c r="F441" t="str">
        <f>Data_preprocessing!T441</f>
        <v>Manager</v>
      </c>
      <c r="G441" s="2">
        <f>Data_preprocessing!U441</f>
        <v>43881</v>
      </c>
      <c r="H441" t="str">
        <f>Data_preprocessing!V441</f>
        <v>F</v>
      </c>
      <c r="I441" t="str">
        <f>Data_preprocessing!Y441</f>
        <v>Email not provided</v>
      </c>
      <c r="J441" t="str">
        <f>Data_preprocessing!Z441</f>
        <v>555-555-5555</v>
      </c>
      <c r="K441">
        <f t="shared" ca="1" si="18"/>
        <v>5</v>
      </c>
      <c r="L441" t="str">
        <f t="shared" si="19"/>
        <v>High</v>
      </c>
      <c r="M441" t="str">
        <f t="shared" si="20"/>
        <v>Poor</v>
      </c>
    </row>
    <row r="442" spans="1:13" x14ac:dyDescent="0.25">
      <c r="A442" t="str">
        <f>Data_preprocessing!M442</f>
        <v>Grace</v>
      </c>
      <c r="B442">
        <f>Data_preprocessing!O442</f>
        <v>30</v>
      </c>
      <c r="C442">
        <f>Data_preprocessing!Q442</f>
        <v>60000</v>
      </c>
      <c r="D442" t="str">
        <f>Data_preprocessing!R442</f>
        <v>Male</v>
      </c>
      <c r="E442" t="str">
        <f>Data_preprocessing!S442</f>
        <v>HR</v>
      </c>
      <c r="F442" t="str">
        <f>Data_preprocessing!T442</f>
        <v>Analyst</v>
      </c>
      <c r="G442" s="2">
        <f>Data_preprocessing!U442</f>
        <v>43881</v>
      </c>
      <c r="H442" t="str">
        <f>Data_preprocessing!V442</f>
        <v>D</v>
      </c>
      <c r="I442" t="str">
        <f>Data_preprocessing!Y442</f>
        <v>Email not provided</v>
      </c>
      <c r="J442" t="str">
        <f>Data_preprocessing!Z442</f>
        <v>123-456-7890</v>
      </c>
      <c r="K442">
        <f t="shared" ca="1" si="18"/>
        <v>5</v>
      </c>
      <c r="L442" t="str">
        <f t="shared" si="19"/>
        <v>Medium</v>
      </c>
      <c r="M442" t="str">
        <f t="shared" si="20"/>
        <v>Below Average</v>
      </c>
    </row>
    <row r="443" spans="1:13" x14ac:dyDescent="0.25">
      <c r="A443" t="str">
        <f>Data_preprocessing!M443</f>
        <v>Bob</v>
      </c>
      <c r="B443">
        <f>Data_preprocessing!O443</f>
        <v>25</v>
      </c>
      <c r="C443">
        <f>Data_preprocessing!Q443</f>
        <v>60000</v>
      </c>
      <c r="D443" t="str">
        <f>Data_preprocessing!R443</f>
        <v>Male</v>
      </c>
      <c r="E443" t="str">
        <f>Data_preprocessing!S443</f>
        <v>Sales</v>
      </c>
      <c r="F443" t="str">
        <f>Data_preprocessing!T443</f>
        <v>Analyst</v>
      </c>
      <c r="G443" s="2">
        <f>Data_preprocessing!U443</f>
        <v>43845</v>
      </c>
      <c r="H443" t="str">
        <f>Data_preprocessing!V443</f>
        <v>B</v>
      </c>
      <c r="I443" t="str">
        <f>Data_preprocessing!Y443</f>
        <v>name@company.org</v>
      </c>
      <c r="J443" t="str">
        <f>Data_preprocessing!Z443</f>
        <v>Phone not provided</v>
      </c>
      <c r="K443">
        <f t="shared" ca="1" si="18"/>
        <v>6</v>
      </c>
      <c r="L443" t="str">
        <f t="shared" si="19"/>
        <v>Medium</v>
      </c>
      <c r="M443" t="str">
        <f t="shared" si="20"/>
        <v>Good</v>
      </c>
    </row>
    <row r="444" spans="1:13" x14ac:dyDescent="0.25">
      <c r="A444" t="str">
        <f>Data_preprocessing!M444</f>
        <v>Alice</v>
      </c>
      <c r="B444">
        <f>Data_preprocessing!O444</f>
        <v>35</v>
      </c>
      <c r="C444">
        <f>Data_preprocessing!Q444</f>
        <v>65000</v>
      </c>
      <c r="D444" t="str">
        <f>Data_preprocessing!R444</f>
        <v>Female</v>
      </c>
      <c r="E444" t="str">
        <f>Data_preprocessing!S444</f>
        <v>Marketing</v>
      </c>
      <c r="F444" t="str">
        <f>Data_preprocessing!T444</f>
        <v>Clerk</v>
      </c>
      <c r="G444" s="2">
        <f>Data_preprocessing!U444</f>
        <v>43195</v>
      </c>
      <c r="H444" t="str">
        <f>Data_preprocessing!V444</f>
        <v>F</v>
      </c>
      <c r="I444" t="str">
        <f>Data_preprocessing!Y444</f>
        <v>Email not provided</v>
      </c>
      <c r="J444" t="str">
        <f>Data_preprocessing!Z444</f>
        <v>Phone not provided</v>
      </c>
      <c r="K444">
        <f t="shared" ca="1" si="18"/>
        <v>7</v>
      </c>
      <c r="L444" t="str">
        <f t="shared" si="19"/>
        <v>High</v>
      </c>
      <c r="M444" t="str">
        <f t="shared" si="20"/>
        <v>Poor</v>
      </c>
    </row>
    <row r="445" spans="1:13" x14ac:dyDescent="0.25">
      <c r="A445" t="str">
        <f>Data_preprocessing!M445</f>
        <v>David</v>
      </c>
      <c r="B445">
        <f>Data_preprocessing!O445</f>
        <v>35</v>
      </c>
      <c r="C445">
        <f>Data_preprocessing!Q445</f>
        <v>60000</v>
      </c>
      <c r="D445" t="str">
        <f>Data_preprocessing!R445</f>
        <v>Male</v>
      </c>
      <c r="E445" t="str">
        <f>Data_preprocessing!S445</f>
        <v>HR</v>
      </c>
      <c r="F445" t="str">
        <f>Data_preprocessing!T445</f>
        <v>Clerk</v>
      </c>
      <c r="G445" s="2">
        <f>Data_preprocessing!U445</f>
        <v>43845</v>
      </c>
      <c r="H445" t="str">
        <f>Data_preprocessing!V445</f>
        <v>B</v>
      </c>
      <c r="I445" t="str">
        <f>Data_preprocessing!Y445</f>
        <v>Email not provided</v>
      </c>
      <c r="J445" t="str">
        <f>Data_preprocessing!Z445</f>
        <v>098-765-4321</v>
      </c>
      <c r="K445">
        <f t="shared" ca="1" si="18"/>
        <v>6</v>
      </c>
      <c r="L445" t="str">
        <f t="shared" si="19"/>
        <v>Medium</v>
      </c>
      <c r="M445" t="str">
        <f t="shared" si="20"/>
        <v>Good</v>
      </c>
    </row>
    <row r="446" spans="1:13" x14ac:dyDescent="0.25">
      <c r="A446" t="str">
        <f>Data_preprocessing!M446</f>
        <v>Hannah</v>
      </c>
      <c r="B446">
        <f>Data_preprocessing!O446</f>
        <v>35</v>
      </c>
      <c r="C446">
        <f>Data_preprocessing!Q446</f>
        <v>60000</v>
      </c>
      <c r="D446" t="str">
        <f>Data_preprocessing!R446</f>
        <v>Female</v>
      </c>
      <c r="E446" t="str">
        <f>Data_preprocessing!S446</f>
        <v>HR</v>
      </c>
      <c r="F446" t="str">
        <f>Data_preprocessing!T446</f>
        <v>Manager</v>
      </c>
      <c r="G446" s="2">
        <f>Data_preprocessing!U446</f>
        <v>43195</v>
      </c>
      <c r="H446" t="str">
        <f>Data_preprocessing!V446</f>
        <v>C</v>
      </c>
      <c r="I446" t="str">
        <f>Data_preprocessing!Y446</f>
        <v>name@company.org</v>
      </c>
      <c r="J446" t="str">
        <f>Data_preprocessing!Z446</f>
        <v>123-456-7890</v>
      </c>
      <c r="K446">
        <f t="shared" ca="1" si="18"/>
        <v>7</v>
      </c>
      <c r="L446" t="str">
        <f t="shared" si="19"/>
        <v>Medium</v>
      </c>
      <c r="M446" t="str">
        <f t="shared" si="20"/>
        <v>Average</v>
      </c>
    </row>
    <row r="447" spans="1:13" x14ac:dyDescent="0.25">
      <c r="A447" t="str">
        <f>Data_preprocessing!M447</f>
        <v>Bob</v>
      </c>
      <c r="B447">
        <f>Data_preprocessing!O447</f>
        <v>35</v>
      </c>
      <c r="C447">
        <f>Data_preprocessing!Q447</f>
        <v>70000</v>
      </c>
      <c r="D447" t="str">
        <f>Data_preprocessing!R447</f>
        <v>Other</v>
      </c>
      <c r="E447" t="str">
        <f>Data_preprocessing!S447</f>
        <v>Sales</v>
      </c>
      <c r="F447" t="str">
        <f>Data_preprocessing!T447</f>
        <v>Clerk</v>
      </c>
      <c r="G447" s="2">
        <f>Data_preprocessing!U447</f>
        <v>43881</v>
      </c>
      <c r="H447" t="str">
        <f>Data_preprocessing!V447</f>
        <v>A</v>
      </c>
      <c r="I447" t="str">
        <f>Data_preprocessing!Y447</f>
        <v>Email not provided</v>
      </c>
      <c r="J447" t="str">
        <f>Data_preprocessing!Z447</f>
        <v>555-555-5555</v>
      </c>
      <c r="K447">
        <f t="shared" ca="1" si="18"/>
        <v>5</v>
      </c>
      <c r="L447" t="str">
        <f t="shared" si="19"/>
        <v>High</v>
      </c>
      <c r="M447" t="str">
        <f t="shared" si="20"/>
        <v>Excellent</v>
      </c>
    </row>
    <row r="448" spans="1:13" x14ac:dyDescent="0.25">
      <c r="A448" t="str">
        <f>Data_preprocessing!M448</f>
        <v>Charlie</v>
      </c>
      <c r="B448">
        <f>Data_preprocessing!O448</f>
        <v>40</v>
      </c>
      <c r="C448">
        <f>Data_preprocessing!Q448</f>
        <v>70000</v>
      </c>
      <c r="D448" t="str">
        <f>Data_preprocessing!R448</f>
        <v>Other</v>
      </c>
      <c r="E448" t="str">
        <f>Data_preprocessing!S448</f>
        <v>Finance</v>
      </c>
      <c r="F448" t="str">
        <f>Data_preprocessing!T448</f>
        <v>Analyst</v>
      </c>
      <c r="G448" s="2">
        <f>Data_preprocessing!U448</f>
        <v>43549</v>
      </c>
      <c r="H448" t="str">
        <f>Data_preprocessing!V448</f>
        <v>F</v>
      </c>
      <c r="I448" t="str">
        <f>Data_preprocessing!Y448</f>
        <v>Email not provided</v>
      </c>
      <c r="J448" t="str">
        <f>Data_preprocessing!Z448</f>
        <v>Phone not provided</v>
      </c>
      <c r="K448">
        <f t="shared" ca="1" si="18"/>
        <v>6</v>
      </c>
      <c r="L448" t="str">
        <f t="shared" si="19"/>
        <v>High</v>
      </c>
      <c r="M448" t="str">
        <f t="shared" si="20"/>
        <v>Poor</v>
      </c>
    </row>
    <row r="449" spans="1:13" x14ac:dyDescent="0.25">
      <c r="A449" t="str">
        <f>Data_preprocessing!M449</f>
        <v>Alice</v>
      </c>
      <c r="B449">
        <f>Data_preprocessing!O449</f>
        <v>50</v>
      </c>
      <c r="C449">
        <f>Data_preprocessing!Q449</f>
        <v>60000</v>
      </c>
      <c r="D449" t="str">
        <f>Data_preprocessing!R449</f>
        <v>Other</v>
      </c>
      <c r="E449" t="str">
        <f>Data_preprocessing!S449</f>
        <v>IT</v>
      </c>
      <c r="F449" t="str">
        <f>Data_preprocessing!T449</f>
        <v>Clerk</v>
      </c>
      <c r="G449" s="2">
        <f>Data_preprocessing!U449</f>
        <v>43800</v>
      </c>
      <c r="H449" t="str">
        <f>Data_preprocessing!V449</f>
        <v>F</v>
      </c>
      <c r="I449" t="str">
        <f>Data_preprocessing!Y449</f>
        <v>Email not provided</v>
      </c>
      <c r="J449" t="str">
        <f>Data_preprocessing!Z449</f>
        <v>Phone not provided</v>
      </c>
      <c r="K449">
        <f t="shared" ca="1" si="18"/>
        <v>6</v>
      </c>
      <c r="L449" t="str">
        <f t="shared" si="19"/>
        <v>Medium</v>
      </c>
      <c r="M449" t="str">
        <f t="shared" si="20"/>
        <v>Poor</v>
      </c>
    </row>
    <row r="450" spans="1:13" x14ac:dyDescent="0.25">
      <c r="A450" t="str">
        <f>Data_preprocessing!M450</f>
        <v>Alice</v>
      </c>
      <c r="B450">
        <f>Data_preprocessing!O450</f>
        <v>40</v>
      </c>
      <c r="C450">
        <f>Data_preprocessing!Q450</f>
        <v>70000</v>
      </c>
      <c r="D450" t="str">
        <f>Data_preprocessing!R450</f>
        <v>Male</v>
      </c>
      <c r="E450" t="str">
        <f>Data_preprocessing!S450</f>
        <v>Finance</v>
      </c>
      <c r="F450" t="str">
        <f>Data_preprocessing!T450</f>
        <v>Director</v>
      </c>
      <c r="G450" s="2">
        <f>Data_preprocessing!U450</f>
        <v>43800</v>
      </c>
      <c r="H450" t="str">
        <f>Data_preprocessing!V450</f>
        <v>B</v>
      </c>
      <c r="I450" t="str">
        <f>Data_preprocessing!Y450</f>
        <v>name@company.org</v>
      </c>
      <c r="J450" t="str">
        <f>Data_preprocessing!Z450</f>
        <v>123-456-7890</v>
      </c>
      <c r="K450">
        <f t="shared" ref="K450:K513" ca="1" si="21">DATEDIF(G450,TODAY(),"Y")</f>
        <v>6</v>
      </c>
      <c r="L450" t="str">
        <f t="shared" ref="L450:L513" si="22">IF(C450&lt;60000,"Low",IF(C450&lt;65000,"Medium","High"))</f>
        <v>High</v>
      </c>
      <c r="M450" t="str">
        <f t="shared" si="20"/>
        <v>Good</v>
      </c>
    </row>
    <row r="451" spans="1:13" x14ac:dyDescent="0.25">
      <c r="A451" t="str">
        <f>Data_preprocessing!M451</f>
        <v>Charlie</v>
      </c>
      <c r="B451">
        <f>Data_preprocessing!O451</f>
        <v>35</v>
      </c>
      <c r="C451">
        <f>Data_preprocessing!Q451</f>
        <v>60000</v>
      </c>
      <c r="D451" t="str">
        <f>Data_preprocessing!R451</f>
        <v>Female</v>
      </c>
      <c r="E451" t="str">
        <f>Data_preprocessing!S451</f>
        <v>Sales</v>
      </c>
      <c r="F451" t="str">
        <f>Data_preprocessing!T451</f>
        <v>Clerk</v>
      </c>
      <c r="G451" s="2">
        <f>Data_preprocessing!U451</f>
        <v>43881</v>
      </c>
      <c r="H451" t="str">
        <f>Data_preprocessing!V451</f>
        <v>C</v>
      </c>
      <c r="I451" t="str">
        <f>Data_preprocessing!Y451</f>
        <v>email@example.com</v>
      </c>
      <c r="J451" t="str">
        <f>Data_preprocessing!Z451</f>
        <v>Phone not provided</v>
      </c>
      <c r="K451">
        <f t="shared" ca="1" si="21"/>
        <v>5</v>
      </c>
      <c r="L451" t="str">
        <f t="shared" si="22"/>
        <v>Medium</v>
      </c>
      <c r="M451" t="str">
        <f t="shared" ref="M451:M514" si="23">IF(H451="A","Excellent",IF(H451="B","Good",IF(H451="C","Average",IF(H451="D","Below Average","Poor"))))</f>
        <v>Average</v>
      </c>
    </row>
    <row r="452" spans="1:13" x14ac:dyDescent="0.25">
      <c r="A452" t="str">
        <f>Data_preprocessing!M452</f>
        <v>Eve</v>
      </c>
      <c r="B452">
        <f>Data_preprocessing!O452</f>
        <v>40</v>
      </c>
      <c r="C452">
        <f>Data_preprocessing!Q452</f>
        <v>55000</v>
      </c>
      <c r="D452" t="str">
        <f>Data_preprocessing!R452</f>
        <v>Other</v>
      </c>
      <c r="E452" t="str">
        <f>Data_preprocessing!S452</f>
        <v>IT</v>
      </c>
      <c r="F452" t="str">
        <f>Data_preprocessing!T452</f>
        <v>Analyst</v>
      </c>
      <c r="G452" s="2">
        <f>Data_preprocessing!U452</f>
        <v>43845</v>
      </c>
      <c r="H452" t="str">
        <f>Data_preprocessing!V452</f>
        <v>D</v>
      </c>
      <c r="I452" t="str">
        <f>Data_preprocessing!Y452</f>
        <v>user@domain.com</v>
      </c>
      <c r="J452" t="str">
        <f>Data_preprocessing!Z452</f>
        <v>555-555-5555</v>
      </c>
      <c r="K452">
        <f t="shared" ca="1" si="21"/>
        <v>6</v>
      </c>
      <c r="L452" t="str">
        <f t="shared" si="22"/>
        <v>Low</v>
      </c>
      <c r="M452" t="str">
        <f t="shared" si="23"/>
        <v>Below Average</v>
      </c>
    </row>
    <row r="453" spans="1:13" x14ac:dyDescent="0.25">
      <c r="A453" t="str">
        <f>Data_preprocessing!M453</f>
        <v>Charlie</v>
      </c>
      <c r="B453">
        <f>Data_preprocessing!O453</f>
        <v>50</v>
      </c>
      <c r="C453">
        <f>Data_preprocessing!Q453</f>
        <v>60000</v>
      </c>
      <c r="D453" t="str">
        <f>Data_preprocessing!R453</f>
        <v>Female</v>
      </c>
      <c r="E453" t="str">
        <f>Data_preprocessing!S453</f>
        <v>Finance</v>
      </c>
      <c r="F453" t="str">
        <f>Data_preprocessing!T453</f>
        <v>Manager</v>
      </c>
      <c r="G453" s="2">
        <f>Data_preprocessing!U453</f>
        <v>43549</v>
      </c>
      <c r="H453" t="str">
        <f>Data_preprocessing!V453</f>
        <v>C</v>
      </c>
      <c r="I453" t="str">
        <f>Data_preprocessing!Y453</f>
        <v>Email not provided</v>
      </c>
      <c r="J453" t="str">
        <f>Data_preprocessing!Z453</f>
        <v>123-456-7890</v>
      </c>
      <c r="K453">
        <f t="shared" ca="1" si="21"/>
        <v>6</v>
      </c>
      <c r="L453" t="str">
        <f t="shared" si="22"/>
        <v>Medium</v>
      </c>
      <c r="M453" t="str">
        <f t="shared" si="23"/>
        <v>Average</v>
      </c>
    </row>
    <row r="454" spans="1:13" x14ac:dyDescent="0.25">
      <c r="A454" t="str">
        <f>Data_preprocessing!M454</f>
        <v>Alice</v>
      </c>
      <c r="B454">
        <f>Data_preprocessing!O454</f>
        <v>30</v>
      </c>
      <c r="C454">
        <f>Data_preprocessing!Q454</f>
        <v>60000</v>
      </c>
      <c r="D454" t="str">
        <f>Data_preprocessing!R454</f>
        <v>Female</v>
      </c>
      <c r="E454" t="str">
        <f>Data_preprocessing!S454</f>
        <v>IT</v>
      </c>
      <c r="F454" t="str">
        <f>Data_preprocessing!T454</f>
        <v>Assistant</v>
      </c>
      <c r="G454" s="2">
        <f>Data_preprocessing!U454</f>
        <v>43195</v>
      </c>
      <c r="H454" t="str">
        <f>Data_preprocessing!V454</f>
        <v>F</v>
      </c>
      <c r="I454" t="str">
        <f>Data_preprocessing!Y454</f>
        <v>name@company.org</v>
      </c>
      <c r="J454" t="str">
        <f>Data_preprocessing!Z454</f>
        <v>Phone not provided</v>
      </c>
      <c r="K454">
        <f t="shared" ca="1" si="21"/>
        <v>7</v>
      </c>
      <c r="L454" t="str">
        <f t="shared" si="22"/>
        <v>Medium</v>
      </c>
      <c r="M454" t="str">
        <f t="shared" si="23"/>
        <v>Poor</v>
      </c>
    </row>
    <row r="455" spans="1:13" x14ac:dyDescent="0.25">
      <c r="A455" t="str">
        <f>Data_preprocessing!M455</f>
        <v>Alice</v>
      </c>
      <c r="B455">
        <f>Data_preprocessing!O455</f>
        <v>35</v>
      </c>
      <c r="C455">
        <f>Data_preprocessing!Q455</f>
        <v>70000</v>
      </c>
      <c r="D455" t="str">
        <f>Data_preprocessing!R455</f>
        <v>Other</v>
      </c>
      <c r="E455" t="str">
        <f>Data_preprocessing!S455</f>
        <v>HR</v>
      </c>
      <c r="F455" t="str">
        <f>Data_preprocessing!T455</f>
        <v>Clerk</v>
      </c>
      <c r="G455" s="2">
        <f>Data_preprocessing!U455</f>
        <v>43881</v>
      </c>
      <c r="H455" t="str">
        <f>Data_preprocessing!V455</f>
        <v>D</v>
      </c>
      <c r="I455" t="str">
        <f>Data_preprocessing!Y455</f>
        <v>Email not provided</v>
      </c>
      <c r="J455" t="str">
        <f>Data_preprocessing!Z455</f>
        <v>Phone not provided</v>
      </c>
      <c r="K455">
        <f t="shared" ca="1" si="21"/>
        <v>5</v>
      </c>
      <c r="L455" t="str">
        <f t="shared" si="22"/>
        <v>High</v>
      </c>
      <c r="M455" t="str">
        <f t="shared" si="23"/>
        <v>Below Average</v>
      </c>
    </row>
    <row r="456" spans="1:13" x14ac:dyDescent="0.25">
      <c r="A456" t="str">
        <f>Data_preprocessing!M456</f>
        <v>Hannah</v>
      </c>
      <c r="B456">
        <f>Data_preprocessing!O456</f>
        <v>30</v>
      </c>
      <c r="C456">
        <f>Data_preprocessing!Q456</f>
        <v>60000</v>
      </c>
      <c r="D456" t="str">
        <f>Data_preprocessing!R456</f>
        <v>Other</v>
      </c>
      <c r="E456" t="str">
        <f>Data_preprocessing!S456</f>
        <v>Finance</v>
      </c>
      <c r="F456" t="str">
        <f>Data_preprocessing!T456</f>
        <v>Analyst</v>
      </c>
      <c r="G456" s="2">
        <f>Data_preprocessing!U456</f>
        <v>43549</v>
      </c>
      <c r="H456" t="str">
        <f>Data_preprocessing!V456</f>
        <v>C</v>
      </c>
      <c r="I456" t="str">
        <f>Data_preprocessing!Y456</f>
        <v>name@company.org</v>
      </c>
      <c r="J456" t="str">
        <f>Data_preprocessing!Z456</f>
        <v>098-765-4321</v>
      </c>
      <c r="K456">
        <f t="shared" ca="1" si="21"/>
        <v>6</v>
      </c>
      <c r="L456" t="str">
        <f t="shared" si="22"/>
        <v>Medium</v>
      </c>
      <c r="M456" t="str">
        <f t="shared" si="23"/>
        <v>Average</v>
      </c>
    </row>
    <row r="457" spans="1:13" x14ac:dyDescent="0.25">
      <c r="A457" t="str">
        <f>Data_preprocessing!M457</f>
        <v>Jack</v>
      </c>
      <c r="B457">
        <f>Data_preprocessing!O457</f>
        <v>25</v>
      </c>
      <c r="C457">
        <f>Data_preprocessing!Q457</f>
        <v>60000</v>
      </c>
      <c r="D457" t="str">
        <f>Data_preprocessing!R457</f>
        <v>Female</v>
      </c>
      <c r="E457" t="str">
        <f>Data_preprocessing!S457</f>
        <v>IT</v>
      </c>
      <c r="F457" t="str">
        <f>Data_preprocessing!T457</f>
        <v>Assistant</v>
      </c>
      <c r="G457" s="2">
        <f>Data_preprocessing!U457</f>
        <v>43549</v>
      </c>
      <c r="H457" t="str">
        <f>Data_preprocessing!V457</f>
        <v>A</v>
      </c>
      <c r="I457" t="str">
        <f>Data_preprocessing!Y457</f>
        <v>user@domain.com</v>
      </c>
      <c r="J457" t="str">
        <f>Data_preprocessing!Z457</f>
        <v>555-555-5555</v>
      </c>
      <c r="K457">
        <f t="shared" ca="1" si="21"/>
        <v>6</v>
      </c>
      <c r="L457" t="str">
        <f t="shared" si="22"/>
        <v>Medium</v>
      </c>
      <c r="M457" t="str">
        <f t="shared" si="23"/>
        <v>Excellent</v>
      </c>
    </row>
    <row r="458" spans="1:13" x14ac:dyDescent="0.25">
      <c r="A458" t="str">
        <f>Data_preprocessing!M458</f>
        <v>Bob</v>
      </c>
      <c r="B458">
        <f>Data_preprocessing!O458</f>
        <v>30</v>
      </c>
      <c r="C458">
        <f>Data_preprocessing!Q458</f>
        <v>70000</v>
      </c>
      <c r="D458" t="str">
        <f>Data_preprocessing!R458</f>
        <v>Other</v>
      </c>
      <c r="E458" t="str">
        <f>Data_preprocessing!S458</f>
        <v>IT</v>
      </c>
      <c r="F458" t="str">
        <f>Data_preprocessing!T458</f>
        <v>Assistant</v>
      </c>
      <c r="G458" s="2">
        <f>Data_preprocessing!U458</f>
        <v>43195</v>
      </c>
      <c r="H458" t="str">
        <f>Data_preprocessing!V458</f>
        <v>B</v>
      </c>
      <c r="I458" t="str">
        <f>Data_preprocessing!Y458</f>
        <v>user@domain.com</v>
      </c>
      <c r="J458" t="str">
        <f>Data_preprocessing!Z458</f>
        <v>555-555-5555</v>
      </c>
      <c r="K458">
        <f t="shared" ca="1" si="21"/>
        <v>7</v>
      </c>
      <c r="L458" t="str">
        <f t="shared" si="22"/>
        <v>High</v>
      </c>
      <c r="M458" t="str">
        <f t="shared" si="23"/>
        <v>Good</v>
      </c>
    </row>
    <row r="459" spans="1:13" x14ac:dyDescent="0.25">
      <c r="A459" t="str">
        <f>Data_preprocessing!M459</f>
        <v>Charlie</v>
      </c>
      <c r="B459">
        <f>Data_preprocessing!O459</f>
        <v>25</v>
      </c>
      <c r="C459">
        <f>Data_preprocessing!Q459</f>
        <v>55000</v>
      </c>
      <c r="D459" t="str">
        <f>Data_preprocessing!R459</f>
        <v>Female</v>
      </c>
      <c r="E459" t="str">
        <f>Data_preprocessing!S459</f>
        <v>IT</v>
      </c>
      <c r="F459" t="str">
        <f>Data_preprocessing!T459</f>
        <v>Director</v>
      </c>
      <c r="G459" s="2">
        <f>Data_preprocessing!U459</f>
        <v>43549</v>
      </c>
      <c r="H459" t="str">
        <f>Data_preprocessing!V459</f>
        <v>C</v>
      </c>
      <c r="I459" t="str">
        <f>Data_preprocessing!Y459</f>
        <v>email@example.com</v>
      </c>
      <c r="J459" t="str">
        <f>Data_preprocessing!Z459</f>
        <v>Phone not provided</v>
      </c>
      <c r="K459">
        <f t="shared" ca="1" si="21"/>
        <v>6</v>
      </c>
      <c r="L459" t="str">
        <f t="shared" si="22"/>
        <v>Low</v>
      </c>
      <c r="M459" t="str">
        <f t="shared" si="23"/>
        <v>Average</v>
      </c>
    </row>
    <row r="460" spans="1:13" x14ac:dyDescent="0.25">
      <c r="A460" t="str">
        <f>Data_preprocessing!M460</f>
        <v>Bob</v>
      </c>
      <c r="B460">
        <f>Data_preprocessing!O460</f>
        <v>25</v>
      </c>
      <c r="C460">
        <f>Data_preprocessing!Q460</f>
        <v>55000</v>
      </c>
      <c r="D460" t="str">
        <f>Data_preprocessing!R460</f>
        <v>Female</v>
      </c>
      <c r="E460" t="str">
        <f>Data_preprocessing!S460</f>
        <v>Finance</v>
      </c>
      <c r="F460" t="str">
        <f>Data_preprocessing!T460</f>
        <v>Assistant</v>
      </c>
      <c r="G460" s="2">
        <f>Data_preprocessing!U460</f>
        <v>43845</v>
      </c>
      <c r="H460" t="str">
        <f>Data_preprocessing!V460</f>
        <v>C</v>
      </c>
      <c r="I460" t="str">
        <f>Data_preprocessing!Y460</f>
        <v>email@example.com</v>
      </c>
      <c r="J460" t="str">
        <f>Data_preprocessing!Z460</f>
        <v>123-456-7890</v>
      </c>
      <c r="K460">
        <f t="shared" ca="1" si="21"/>
        <v>6</v>
      </c>
      <c r="L460" t="str">
        <f t="shared" si="22"/>
        <v>Low</v>
      </c>
      <c r="M460" t="str">
        <f t="shared" si="23"/>
        <v>Average</v>
      </c>
    </row>
    <row r="461" spans="1:13" x14ac:dyDescent="0.25">
      <c r="A461" t="str">
        <f>Data_preprocessing!M461</f>
        <v>Charlie</v>
      </c>
      <c r="B461">
        <f>Data_preprocessing!O461</f>
        <v>30</v>
      </c>
      <c r="C461">
        <f>Data_preprocessing!Q461</f>
        <v>70000</v>
      </c>
      <c r="D461" t="str">
        <f>Data_preprocessing!R461</f>
        <v>Other</v>
      </c>
      <c r="E461" t="str">
        <f>Data_preprocessing!S461</f>
        <v>Marketing</v>
      </c>
      <c r="F461" t="str">
        <f>Data_preprocessing!T461</f>
        <v>Analyst</v>
      </c>
      <c r="G461" s="2">
        <f>Data_preprocessing!U461</f>
        <v>43845</v>
      </c>
      <c r="H461" t="str">
        <f>Data_preprocessing!V461</f>
        <v>A</v>
      </c>
      <c r="I461" t="str">
        <f>Data_preprocessing!Y461</f>
        <v>user@domain.com</v>
      </c>
      <c r="J461" t="str">
        <f>Data_preprocessing!Z461</f>
        <v>Phone not provided</v>
      </c>
      <c r="K461">
        <f t="shared" ca="1" si="21"/>
        <v>6</v>
      </c>
      <c r="L461" t="str">
        <f t="shared" si="22"/>
        <v>High</v>
      </c>
      <c r="M461" t="str">
        <f t="shared" si="23"/>
        <v>Excellent</v>
      </c>
    </row>
    <row r="462" spans="1:13" x14ac:dyDescent="0.25">
      <c r="A462" t="str">
        <f>Data_preprocessing!M462</f>
        <v>Grace</v>
      </c>
      <c r="B462">
        <f>Data_preprocessing!O462</f>
        <v>35</v>
      </c>
      <c r="C462">
        <f>Data_preprocessing!Q462</f>
        <v>50000</v>
      </c>
      <c r="D462" t="str">
        <f>Data_preprocessing!R462</f>
        <v>Male</v>
      </c>
      <c r="E462" t="str">
        <f>Data_preprocessing!S462</f>
        <v>Finance</v>
      </c>
      <c r="F462" t="str">
        <f>Data_preprocessing!T462</f>
        <v>Analyst</v>
      </c>
      <c r="G462" s="2">
        <f>Data_preprocessing!U462</f>
        <v>43845</v>
      </c>
      <c r="H462" t="str">
        <f>Data_preprocessing!V462</f>
        <v>F</v>
      </c>
      <c r="I462" t="str">
        <f>Data_preprocessing!Y462</f>
        <v>Email not provided</v>
      </c>
      <c r="J462" t="str">
        <f>Data_preprocessing!Z462</f>
        <v>Phone not provided</v>
      </c>
      <c r="K462">
        <f t="shared" ca="1" si="21"/>
        <v>6</v>
      </c>
      <c r="L462" t="str">
        <f t="shared" si="22"/>
        <v>Low</v>
      </c>
      <c r="M462" t="str">
        <f t="shared" si="23"/>
        <v>Poor</v>
      </c>
    </row>
    <row r="463" spans="1:13" x14ac:dyDescent="0.25">
      <c r="A463" t="str">
        <f>Data_preprocessing!M463</f>
        <v>Alice</v>
      </c>
      <c r="B463">
        <f>Data_preprocessing!O463</f>
        <v>50</v>
      </c>
      <c r="C463">
        <f>Data_preprocessing!Q463</f>
        <v>70000</v>
      </c>
      <c r="D463" t="str">
        <f>Data_preprocessing!R463</f>
        <v>Other</v>
      </c>
      <c r="E463" t="str">
        <f>Data_preprocessing!S463</f>
        <v>Sales</v>
      </c>
      <c r="F463" t="str">
        <f>Data_preprocessing!T463</f>
        <v>Clerk</v>
      </c>
      <c r="G463" s="2">
        <f>Data_preprocessing!U463</f>
        <v>43549</v>
      </c>
      <c r="H463" t="str">
        <f>Data_preprocessing!V463</f>
        <v>B</v>
      </c>
      <c r="I463" t="str">
        <f>Data_preprocessing!Y463</f>
        <v>Email not provided</v>
      </c>
      <c r="J463" t="str">
        <f>Data_preprocessing!Z463</f>
        <v>098-765-4321</v>
      </c>
      <c r="K463">
        <f t="shared" ca="1" si="21"/>
        <v>6</v>
      </c>
      <c r="L463" t="str">
        <f t="shared" si="22"/>
        <v>High</v>
      </c>
      <c r="M463" t="str">
        <f t="shared" si="23"/>
        <v>Good</v>
      </c>
    </row>
    <row r="464" spans="1:13" x14ac:dyDescent="0.25">
      <c r="A464" t="str">
        <f>Data_preprocessing!M464</f>
        <v>Jack</v>
      </c>
      <c r="B464">
        <f>Data_preprocessing!O464</f>
        <v>40</v>
      </c>
      <c r="C464">
        <f>Data_preprocessing!Q464</f>
        <v>70000</v>
      </c>
      <c r="D464" t="str">
        <f>Data_preprocessing!R464</f>
        <v>Male</v>
      </c>
      <c r="E464" t="str">
        <f>Data_preprocessing!S464</f>
        <v>Finance</v>
      </c>
      <c r="F464" t="str">
        <f>Data_preprocessing!T464</f>
        <v>Clerk</v>
      </c>
      <c r="G464" s="2">
        <f>Data_preprocessing!U464</f>
        <v>43845</v>
      </c>
      <c r="H464" t="str">
        <f>Data_preprocessing!V464</f>
        <v>C</v>
      </c>
      <c r="I464" t="str">
        <f>Data_preprocessing!Y464</f>
        <v>Email not provided</v>
      </c>
      <c r="J464" t="str">
        <f>Data_preprocessing!Z464</f>
        <v>098-765-4321</v>
      </c>
      <c r="K464">
        <f t="shared" ca="1" si="21"/>
        <v>6</v>
      </c>
      <c r="L464" t="str">
        <f t="shared" si="22"/>
        <v>High</v>
      </c>
      <c r="M464" t="str">
        <f t="shared" si="23"/>
        <v>Average</v>
      </c>
    </row>
    <row r="465" spans="1:13" x14ac:dyDescent="0.25">
      <c r="A465" t="str">
        <f>Data_preprocessing!M465</f>
        <v>Hannah</v>
      </c>
      <c r="B465">
        <f>Data_preprocessing!O465</f>
        <v>40</v>
      </c>
      <c r="C465">
        <f>Data_preprocessing!Q465</f>
        <v>55000</v>
      </c>
      <c r="D465" t="str">
        <f>Data_preprocessing!R465</f>
        <v>Female</v>
      </c>
      <c r="E465" t="str">
        <f>Data_preprocessing!S465</f>
        <v>IT</v>
      </c>
      <c r="F465" t="str">
        <f>Data_preprocessing!T465</f>
        <v>Clerk</v>
      </c>
      <c r="G465" s="2">
        <f>Data_preprocessing!U465</f>
        <v>43195</v>
      </c>
      <c r="H465" t="str">
        <f>Data_preprocessing!V465</f>
        <v>D</v>
      </c>
      <c r="I465" t="str">
        <f>Data_preprocessing!Y465</f>
        <v>email@example.com</v>
      </c>
      <c r="J465" t="str">
        <f>Data_preprocessing!Z465</f>
        <v>098-765-4321</v>
      </c>
      <c r="K465">
        <f t="shared" ca="1" si="21"/>
        <v>7</v>
      </c>
      <c r="L465" t="str">
        <f t="shared" si="22"/>
        <v>Low</v>
      </c>
      <c r="M465" t="str">
        <f t="shared" si="23"/>
        <v>Below Average</v>
      </c>
    </row>
    <row r="466" spans="1:13" x14ac:dyDescent="0.25">
      <c r="A466" t="str">
        <f>Data_preprocessing!M466</f>
        <v>Jack</v>
      </c>
      <c r="B466">
        <f>Data_preprocessing!O466</f>
        <v>50</v>
      </c>
      <c r="C466">
        <f>Data_preprocessing!Q466</f>
        <v>55000</v>
      </c>
      <c r="D466" t="str">
        <f>Data_preprocessing!R466</f>
        <v>Female</v>
      </c>
      <c r="E466" t="str">
        <f>Data_preprocessing!S466</f>
        <v>HR</v>
      </c>
      <c r="F466" t="str">
        <f>Data_preprocessing!T466</f>
        <v>Assistant</v>
      </c>
      <c r="G466" s="2">
        <f>Data_preprocessing!U466</f>
        <v>43549</v>
      </c>
      <c r="H466" t="str">
        <f>Data_preprocessing!V466</f>
        <v>C</v>
      </c>
      <c r="I466" t="str">
        <f>Data_preprocessing!Y466</f>
        <v>Email not provided</v>
      </c>
      <c r="J466" t="str">
        <f>Data_preprocessing!Z466</f>
        <v>Phone not provided</v>
      </c>
      <c r="K466">
        <f t="shared" ca="1" si="21"/>
        <v>6</v>
      </c>
      <c r="L466" t="str">
        <f t="shared" si="22"/>
        <v>Low</v>
      </c>
      <c r="M466" t="str">
        <f t="shared" si="23"/>
        <v>Average</v>
      </c>
    </row>
    <row r="467" spans="1:13" x14ac:dyDescent="0.25">
      <c r="A467" t="str">
        <f>Data_preprocessing!M467</f>
        <v>Jack</v>
      </c>
      <c r="B467">
        <f>Data_preprocessing!O467</f>
        <v>25</v>
      </c>
      <c r="C467">
        <f>Data_preprocessing!Q467</f>
        <v>70000</v>
      </c>
      <c r="D467" t="str">
        <f>Data_preprocessing!R467</f>
        <v>Male</v>
      </c>
      <c r="E467" t="str">
        <f>Data_preprocessing!S467</f>
        <v>Finance</v>
      </c>
      <c r="F467" t="str">
        <f>Data_preprocessing!T467</f>
        <v>Assistant</v>
      </c>
      <c r="G467" s="2">
        <f>Data_preprocessing!U467</f>
        <v>43800</v>
      </c>
      <c r="H467" t="str">
        <f>Data_preprocessing!V467</f>
        <v>B</v>
      </c>
      <c r="I467" t="str">
        <f>Data_preprocessing!Y467</f>
        <v>email@example.com</v>
      </c>
      <c r="J467" t="str">
        <f>Data_preprocessing!Z467</f>
        <v>Phone not provided</v>
      </c>
      <c r="K467">
        <f t="shared" ca="1" si="21"/>
        <v>6</v>
      </c>
      <c r="L467" t="str">
        <f t="shared" si="22"/>
        <v>High</v>
      </c>
      <c r="M467" t="str">
        <f t="shared" si="23"/>
        <v>Good</v>
      </c>
    </row>
    <row r="468" spans="1:13" x14ac:dyDescent="0.25">
      <c r="A468" t="str">
        <f>Data_preprocessing!M468</f>
        <v>Jack</v>
      </c>
      <c r="B468">
        <f>Data_preprocessing!O468</f>
        <v>25</v>
      </c>
      <c r="C468">
        <f>Data_preprocessing!Q468</f>
        <v>70000</v>
      </c>
      <c r="D468" t="str">
        <f>Data_preprocessing!R468</f>
        <v>Female</v>
      </c>
      <c r="E468" t="str">
        <f>Data_preprocessing!S468</f>
        <v>Finance</v>
      </c>
      <c r="F468" t="str">
        <f>Data_preprocessing!T468</f>
        <v>Director</v>
      </c>
      <c r="G468" s="2">
        <f>Data_preprocessing!U468</f>
        <v>43549</v>
      </c>
      <c r="H468" t="str">
        <f>Data_preprocessing!V468</f>
        <v>C</v>
      </c>
      <c r="I468" t="str">
        <f>Data_preprocessing!Y468</f>
        <v>user@domain.com</v>
      </c>
      <c r="J468" t="str">
        <f>Data_preprocessing!Z468</f>
        <v>555-555-5555</v>
      </c>
      <c r="K468">
        <f t="shared" ca="1" si="21"/>
        <v>6</v>
      </c>
      <c r="L468" t="str">
        <f t="shared" si="22"/>
        <v>High</v>
      </c>
      <c r="M468" t="str">
        <f t="shared" si="23"/>
        <v>Average</v>
      </c>
    </row>
    <row r="469" spans="1:13" x14ac:dyDescent="0.25">
      <c r="A469" t="str">
        <f>Data_preprocessing!M469</f>
        <v>Bob</v>
      </c>
      <c r="B469">
        <f>Data_preprocessing!O469</f>
        <v>35</v>
      </c>
      <c r="C469">
        <f>Data_preprocessing!Q469</f>
        <v>70000</v>
      </c>
      <c r="D469" t="str">
        <f>Data_preprocessing!R469</f>
        <v>Male</v>
      </c>
      <c r="E469" t="str">
        <f>Data_preprocessing!S469</f>
        <v>IT</v>
      </c>
      <c r="F469" t="str">
        <f>Data_preprocessing!T469</f>
        <v>Clerk</v>
      </c>
      <c r="G469" s="2">
        <f>Data_preprocessing!U469</f>
        <v>43195</v>
      </c>
      <c r="H469" t="str">
        <f>Data_preprocessing!V469</f>
        <v>A</v>
      </c>
      <c r="I469" t="str">
        <f>Data_preprocessing!Y469</f>
        <v>Email not provided</v>
      </c>
      <c r="J469" t="str">
        <f>Data_preprocessing!Z469</f>
        <v>123-456-7890</v>
      </c>
      <c r="K469">
        <f t="shared" ca="1" si="21"/>
        <v>7</v>
      </c>
      <c r="L469" t="str">
        <f t="shared" si="22"/>
        <v>High</v>
      </c>
      <c r="M469" t="str">
        <f t="shared" si="23"/>
        <v>Excellent</v>
      </c>
    </row>
    <row r="470" spans="1:13" x14ac:dyDescent="0.25">
      <c r="A470" t="str">
        <f>Data_preprocessing!M470</f>
        <v>Charlie</v>
      </c>
      <c r="B470">
        <f>Data_preprocessing!O470</f>
        <v>35</v>
      </c>
      <c r="C470">
        <f>Data_preprocessing!Q470</f>
        <v>55000</v>
      </c>
      <c r="D470" t="str">
        <f>Data_preprocessing!R470</f>
        <v>Male</v>
      </c>
      <c r="E470" t="str">
        <f>Data_preprocessing!S470</f>
        <v>HR</v>
      </c>
      <c r="F470" t="str">
        <f>Data_preprocessing!T470</f>
        <v>Manager</v>
      </c>
      <c r="G470" s="2">
        <f>Data_preprocessing!U470</f>
        <v>43800</v>
      </c>
      <c r="H470" t="str">
        <f>Data_preprocessing!V470</f>
        <v>C</v>
      </c>
      <c r="I470" t="str">
        <f>Data_preprocessing!Y470</f>
        <v>Email not provided</v>
      </c>
      <c r="J470" t="str">
        <f>Data_preprocessing!Z470</f>
        <v>555-555-5555</v>
      </c>
      <c r="K470">
        <f t="shared" ca="1" si="21"/>
        <v>6</v>
      </c>
      <c r="L470" t="str">
        <f t="shared" si="22"/>
        <v>Low</v>
      </c>
      <c r="M470" t="str">
        <f t="shared" si="23"/>
        <v>Average</v>
      </c>
    </row>
    <row r="471" spans="1:13" x14ac:dyDescent="0.25">
      <c r="A471" t="str">
        <f>Data_preprocessing!M471</f>
        <v>Ivy</v>
      </c>
      <c r="B471">
        <f>Data_preprocessing!O471</f>
        <v>30</v>
      </c>
      <c r="C471">
        <f>Data_preprocessing!Q471</f>
        <v>70000</v>
      </c>
      <c r="D471" t="str">
        <f>Data_preprocessing!R471</f>
        <v>Female</v>
      </c>
      <c r="E471" t="str">
        <f>Data_preprocessing!S471</f>
        <v>HR</v>
      </c>
      <c r="F471" t="str">
        <f>Data_preprocessing!T471</f>
        <v>Director</v>
      </c>
      <c r="G471" s="2">
        <f>Data_preprocessing!U471</f>
        <v>43549</v>
      </c>
      <c r="H471" t="str">
        <f>Data_preprocessing!V471</f>
        <v>C</v>
      </c>
      <c r="I471" t="str">
        <f>Data_preprocessing!Y471</f>
        <v>user@domain.com</v>
      </c>
      <c r="J471" t="str">
        <f>Data_preprocessing!Z471</f>
        <v>Phone not provided</v>
      </c>
      <c r="K471">
        <f t="shared" ca="1" si="21"/>
        <v>6</v>
      </c>
      <c r="L471" t="str">
        <f t="shared" si="22"/>
        <v>High</v>
      </c>
      <c r="M471" t="str">
        <f t="shared" si="23"/>
        <v>Average</v>
      </c>
    </row>
    <row r="472" spans="1:13" x14ac:dyDescent="0.25">
      <c r="A472" t="str">
        <f>Data_preprocessing!M472</f>
        <v>Grace</v>
      </c>
      <c r="B472">
        <f>Data_preprocessing!O472</f>
        <v>25</v>
      </c>
      <c r="C472">
        <f>Data_preprocessing!Q472</f>
        <v>70000</v>
      </c>
      <c r="D472" t="str">
        <f>Data_preprocessing!R472</f>
        <v>Male</v>
      </c>
      <c r="E472" t="str">
        <f>Data_preprocessing!S472</f>
        <v>Sales</v>
      </c>
      <c r="F472" t="str">
        <f>Data_preprocessing!T472</f>
        <v>Manager</v>
      </c>
      <c r="G472" s="2">
        <f>Data_preprocessing!U472</f>
        <v>43845</v>
      </c>
      <c r="H472" t="str">
        <f>Data_preprocessing!V472</f>
        <v>D</v>
      </c>
      <c r="I472" t="str">
        <f>Data_preprocessing!Y472</f>
        <v>Email not provided</v>
      </c>
      <c r="J472" t="str">
        <f>Data_preprocessing!Z472</f>
        <v>555-555-5555</v>
      </c>
      <c r="K472">
        <f t="shared" ca="1" si="21"/>
        <v>6</v>
      </c>
      <c r="L472" t="str">
        <f t="shared" si="22"/>
        <v>High</v>
      </c>
      <c r="M472" t="str">
        <f t="shared" si="23"/>
        <v>Below Average</v>
      </c>
    </row>
    <row r="473" spans="1:13" x14ac:dyDescent="0.25">
      <c r="A473" t="str">
        <f>Data_preprocessing!M473</f>
        <v>David</v>
      </c>
      <c r="B473">
        <f>Data_preprocessing!O473</f>
        <v>40</v>
      </c>
      <c r="C473">
        <f>Data_preprocessing!Q473</f>
        <v>65000</v>
      </c>
      <c r="D473" t="str">
        <f>Data_preprocessing!R473</f>
        <v>Other</v>
      </c>
      <c r="E473" t="str">
        <f>Data_preprocessing!S473</f>
        <v>Finance</v>
      </c>
      <c r="F473" t="str">
        <f>Data_preprocessing!T473</f>
        <v>Assistant</v>
      </c>
      <c r="G473" s="2">
        <f>Data_preprocessing!U473</f>
        <v>43881</v>
      </c>
      <c r="H473" t="str">
        <f>Data_preprocessing!V473</f>
        <v>A</v>
      </c>
      <c r="I473" t="str">
        <f>Data_preprocessing!Y473</f>
        <v>Email not provided</v>
      </c>
      <c r="J473" t="str">
        <f>Data_preprocessing!Z473</f>
        <v>Phone not provided</v>
      </c>
      <c r="K473">
        <f t="shared" ca="1" si="21"/>
        <v>5</v>
      </c>
      <c r="L473" t="str">
        <f t="shared" si="22"/>
        <v>High</v>
      </c>
      <c r="M473" t="str">
        <f t="shared" si="23"/>
        <v>Excellent</v>
      </c>
    </row>
    <row r="474" spans="1:13" x14ac:dyDescent="0.25">
      <c r="A474" t="str">
        <f>Data_preprocessing!M474</f>
        <v>Jack</v>
      </c>
      <c r="B474">
        <f>Data_preprocessing!O474</f>
        <v>35</v>
      </c>
      <c r="C474">
        <f>Data_preprocessing!Q474</f>
        <v>50000</v>
      </c>
      <c r="D474" t="str">
        <f>Data_preprocessing!R474</f>
        <v>Other</v>
      </c>
      <c r="E474" t="str">
        <f>Data_preprocessing!S474</f>
        <v>HR</v>
      </c>
      <c r="F474" t="str">
        <f>Data_preprocessing!T474</f>
        <v>Director</v>
      </c>
      <c r="G474" s="2">
        <f>Data_preprocessing!U474</f>
        <v>43881</v>
      </c>
      <c r="H474" t="str">
        <f>Data_preprocessing!V474</f>
        <v>A</v>
      </c>
      <c r="I474" t="str">
        <f>Data_preprocessing!Y474</f>
        <v>name@company.org</v>
      </c>
      <c r="J474" t="str">
        <f>Data_preprocessing!Z474</f>
        <v>098-765-4321</v>
      </c>
      <c r="K474">
        <f t="shared" ca="1" si="21"/>
        <v>5</v>
      </c>
      <c r="L474" t="str">
        <f t="shared" si="22"/>
        <v>Low</v>
      </c>
      <c r="M474" t="str">
        <f t="shared" si="23"/>
        <v>Excellent</v>
      </c>
    </row>
    <row r="475" spans="1:13" x14ac:dyDescent="0.25">
      <c r="A475" t="str">
        <f>Data_preprocessing!M475</f>
        <v>Eve</v>
      </c>
      <c r="B475">
        <f>Data_preprocessing!O475</f>
        <v>30</v>
      </c>
      <c r="C475">
        <f>Data_preprocessing!Q475</f>
        <v>60000</v>
      </c>
      <c r="D475" t="str">
        <f>Data_preprocessing!R475</f>
        <v>Female</v>
      </c>
      <c r="E475" t="str">
        <f>Data_preprocessing!S475</f>
        <v>HR</v>
      </c>
      <c r="F475" t="str">
        <f>Data_preprocessing!T475</f>
        <v>Director</v>
      </c>
      <c r="G475" s="2">
        <f>Data_preprocessing!U475</f>
        <v>43845</v>
      </c>
      <c r="H475" t="str">
        <f>Data_preprocessing!V475</f>
        <v>C</v>
      </c>
      <c r="I475" t="str">
        <f>Data_preprocessing!Y475</f>
        <v>email@example.com</v>
      </c>
      <c r="J475" t="str">
        <f>Data_preprocessing!Z475</f>
        <v>Phone not provided</v>
      </c>
      <c r="K475">
        <f t="shared" ca="1" si="21"/>
        <v>6</v>
      </c>
      <c r="L475" t="str">
        <f t="shared" si="22"/>
        <v>Medium</v>
      </c>
      <c r="M475" t="str">
        <f t="shared" si="23"/>
        <v>Average</v>
      </c>
    </row>
    <row r="476" spans="1:13" x14ac:dyDescent="0.25">
      <c r="A476" t="str">
        <f>Data_preprocessing!M476</f>
        <v>Bob</v>
      </c>
      <c r="B476">
        <f>Data_preprocessing!O476</f>
        <v>35</v>
      </c>
      <c r="C476">
        <f>Data_preprocessing!Q476</f>
        <v>50000</v>
      </c>
      <c r="D476" t="str">
        <f>Data_preprocessing!R476</f>
        <v>Female</v>
      </c>
      <c r="E476" t="str">
        <f>Data_preprocessing!S476</f>
        <v>Marketing</v>
      </c>
      <c r="F476" t="str">
        <f>Data_preprocessing!T476</f>
        <v>Analyst</v>
      </c>
      <c r="G476" s="2">
        <f>Data_preprocessing!U476</f>
        <v>43881</v>
      </c>
      <c r="H476" t="str">
        <f>Data_preprocessing!V476</f>
        <v>D</v>
      </c>
      <c r="I476" t="str">
        <f>Data_preprocessing!Y476</f>
        <v>Email not provided</v>
      </c>
      <c r="J476" t="str">
        <f>Data_preprocessing!Z476</f>
        <v>Phone not provided</v>
      </c>
      <c r="K476">
        <f t="shared" ca="1" si="21"/>
        <v>5</v>
      </c>
      <c r="L476" t="str">
        <f t="shared" si="22"/>
        <v>Low</v>
      </c>
      <c r="M476" t="str">
        <f t="shared" si="23"/>
        <v>Below Average</v>
      </c>
    </row>
    <row r="477" spans="1:13" x14ac:dyDescent="0.25">
      <c r="A477" t="str">
        <f>Data_preprocessing!M477</f>
        <v>Hannah</v>
      </c>
      <c r="B477">
        <f>Data_preprocessing!O477</f>
        <v>30</v>
      </c>
      <c r="C477">
        <f>Data_preprocessing!Q477</f>
        <v>65000</v>
      </c>
      <c r="D477" t="str">
        <f>Data_preprocessing!R477</f>
        <v>Male</v>
      </c>
      <c r="E477" t="str">
        <f>Data_preprocessing!S477</f>
        <v>Marketing</v>
      </c>
      <c r="F477" t="str">
        <f>Data_preprocessing!T477</f>
        <v>Assistant</v>
      </c>
      <c r="G477" s="2">
        <f>Data_preprocessing!U477</f>
        <v>43881</v>
      </c>
      <c r="H477" t="str">
        <f>Data_preprocessing!V477</f>
        <v>C</v>
      </c>
      <c r="I477" t="str">
        <f>Data_preprocessing!Y477</f>
        <v>user@domain.com</v>
      </c>
      <c r="J477" t="str">
        <f>Data_preprocessing!Z477</f>
        <v>555-555-5555</v>
      </c>
      <c r="K477">
        <f t="shared" ca="1" si="21"/>
        <v>5</v>
      </c>
      <c r="L477" t="str">
        <f t="shared" si="22"/>
        <v>High</v>
      </c>
      <c r="M477" t="str">
        <f t="shared" si="23"/>
        <v>Average</v>
      </c>
    </row>
    <row r="478" spans="1:13" x14ac:dyDescent="0.25">
      <c r="A478" t="str">
        <f>Data_preprocessing!M478</f>
        <v>David</v>
      </c>
      <c r="B478">
        <f>Data_preprocessing!O478</f>
        <v>30</v>
      </c>
      <c r="C478">
        <f>Data_preprocessing!Q478</f>
        <v>60000</v>
      </c>
      <c r="D478" t="str">
        <f>Data_preprocessing!R478</f>
        <v>Male</v>
      </c>
      <c r="E478" t="str">
        <f>Data_preprocessing!S478</f>
        <v>HR</v>
      </c>
      <c r="F478" t="str">
        <f>Data_preprocessing!T478</f>
        <v>Assistant</v>
      </c>
      <c r="G478" s="2">
        <f>Data_preprocessing!U478</f>
        <v>43845</v>
      </c>
      <c r="H478" t="str">
        <f>Data_preprocessing!V478</f>
        <v>C</v>
      </c>
      <c r="I478" t="str">
        <f>Data_preprocessing!Y478</f>
        <v>Email not provided</v>
      </c>
      <c r="J478" t="str">
        <f>Data_preprocessing!Z478</f>
        <v>Phone not provided</v>
      </c>
      <c r="K478">
        <f t="shared" ca="1" si="21"/>
        <v>6</v>
      </c>
      <c r="L478" t="str">
        <f t="shared" si="22"/>
        <v>Medium</v>
      </c>
      <c r="M478" t="str">
        <f t="shared" si="23"/>
        <v>Average</v>
      </c>
    </row>
    <row r="479" spans="1:13" x14ac:dyDescent="0.25">
      <c r="A479" t="str">
        <f>Data_preprocessing!M479</f>
        <v>Ivy</v>
      </c>
      <c r="B479">
        <f>Data_preprocessing!O479</f>
        <v>50</v>
      </c>
      <c r="C479">
        <f>Data_preprocessing!Q479</f>
        <v>70000</v>
      </c>
      <c r="D479" t="str">
        <f>Data_preprocessing!R479</f>
        <v>Male</v>
      </c>
      <c r="E479" t="str">
        <f>Data_preprocessing!S479</f>
        <v>Sales</v>
      </c>
      <c r="F479" t="str">
        <f>Data_preprocessing!T479</f>
        <v>Director</v>
      </c>
      <c r="G479" s="2">
        <f>Data_preprocessing!U479</f>
        <v>43845</v>
      </c>
      <c r="H479" t="str">
        <f>Data_preprocessing!V479</f>
        <v>B</v>
      </c>
      <c r="I479" t="str">
        <f>Data_preprocessing!Y479</f>
        <v>Email not provided</v>
      </c>
      <c r="J479" t="str">
        <f>Data_preprocessing!Z479</f>
        <v>555-555-5555</v>
      </c>
      <c r="K479">
        <f t="shared" ca="1" si="21"/>
        <v>6</v>
      </c>
      <c r="L479" t="str">
        <f t="shared" si="22"/>
        <v>High</v>
      </c>
      <c r="M479" t="str">
        <f t="shared" si="23"/>
        <v>Good</v>
      </c>
    </row>
    <row r="480" spans="1:13" x14ac:dyDescent="0.25">
      <c r="A480" t="str">
        <f>Data_preprocessing!M480</f>
        <v>Eve</v>
      </c>
      <c r="B480">
        <f>Data_preprocessing!O480</f>
        <v>25</v>
      </c>
      <c r="C480">
        <f>Data_preprocessing!Q480</f>
        <v>65000</v>
      </c>
      <c r="D480" t="str">
        <f>Data_preprocessing!R480</f>
        <v>Male</v>
      </c>
      <c r="E480" t="str">
        <f>Data_preprocessing!S480</f>
        <v>HR</v>
      </c>
      <c r="F480" t="str">
        <f>Data_preprocessing!T480</f>
        <v>Assistant</v>
      </c>
      <c r="G480" s="2">
        <f>Data_preprocessing!U480</f>
        <v>43549</v>
      </c>
      <c r="H480" t="str">
        <f>Data_preprocessing!V480</f>
        <v>B</v>
      </c>
      <c r="I480" t="str">
        <f>Data_preprocessing!Y480</f>
        <v>email@example.com</v>
      </c>
      <c r="J480" t="str">
        <f>Data_preprocessing!Z480</f>
        <v>555-555-5555</v>
      </c>
      <c r="K480">
        <f t="shared" ca="1" si="21"/>
        <v>6</v>
      </c>
      <c r="L480" t="str">
        <f t="shared" si="22"/>
        <v>High</v>
      </c>
      <c r="M480" t="str">
        <f t="shared" si="23"/>
        <v>Good</v>
      </c>
    </row>
    <row r="481" spans="1:13" x14ac:dyDescent="0.25">
      <c r="A481" t="str">
        <f>Data_preprocessing!M481</f>
        <v>Ivy</v>
      </c>
      <c r="B481">
        <f>Data_preprocessing!O481</f>
        <v>35</v>
      </c>
      <c r="C481">
        <f>Data_preprocessing!Q481</f>
        <v>70000</v>
      </c>
      <c r="D481" t="str">
        <f>Data_preprocessing!R481</f>
        <v>Other</v>
      </c>
      <c r="E481" t="str">
        <f>Data_preprocessing!S481</f>
        <v>IT</v>
      </c>
      <c r="F481" t="str">
        <f>Data_preprocessing!T481</f>
        <v>Director</v>
      </c>
      <c r="G481" s="2">
        <f>Data_preprocessing!U481</f>
        <v>43549</v>
      </c>
      <c r="H481" t="str">
        <f>Data_preprocessing!V481</f>
        <v>D</v>
      </c>
      <c r="I481" t="str">
        <f>Data_preprocessing!Y481</f>
        <v>name@company.org</v>
      </c>
      <c r="J481" t="str">
        <f>Data_preprocessing!Z481</f>
        <v>Phone not provided</v>
      </c>
      <c r="K481">
        <f t="shared" ca="1" si="21"/>
        <v>6</v>
      </c>
      <c r="L481" t="str">
        <f t="shared" si="22"/>
        <v>High</v>
      </c>
      <c r="M481" t="str">
        <f t="shared" si="23"/>
        <v>Below Average</v>
      </c>
    </row>
    <row r="482" spans="1:13" x14ac:dyDescent="0.25">
      <c r="A482" t="str">
        <f>Data_preprocessing!M482</f>
        <v>David</v>
      </c>
      <c r="B482">
        <f>Data_preprocessing!O482</f>
        <v>35</v>
      </c>
      <c r="C482">
        <f>Data_preprocessing!Q482</f>
        <v>55000</v>
      </c>
      <c r="D482" t="str">
        <f>Data_preprocessing!R482</f>
        <v>Other</v>
      </c>
      <c r="E482" t="str">
        <f>Data_preprocessing!S482</f>
        <v>Finance</v>
      </c>
      <c r="F482" t="str">
        <f>Data_preprocessing!T482</f>
        <v>Analyst</v>
      </c>
      <c r="G482" s="2">
        <f>Data_preprocessing!U482</f>
        <v>43845</v>
      </c>
      <c r="H482" t="str">
        <f>Data_preprocessing!V482</f>
        <v>F</v>
      </c>
      <c r="I482" t="str">
        <f>Data_preprocessing!Y482</f>
        <v>email@example.com</v>
      </c>
      <c r="J482" t="str">
        <f>Data_preprocessing!Z482</f>
        <v>555-555-5555</v>
      </c>
      <c r="K482">
        <f t="shared" ca="1" si="21"/>
        <v>6</v>
      </c>
      <c r="L482" t="str">
        <f t="shared" si="22"/>
        <v>Low</v>
      </c>
      <c r="M482" t="str">
        <f t="shared" si="23"/>
        <v>Poor</v>
      </c>
    </row>
    <row r="483" spans="1:13" x14ac:dyDescent="0.25">
      <c r="A483" t="str">
        <f>Data_preprocessing!M483</f>
        <v>Jack</v>
      </c>
      <c r="B483">
        <f>Data_preprocessing!O483</f>
        <v>50</v>
      </c>
      <c r="C483">
        <f>Data_preprocessing!Q483</f>
        <v>60000</v>
      </c>
      <c r="D483" t="str">
        <f>Data_preprocessing!R483</f>
        <v>Female</v>
      </c>
      <c r="E483" t="str">
        <f>Data_preprocessing!S483</f>
        <v>Sales</v>
      </c>
      <c r="F483" t="str">
        <f>Data_preprocessing!T483</f>
        <v>Director</v>
      </c>
      <c r="G483" s="2">
        <f>Data_preprocessing!U483</f>
        <v>43195</v>
      </c>
      <c r="H483" t="str">
        <f>Data_preprocessing!V483</f>
        <v>B</v>
      </c>
      <c r="I483" t="str">
        <f>Data_preprocessing!Y483</f>
        <v>Email not provided</v>
      </c>
      <c r="J483" t="str">
        <f>Data_preprocessing!Z483</f>
        <v>098-765-4321</v>
      </c>
      <c r="K483">
        <f t="shared" ca="1" si="21"/>
        <v>7</v>
      </c>
      <c r="L483" t="str">
        <f t="shared" si="22"/>
        <v>Medium</v>
      </c>
      <c r="M483" t="str">
        <f t="shared" si="23"/>
        <v>Good</v>
      </c>
    </row>
    <row r="484" spans="1:13" x14ac:dyDescent="0.25">
      <c r="A484" t="str">
        <f>Data_preprocessing!M484</f>
        <v>Eve</v>
      </c>
      <c r="B484">
        <f>Data_preprocessing!O484</f>
        <v>40</v>
      </c>
      <c r="C484">
        <f>Data_preprocessing!Q484</f>
        <v>65000</v>
      </c>
      <c r="D484" t="str">
        <f>Data_preprocessing!R484</f>
        <v>Male</v>
      </c>
      <c r="E484" t="str">
        <f>Data_preprocessing!S484</f>
        <v>IT</v>
      </c>
      <c r="F484" t="str">
        <f>Data_preprocessing!T484</f>
        <v>Assistant</v>
      </c>
      <c r="G484" s="2">
        <f>Data_preprocessing!U484</f>
        <v>43881</v>
      </c>
      <c r="H484" t="str">
        <f>Data_preprocessing!V484</f>
        <v>F</v>
      </c>
      <c r="I484" t="str">
        <f>Data_preprocessing!Y484</f>
        <v>Email not provided</v>
      </c>
      <c r="J484" t="str">
        <f>Data_preprocessing!Z484</f>
        <v>555-555-5555</v>
      </c>
      <c r="K484">
        <f t="shared" ca="1" si="21"/>
        <v>5</v>
      </c>
      <c r="L484" t="str">
        <f t="shared" si="22"/>
        <v>High</v>
      </c>
      <c r="M484" t="str">
        <f t="shared" si="23"/>
        <v>Poor</v>
      </c>
    </row>
    <row r="485" spans="1:13" x14ac:dyDescent="0.25">
      <c r="A485" t="str">
        <f>Data_preprocessing!M485</f>
        <v>Ivy</v>
      </c>
      <c r="B485">
        <f>Data_preprocessing!O485</f>
        <v>40</v>
      </c>
      <c r="C485">
        <f>Data_preprocessing!Q485</f>
        <v>55000</v>
      </c>
      <c r="D485" t="str">
        <f>Data_preprocessing!R485</f>
        <v>Male</v>
      </c>
      <c r="E485" t="str">
        <f>Data_preprocessing!S485</f>
        <v>Sales</v>
      </c>
      <c r="F485" t="str">
        <f>Data_preprocessing!T485</f>
        <v>Assistant</v>
      </c>
      <c r="G485" s="2">
        <f>Data_preprocessing!U485</f>
        <v>43549</v>
      </c>
      <c r="H485" t="str">
        <f>Data_preprocessing!V485</f>
        <v>A</v>
      </c>
      <c r="I485" t="str">
        <f>Data_preprocessing!Y485</f>
        <v>Email not provided</v>
      </c>
      <c r="J485" t="str">
        <f>Data_preprocessing!Z485</f>
        <v>098-765-4321</v>
      </c>
      <c r="K485">
        <f t="shared" ca="1" si="21"/>
        <v>6</v>
      </c>
      <c r="L485" t="str">
        <f t="shared" si="22"/>
        <v>Low</v>
      </c>
      <c r="M485" t="str">
        <f t="shared" si="23"/>
        <v>Excellent</v>
      </c>
    </row>
    <row r="486" spans="1:13" x14ac:dyDescent="0.25">
      <c r="A486" t="str">
        <f>Data_preprocessing!M486</f>
        <v>Hannah</v>
      </c>
      <c r="B486">
        <f>Data_preprocessing!O486</f>
        <v>25</v>
      </c>
      <c r="C486">
        <f>Data_preprocessing!Q486</f>
        <v>65000</v>
      </c>
      <c r="D486" t="str">
        <f>Data_preprocessing!R486</f>
        <v>Female</v>
      </c>
      <c r="E486" t="str">
        <f>Data_preprocessing!S486</f>
        <v>IT</v>
      </c>
      <c r="F486" t="str">
        <f>Data_preprocessing!T486</f>
        <v>Director</v>
      </c>
      <c r="G486" s="2">
        <f>Data_preprocessing!U486</f>
        <v>43881</v>
      </c>
      <c r="H486" t="str">
        <f>Data_preprocessing!V486</f>
        <v>B</v>
      </c>
      <c r="I486" t="str">
        <f>Data_preprocessing!Y486</f>
        <v>Email not provided</v>
      </c>
      <c r="J486" t="str">
        <f>Data_preprocessing!Z486</f>
        <v>Phone not provided</v>
      </c>
      <c r="K486">
        <f t="shared" ca="1" si="21"/>
        <v>5</v>
      </c>
      <c r="L486" t="str">
        <f t="shared" si="22"/>
        <v>High</v>
      </c>
      <c r="M486" t="str">
        <f t="shared" si="23"/>
        <v>Good</v>
      </c>
    </row>
    <row r="487" spans="1:13" x14ac:dyDescent="0.25">
      <c r="A487" t="str">
        <f>Data_preprocessing!M487</f>
        <v>Charlie</v>
      </c>
      <c r="B487">
        <f>Data_preprocessing!O487</f>
        <v>25</v>
      </c>
      <c r="C487">
        <f>Data_preprocessing!Q487</f>
        <v>65000</v>
      </c>
      <c r="D487" t="str">
        <f>Data_preprocessing!R487</f>
        <v>Male</v>
      </c>
      <c r="E487" t="str">
        <f>Data_preprocessing!S487</f>
        <v>Finance</v>
      </c>
      <c r="F487" t="str">
        <f>Data_preprocessing!T487</f>
        <v>Director</v>
      </c>
      <c r="G487" s="2">
        <f>Data_preprocessing!U487</f>
        <v>43800</v>
      </c>
      <c r="H487" t="str">
        <f>Data_preprocessing!V487</f>
        <v>B</v>
      </c>
      <c r="I487" t="str">
        <f>Data_preprocessing!Y487</f>
        <v>user@domain.com</v>
      </c>
      <c r="J487" t="str">
        <f>Data_preprocessing!Z487</f>
        <v>Phone not provided</v>
      </c>
      <c r="K487">
        <f t="shared" ca="1" si="21"/>
        <v>6</v>
      </c>
      <c r="L487" t="str">
        <f t="shared" si="22"/>
        <v>High</v>
      </c>
      <c r="M487" t="str">
        <f t="shared" si="23"/>
        <v>Good</v>
      </c>
    </row>
    <row r="488" spans="1:13" x14ac:dyDescent="0.25">
      <c r="A488" t="str">
        <f>Data_preprocessing!M488</f>
        <v>Alice</v>
      </c>
      <c r="B488">
        <f>Data_preprocessing!O488</f>
        <v>35</v>
      </c>
      <c r="C488">
        <f>Data_preprocessing!Q488</f>
        <v>55000</v>
      </c>
      <c r="D488" t="str">
        <f>Data_preprocessing!R488</f>
        <v>Male</v>
      </c>
      <c r="E488" t="str">
        <f>Data_preprocessing!S488</f>
        <v>Finance</v>
      </c>
      <c r="F488" t="str">
        <f>Data_preprocessing!T488</f>
        <v>Director</v>
      </c>
      <c r="G488" s="2">
        <f>Data_preprocessing!U488</f>
        <v>43845</v>
      </c>
      <c r="H488" t="str">
        <f>Data_preprocessing!V488</f>
        <v>D</v>
      </c>
      <c r="I488" t="str">
        <f>Data_preprocessing!Y488</f>
        <v>name@company.org</v>
      </c>
      <c r="J488" t="str">
        <f>Data_preprocessing!Z488</f>
        <v>098-765-4321</v>
      </c>
      <c r="K488">
        <f t="shared" ca="1" si="21"/>
        <v>6</v>
      </c>
      <c r="L488" t="str">
        <f t="shared" si="22"/>
        <v>Low</v>
      </c>
      <c r="M488" t="str">
        <f t="shared" si="23"/>
        <v>Below Average</v>
      </c>
    </row>
    <row r="489" spans="1:13" x14ac:dyDescent="0.25">
      <c r="A489" t="str">
        <f>Data_preprocessing!M489</f>
        <v>Charlie</v>
      </c>
      <c r="B489">
        <f>Data_preprocessing!O489</f>
        <v>50</v>
      </c>
      <c r="C489">
        <f>Data_preprocessing!Q489</f>
        <v>60000</v>
      </c>
      <c r="D489" t="str">
        <f>Data_preprocessing!R489</f>
        <v>Male</v>
      </c>
      <c r="E489" t="str">
        <f>Data_preprocessing!S489</f>
        <v>Marketing</v>
      </c>
      <c r="F489" t="str">
        <f>Data_preprocessing!T489</f>
        <v>Clerk</v>
      </c>
      <c r="G489" s="2">
        <f>Data_preprocessing!U489</f>
        <v>43195</v>
      </c>
      <c r="H489" t="str">
        <f>Data_preprocessing!V489</f>
        <v>F</v>
      </c>
      <c r="I489" t="str">
        <f>Data_preprocessing!Y489</f>
        <v>Email not provided</v>
      </c>
      <c r="J489" t="str">
        <f>Data_preprocessing!Z489</f>
        <v>Phone not provided</v>
      </c>
      <c r="K489">
        <f t="shared" ca="1" si="21"/>
        <v>7</v>
      </c>
      <c r="L489" t="str">
        <f t="shared" si="22"/>
        <v>Medium</v>
      </c>
      <c r="M489" t="str">
        <f t="shared" si="23"/>
        <v>Poor</v>
      </c>
    </row>
    <row r="490" spans="1:13" x14ac:dyDescent="0.25">
      <c r="A490" t="str">
        <f>Data_preprocessing!M490</f>
        <v>David</v>
      </c>
      <c r="B490">
        <f>Data_preprocessing!O490</f>
        <v>40</v>
      </c>
      <c r="C490">
        <f>Data_preprocessing!Q490</f>
        <v>50000</v>
      </c>
      <c r="D490" t="str">
        <f>Data_preprocessing!R490</f>
        <v>Male</v>
      </c>
      <c r="E490" t="str">
        <f>Data_preprocessing!S490</f>
        <v>IT</v>
      </c>
      <c r="F490" t="str">
        <f>Data_preprocessing!T490</f>
        <v>Assistant</v>
      </c>
      <c r="G490" s="2">
        <f>Data_preprocessing!U490</f>
        <v>43800</v>
      </c>
      <c r="H490" t="str">
        <f>Data_preprocessing!V490</f>
        <v>B</v>
      </c>
      <c r="I490" t="str">
        <f>Data_preprocessing!Y490</f>
        <v>Email not provided</v>
      </c>
      <c r="J490" t="str">
        <f>Data_preprocessing!Z490</f>
        <v>Phone not provided</v>
      </c>
      <c r="K490">
        <f t="shared" ca="1" si="21"/>
        <v>6</v>
      </c>
      <c r="L490" t="str">
        <f t="shared" si="22"/>
        <v>Low</v>
      </c>
      <c r="M490" t="str">
        <f t="shared" si="23"/>
        <v>Good</v>
      </c>
    </row>
    <row r="491" spans="1:13" x14ac:dyDescent="0.25">
      <c r="A491" t="str">
        <f>Data_preprocessing!M491</f>
        <v>Bob</v>
      </c>
      <c r="B491">
        <f>Data_preprocessing!O491</f>
        <v>30</v>
      </c>
      <c r="C491">
        <f>Data_preprocessing!Q491</f>
        <v>70000</v>
      </c>
      <c r="D491" t="str">
        <f>Data_preprocessing!R491</f>
        <v>Male</v>
      </c>
      <c r="E491" t="str">
        <f>Data_preprocessing!S491</f>
        <v>Marketing</v>
      </c>
      <c r="F491" t="str">
        <f>Data_preprocessing!T491</f>
        <v>Assistant</v>
      </c>
      <c r="G491" s="2">
        <f>Data_preprocessing!U491</f>
        <v>43800</v>
      </c>
      <c r="H491" t="str">
        <f>Data_preprocessing!V491</f>
        <v>B</v>
      </c>
      <c r="I491" t="str">
        <f>Data_preprocessing!Y491</f>
        <v>Email not provided</v>
      </c>
      <c r="J491" t="str">
        <f>Data_preprocessing!Z491</f>
        <v>098-765-4321</v>
      </c>
      <c r="K491">
        <f t="shared" ca="1" si="21"/>
        <v>6</v>
      </c>
      <c r="L491" t="str">
        <f t="shared" si="22"/>
        <v>High</v>
      </c>
      <c r="M491" t="str">
        <f t="shared" si="23"/>
        <v>Good</v>
      </c>
    </row>
    <row r="492" spans="1:13" x14ac:dyDescent="0.25">
      <c r="A492" t="str">
        <f>Data_preprocessing!M492</f>
        <v>Alice</v>
      </c>
      <c r="B492">
        <f>Data_preprocessing!O492</f>
        <v>35</v>
      </c>
      <c r="C492">
        <f>Data_preprocessing!Q492</f>
        <v>65000</v>
      </c>
      <c r="D492" t="str">
        <f>Data_preprocessing!R492</f>
        <v>Female</v>
      </c>
      <c r="E492" t="str">
        <f>Data_preprocessing!S492</f>
        <v>IT</v>
      </c>
      <c r="F492" t="str">
        <f>Data_preprocessing!T492</f>
        <v>Clerk</v>
      </c>
      <c r="G492" s="2">
        <f>Data_preprocessing!U492</f>
        <v>43800</v>
      </c>
      <c r="H492" t="str">
        <f>Data_preprocessing!V492</f>
        <v>D</v>
      </c>
      <c r="I492" t="str">
        <f>Data_preprocessing!Y492</f>
        <v>name@company.org</v>
      </c>
      <c r="J492" t="str">
        <f>Data_preprocessing!Z492</f>
        <v>Phone not provided</v>
      </c>
      <c r="K492">
        <f t="shared" ca="1" si="21"/>
        <v>6</v>
      </c>
      <c r="L492" t="str">
        <f t="shared" si="22"/>
        <v>High</v>
      </c>
      <c r="M492" t="str">
        <f t="shared" si="23"/>
        <v>Below Average</v>
      </c>
    </row>
    <row r="493" spans="1:13" x14ac:dyDescent="0.25">
      <c r="A493" t="str">
        <f>Data_preprocessing!M493</f>
        <v>Grace</v>
      </c>
      <c r="B493">
        <f>Data_preprocessing!O493</f>
        <v>25</v>
      </c>
      <c r="C493">
        <f>Data_preprocessing!Q493</f>
        <v>70000</v>
      </c>
      <c r="D493" t="str">
        <f>Data_preprocessing!R493</f>
        <v>Male</v>
      </c>
      <c r="E493" t="str">
        <f>Data_preprocessing!S493</f>
        <v>Marketing</v>
      </c>
      <c r="F493" t="str">
        <f>Data_preprocessing!T493</f>
        <v>Director</v>
      </c>
      <c r="G493" s="2">
        <f>Data_preprocessing!U493</f>
        <v>43845</v>
      </c>
      <c r="H493" t="str">
        <f>Data_preprocessing!V493</f>
        <v>D</v>
      </c>
      <c r="I493" t="str">
        <f>Data_preprocessing!Y493</f>
        <v>email@example.com</v>
      </c>
      <c r="J493" t="str">
        <f>Data_preprocessing!Z493</f>
        <v>123-456-7890</v>
      </c>
      <c r="K493">
        <f t="shared" ca="1" si="21"/>
        <v>6</v>
      </c>
      <c r="L493" t="str">
        <f t="shared" si="22"/>
        <v>High</v>
      </c>
      <c r="M493" t="str">
        <f t="shared" si="23"/>
        <v>Below Average</v>
      </c>
    </row>
    <row r="494" spans="1:13" x14ac:dyDescent="0.25">
      <c r="A494" t="str">
        <f>Data_preprocessing!M494</f>
        <v>Hannah</v>
      </c>
      <c r="B494">
        <f>Data_preprocessing!O494</f>
        <v>35</v>
      </c>
      <c r="C494">
        <f>Data_preprocessing!Q494</f>
        <v>60000</v>
      </c>
      <c r="D494" t="str">
        <f>Data_preprocessing!R494</f>
        <v>Female</v>
      </c>
      <c r="E494" t="str">
        <f>Data_preprocessing!S494</f>
        <v>Finance</v>
      </c>
      <c r="F494" t="str">
        <f>Data_preprocessing!T494</f>
        <v>Analyst</v>
      </c>
      <c r="G494" s="2">
        <f>Data_preprocessing!U494</f>
        <v>43549</v>
      </c>
      <c r="H494" t="str">
        <f>Data_preprocessing!V494</f>
        <v>F</v>
      </c>
      <c r="I494" t="str">
        <f>Data_preprocessing!Y494</f>
        <v>name@company.org</v>
      </c>
      <c r="J494" t="str">
        <f>Data_preprocessing!Z494</f>
        <v>Phone not provided</v>
      </c>
      <c r="K494">
        <f t="shared" ca="1" si="21"/>
        <v>6</v>
      </c>
      <c r="L494" t="str">
        <f t="shared" si="22"/>
        <v>Medium</v>
      </c>
      <c r="M494" t="str">
        <f t="shared" si="23"/>
        <v>Poor</v>
      </c>
    </row>
    <row r="495" spans="1:13" x14ac:dyDescent="0.25">
      <c r="A495" t="str">
        <f>Data_preprocessing!M495</f>
        <v>Grace</v>
      </c>
      <c r="B495">
        <f>Data_preprocessing!O495</f>
        <v>35</v>
      </c>
      <c r="C495">
        <f>Data_preprocessing!Q495</f>
        <v>55000</v>
      </c>
      <c r="D495" t="str">
        <f>Data_preprocessing!R495</f>
        <v>Male</v>
      </c>
      <c r="E495" t="str">
        <f>Data_preprocessing!S495</f>
        <v>Sales</v>
      </c>
      <c r="F495" t="str">
        <f>Data_preprocessing!T495</f>
        <v>Director</v>
      </c>
      <c r="G495" s="2">
        <f>Data_preprocessing!U495</f>
        <v>43845</v>
      </c>
      <c r="H495" t="str">
        <f>Data_preprocessing!V495</f>
        <v>A</v>
      </c>
      <c r="I495" t="str">
        <f>Data_preprocessing!Y495</f>
        <v>name@company.org</v>
      </c>
      <c r="J495" t="str">
        <f>Data_preprocessing!Z495</f>
        <v>Phone not provided</v>
      </c>
      <c r="K495">
        <f t="shared" ca="1" si="21"/>
        <v>6</v>
      </c>
      <c r="L495" t="str">
        <f t="shared" si="22"/>
        <v>Low</v>
      </c>
      <c r="M495" t="str">
        <f t="shared" si="23"/>
        <v>Excellent</v>
      </c>
    </row>
    <row r="496" spans="1:13" x14ac:dyDescent="0.25">
      <c r="A496" t="str">
        <f>Data_preprocessing!M496</f>
        <v>Eve</v>
      </c>
      <c r="B496">
        <f>Data_preprocessing!O496</f>
        <v>35</v>
      </c>
      <c r="C496">
        <f>Data_preprocessing!Q496</f>
        <v>70000</v>
      </c>
      <c r="D496" t="str">
        <f>Data_preprocessing!R496</f>
        <v>Other</v>
      </c>
      <c r="E496" t="str">
        <f>Data_preprocessing!S496</f>
        <v>Marketing</v>
      </c>
      <c r="F496" t="str">
        <f>Data_preprocessing!T496</f>
        <v>Director</v>
      </c>
      <c r="G496" s="2">
        <f>Data_preprocessing!U496</f>
        <v>43549</v>
      </c>
      <c r="H496" t="str">
        <f>Data_preprocessing!V496</f>
        <v>A</v>
      </c>
      <c r="I496" t="str">
        <f>Data_preprocessing!Y496</f>
        <v>name@company.org</v>
      </c>
      <c r="J496" t="str">
        <f>Data_preprocessing!Z496</f>
        <v>Phone not provided</v>
      </c>
      <c r="K496">
        <f t="shared" ca="1" si="21"/>
        <v>6</v>
      </c>
      <c r="L496" t="str">
        <f t="shared" si="22"/>
        <v>High</v>
      </c>
      <c r="M496" t="str">
        <f t="shared" si="23"/>
        <v>Excellent</v>
      </c>
    </row>
    <row r="497" spans="1:13" x14ac:dyDescent="0.25">
      <c r="A497" t="str">
        <f>Data_preprocessing!M497</f>
        <v>Alice</v>
      </c>
      <c r="B497">
        <f>Data_preprocessing!O497</f>
        <v>40</v>
      </c>
      <c r="C497">
        <f>Data_preprocessing!Q497</f>
        <v>55000</v>
      </c>
      <c r="D497" t="str">
        <f>Data_preprocessing!R497</f>
        <v>Other</v>
      </c>
      <c r="E497" t="str">
        <f>Data_preprocessing!S497</f>
        <v>IT</v>
      </c>
      <c r="F497" t="str">
        <f>Data_preprocessing!T497</f>
        <v>Clerk</v>
      </c>
      <c r="G497" s="2">
        <f>Data_preprocessing!U497</f>
        <v>43800</v>
      </c>
      <c r="H497" t="str">
        <f>Data_preprocessing!V497</f>
        <v>C</v>
      </c>
      <c r="I497" t="str">
        <f>Data_preprocessing!Y497</f>
        <v>Email not provided</v>
      </c>
      <c r="J497" t="str">
        <f>Data_preprocessing!Z497</f>
        <v>Phone not provided</v>
      </c>
      <c r="K497">
        <f t="shared" ca="1" si="21"/>
        <v>6</v>
      </c>
      <c r="L497" t="str">
        <f t="shared" si="22"/>
        <v>Low</v>
      </c>
      <c r="M497" t="str">
        <f t="shared" si="23"/>
        <v>Average</v>
      </c>
    </row>
    <row r="498" spans="1:13" x14ac:dyDescent="0.25">
      <c r="A498" t="str">
        <f>Data_preprocessing!M498</f>
        <v>Grace</v>
      </c>
      <c r="B498">
        <f>Data_preprocessing!O498</f>
        <v>25</v>
      </c>
      <c r="C498">
        <f>Data_preprocessing!Q498</f>
        <v>70000</v>
      </c>
      <c r="D498" t="str">
        <f>Data_preprocessing!R498</f>
        <v>Other</v>
      </c>
      <c r="E498" t="str">
        <f>Data_preprocessing!S498</f>
        <v>IT</v>
      </c>
      <c r="F498" t="str">
        <f>Data_preprocessing!T498</f>
        <v>Assistant</v>
      </c>
      <c r="G498" s="2">
        <f>Data_preprocessing!U498</f>
        <v>43800</v>
      </c>
      <c r="H498" t="str">
        <f>Data_preprocessing!V498</f>
        <v>B</v>
      </c>
      <c r="I498" t="str">
        <f>Data_preprocessing!Y498</f>
        <v>Email not provided</v>
      </c>
      <c r="J498" t="str">
        <f>Data_preprocessing!Z498</f>
        <v>555-555-5555</v>
      </c>
      <c r="K498">
        <f t="shared" ca="1" si="21"/>
        <v>6</v>
      </c>
      <c r="L498" t="str">
        <f t="shared" si="22"/>
        <v>High</v>
      </c>
      <c r="M498" t="str">
        <f t="shared" si="23"/>
        <v>Good</v>
      </c>
    </row>
    <row r="499" spans="1:13" x14ac:dyDescent="0.25">
      <c r="A499" t="str">
        <f>Data_preprocessing!M499</f>
        <v>Grace</v>
      </c>
      <c r="B499">
        <f>Data_preprocessing!O499</f>
        <v>35</v>
      </c>
      <c r="C499">
        <f>Data_preprocessing!Q499</f>
        <v>50000</v>
      </c>
      <c r="D499" t="str">
        <f>Data_preprocessing!R499</f>
        <v>Other</v>
      </c>
      <c r="E499" t="str">
        <f>Data_preprocessing!S499</f>
        <v>Finance</v>
      </c>
      <c r="F499" t="str">
        <f>Data_preprocessing!T499</f>
        <v>Director</v>
      </c>
      <c r="G499" s="2">
        <f>Data_preprocessing!U499</f>
        <v>43195</v>
      </c>
      <c r="H499" t="str">
        <f>Data_preprocessing!V499</f>
        <v>F</v>
      </c>
      <c r="I499" t="str">
        <f>Data_preprocessing!Y499</f>
        <v>user@domain.com</v>
      </c>
      <c r="J499" t="str">
        <f>Data_preprocessing!Z499</f>
        <v>Phone not provided</v>
      </c>
      <c r="K499">
        <f t="shared" ca="1" si="21"/>
        <v>7</v>
      </c>
      <c r="L499" t="str">
        <f t="shared" si="22"/>
        <v>Low</v>
      </c>
      <c r="M499" t="str">
        <f t="shared" si="23"/>
        <v>Poor</v>
      </c>
    </row>
    <row r="500" spans="1:13" x14ac:dyDescent="0.25">
      <c r="A500" t="str">
        <f>Data_preprocessing!M500</f>
        <v>Ivy</v>
      </c>
      <c r="B500">
        <f>Data_preprocessing!O500</f>
        <v>25</v>
      </c>
      <c r="C500">
        <f>Data_preprocessing!Q500</f>
        <v>50000</v>
      </c>
      <c r="D500" t="str">
        <f>Data_preprocessing!R500</f>
        <v>Female</v>
      </c>
      <c r="E500" t="str">
        <f>Data_preprocessing!S500</f>
        <v>IT</v>
      </c>
      <c r="F500" t="str">
        <f>Data_preprocessing!T500</f>
        <v>Assistant</v>
      </c>
      <c r="G500" s="2">
        <f>Data_preprocessing!U500</f>
        <v>43549</v>
      </c>
      <c r="H500" t="str">
        <f>Data_preprocessing!V500</f>
        <v>B</v>
      </c>
      <c r="I500" t="str">
        <f>Data_preprocessing!Y500</f>
        <v>email@example.com</v>
      </c>
      <c r="J500" t="str">
        <f>Data_preprocessing!Z500</f>
        <v>Phone not provided</v>
      </c>
      <c r="K500">
        <f t="shared" ca="1" si="21"/>
        <v>6</v>
      </c>
      <c r="L500" t="str">
        <f t="shared" si="22"/>
        <v>Low</v>
      </c>
      <c r="M500" t="str">
        <f t="shared" si="23"/>
        <v>Good</v>
      </c>
    </row>
    <row r="501" spans="1:13" x14ac:dyDescent="0.25">
      <c r="A501" t="str">
        <f>Data_preprocessing!M501</f>
        <v>Charlie</v>
      </c>
      <c r="B501">
        <f>Data_preprocessing!O501</f>
        <v>30</v>
      </c>
      <c r="C501">
        <f>Data_preprocessing!Q501</f>
        <v>50000</v>
      </c>
      <c r="D501" t="str">
        <f>Data_preprocessing!R501</f>
        <v>Female</v>
      </c>
      <c r="E501" t="str">
        <f>Data_preprocessing!S501</f>
        <v>HR</v>
      </c>
      <c r="F501" t="str">
        <f>Data_preprocessing!T501</f>
        <v>Manager</v>
      </c>
      <c r="G501" s="2">
        <f>Data_preprocessing!U501</f>
        <v>43800</v>
      </c>
      <c r="H501" t="str">
        <f>Data_preprocessing!V501</f>
        <v>F</v>
      </c>
      <c r="I501" t="str">
        <f>Data_preprocessing!Y501</f>
        <v>Email not provided</v>
      </c>
      <c r="J501" t="str">
        <f>Data_preprocessing!Z501</f>
        <v>098-765-4321</v>
      </c>
      <c r="K501">
        <f t="shared" ca="1" si="21"/>
        <v>6</v>
      </c>
      <c r="L501" t="str">
        <f t="shared" si="22"/>
        <v>Low</v>
      </c>
      <c r="M501" t="str">
        <f t="shared" si="23"/>
        <v>Poor</v>
      </c>
    </row>
    <row r="502" spans="1:13" x14ac:dyDescent="0.25">
      <c r="A502" t="str">
        <f>Data_preprocessing!M502</f>
        <v>Ivy</v>
      </c>
      <c r="B502">
        <f>Data_preprocessing!O502</f>
        <v>35</v>
      </c>
      <c r="C502">
        <f>Data_preprocessing!Q502</f>
        <v>50000</v>
      </c>
      <c r="D502" t="str">
        <f>Data_preprocessing!R502</f>
        <v>Male</v>
      </c>
      <c r="E502" t="str">
        <f>Data_preprocessing!S502</f>
        <v>Sales</v>
      </c>
      <c r="F502" t="str">
        <f>Data_preprocessing!T502</f>
        <v>Assistant</v>
      </c>
      <c r="G502" s="2">
        <f>Data_preprocessing!U502</f>
        <v>43881</v>
      </c>
      <c r="H502" t="str">
        <f>Data_preprocessing!V502</f>
        <v>F</v>
      </c>
      <c r="I502" t="str">
        <f>Data_preprocessing!Y502</f>
        <v>name@company.org</v>
      </c>
      <c r="J502" t="str">
        <f>Data_preprocessing!Z502</f>
        <v>123-456-7890</v>
      </c>
      <c r="K502">
        <f t="shared" ca="1" si="21"/>
        <v>5</v>
      </c>
      <c r="L502" t="str">
        <f t="shared" si="22"/>
        <v>Low</v>
      </c>
      <c r="M502" t="str">
        <f t="shared" si="23"/>
        <v>Poor</v>
      </c>
    </row>
    <row r="503" spans="1:13" x14ac:dyDescent="0.25">
      <c r="A503" t="str">
        <f>Data_preprocessing!M503</f>
        <v>Alice</v>
      </c>
      <c r="B503">
        <f>Data_preprocessing!O503</f>
        <v>30</v>
      </c>
      <c r="C503">
        <f>Data_preprocessing!Q503</f>
        <v>50000</v>
      </c>
      <c r="D503" t="str">
        <f>Data_preprocessing!R503</f>
        <v>Other</v>
      </c>
      <c r="E503" t="str">
        <f>Data_preprocessing!S503</f>
        <v>Marketing</v>
      </c>
      <c r="F503" t="str">
        <f>Data_preprocessing!T503</f>
        <v>Analyst</v>
      </c>
      <c r="G503" s="2">
        <f>Data_preprocessing!U503</f>
        <v>43195</v>
      </c>
      <c r="H503" t="str">
        <f>Data_preprocessing!V503</f>
        <v>F</v>
      </c>
      <c r="I503" t="str">
        <f>Data_preprocessing!Y503</f>
        <v>email@example.com</v>
      </c>
      <c r="J503" t="str">
        <f>Data_preprocessing!Z503</f>
        <v>555-555-5555</v>
      </c>
      <c r="K503">
        <f t="shared" ca="1" si="21"/>
        <v>7</v>
      </c>
      <c r="L503" t="str">
        <f t="shared" si="22"/>
        <v>Low</v>
      </c>
      <c r="M503" t="str">
        <f t="shared" si="23"/>
        <v>Poor</v>
      </c>
    </row>
    <row r="504" spans="1:13" x14ac:dyDescent="0.25">
      <c r="A504" t="str">
        <f>Data_preprocessing!M504</f>
        <v>Alice</v>
      </c>
      <c r="B504">
        <f>Data_preprocessing!O504</f>
        <v>25</v>
      </c>
      <c r="C504">
        <f>Data_preprocessing!Q504</f>
        <v>50000</v>
      </c>
      <c r="D504" t="str">
        <f>Data_preprocessing!R504</f>
        <v>Female</v>
      </c>
      <c r="E504" t="str">
        <f>Data_preprocessing!S504</f>
        <v>Sales</v>
      </c>
      <c r="F504" t="str">
        <f>Data_preprocessing!T504</f>
        <v>Analyst</v>
      </c>
      <c r="G504" s="2">
        <f>Data_preprocessing!U504</f>
        <v>43845</v>
      </c>
      <c r="H504" t="str">
        <f>Data_preprocessing!V504</f>
        <v>B</v>
      </c>
      <c r="I504" t="str">
        <f>Data_preprocessing!Y504</f>
        <v>email@example.com</v>
      </c>
      <c r="J504" t="str">
        <f>Data_preprocessing!Z504</f>
        <v>098-765-4321</v>
      </c>
      <c r="K504">
        <f t="shared" ca="1" si="21"/>
        <v>6</v>
      </c>
      <c r="L504" t="str">
        <f t="shared" si="22"/>
        <v>Low</v>
      </c>
      <c r="M504" t="str">
        <f t="shared" si="23"/>
        <v>Good</v>
      </c>
    </row>
    <row r="505" spans="1:13" x14ac:dyDescent="0.25">
      <c r="A505" t="str">
        <f>Data_preprocessing!M505</f>
        <v>David</v>
      </c>
      <c r="B505">
        <f>Data_preprocessing!O505</f>
        <v>25</v>
      </c>
      <c r="C505">
        <f>Data_preprocessing!Q505</f>
        <v>55000</v>
      </c>
      <c r="D505" t="str">
        <f>Data_preprocessing!R505</f>
        <v>Male</v>
      </c>
      <c r="E505" t="str">
        <f>Data_preprocessing!S505</f>
        <v>Finance</v>
      </c>
      <c r="F505" t="str">
        <f>Data_preprocessing!T505</f>
        <v>Director</v>
      </c>
      <c r="G505" s="2">
        <f>Data_preprocessing!U505</f>
        <v>43195</v>
      </c>
      <c r="H505" t="str">
        <f>Data_preprocessing!V505</f>
        <v>D</v>
      </c>
      <c r="I505" t="str">
        <f>Data_preprocessing!Y505</f>
        <v>user@domain.com</v>
      </c>
      <c r="J505" t="str">
        <f>Data_preprocessing!Z505</f>
        <v>123-456-7890</v>
      </c>
      <c r="K505">
        <f t="shared" ca="1" si="21"/>
        <v>7</v>
      </c>
      <c r="L505" t="str">
        <f t="shared" si="22"/>
        <v>Low</v>
      </c>
      <c r="M505" t="str">
        <f t="shared" si="23"/>
        <v>Below Average</v>
      </c>
    </row>
    <row r="506" spans="1:13" x14ac:dyDescent="0.25">
      <c r="A506" t="str">
        <f>Data_preprocessing!M506</f>
        <v>Ivy</v>
      </c>
      <c r="B506">
        <f>Data_preprocessing!O506</f>
        <v>40</v>
      </c>
      <c r="C506">
        <f>Data_preprocessing!Q506</f>
        <v>65000</v>
      </c>
      <c r="D506" t="str">
        <f>Data_preprocessing!R506</f>
        <v>Male</v>
      </c>
      <c r="E506" t="str">
        <f>Data_preprocessing!S506</f>
        <v>Marketing</v>
      </c>
      <c r="F506" t="str">
        <f>Data_preprocessing!T506</f>
        <v>Assistant</v>
      </c>
      <c r="G506" s="2">
        <f>Data_preprocessing!U506</f>
        <v>43881</v>
      </c>
      <c r="H506" t="str">
        <f>Data_preprocessing!V506</f>
        <v>B</v>
      </c>
      <c r="I506" t="str">
        <f>Data_preprocessing!Y506</f>
        <v>Email not provided</v>
      </c>
      <c r="J506" t="str">
        <f>Data_preprocessing!Z506</f>
        <v>123-456-7890</v>
      </c>
      <c r="K506">
        <f t="shared" ca="1" si="21"/>
        <v>5</v>
      </c>
      <c r="L506" t="str">
        <f t="shared" si="22"/>
        <v>High</v>
      </c>
      <c r="M506" t="str">
        <f t="shared" si="23"/>
        <v>Good</v>
      </c>
    </row>
    <row r="507" spans="1:13" x14ac:dyDescent="0.25">
      <c r="A507" t="str">
        <f>Data_preprocessing!M507</f>
        <v>Frank</v>
      </c>
      <c r="B507">
        <f>Data_preprocessing!O507</f>
        <v>35</v>
      </c>
      <c r="C507">
        <f>Data_preprocessing!Q507</f>
        <v>70000</v>
      </c>
      <c r="D507" t="str">
        <f>Data_preprocessing!R507</f>
        <v>Female</v>
      </c>
      <c r="E507" t="str">
        <f>Data_preprocessing!S507</f>
        <v>Marketing</v>
      </c>
      <c r="F507" t="str">
        <f>Data_preprocessing!T507</f>
        <v>Director</v>
      </c>
      <c r="G507" s="2">
        <f>Data_preprocessing!U507</f>
        <v>43549</v>
      </c>
      <c r="H507" t="str">
        <f>Data_preprocessing!V507</f>
        <v>F</v>
      </c>
      <c r="I507" t="str">
        <f>Data_preprocessing!Y507</f>
        <v>name@company.org</v>
      </c>
      <c r="J507" t="str">
        <f>Data_preprocessing!Z507</f>
        <v>123-456-7890</v>
      </c>
      <c r="K507">
        <f t="shared" ca="1" si="21"/>
        <v>6</v>
      </c>
      <c r="L507" t="str">
        <f t="shared" si="22"/>
        <v>High</v>
      </c>
      <c r="M507" t="str">
        <f t="shared" si="23"/>
        <v>Poor</v>
      </c>
    </row>
    <row r="508" spans="1:13" x14ac:dyDescent="0.25">
      <c r="A508" t="str">
        <f>Data_preprocessing!M508</f>
        <v>Charlie</v>
      </c>
      <c r="B508">
        <f>Data_preprocessing!O508</f>
        <v>35</v>
      </c>
      <c r="C508">
        <f>Data_preprocessing!Q508</f>
        <v>50000</v>
      </c>
      <c r="D508" t="str">
        <f>Data_preprocessing!R508</f>
        <v>Other</v>
      </c>
      <c r="E508" t="str">
        <f>Data_preprocessing!S508</f>
        <v>HR</v>
      </c>
      <c r="F508" t="str">
        <f>Data_preprocessing!T508</f>
        <v>Clerk</v>
      </c>
      <c r="G508" s="2">
        <f>Data_preprocessing!U508</f>
        <v>43845</v>
      </c>
      <c r="H508" t="str">
        <f>Data_preprocessing!V508</f>
        <v>C</v>
      </c>
      <c r="I508" t="str">
        <f>Data_preprocessing!Y508</f>
        <v>Email not provided</v>
      </c>
      <c r="J508" t="str">
        <f>Data_preprocessing!Z508</f>
        <v>098-765-4321</v>
      </c>
      <c r="K508">
        <f t="shared" ca="1" si="21"/>
        <v>6</v>
      </c>
      <c r="L508" t="str">
        <f t="shared" si="22"/>
        <v>Low</v>
      </c>
      <c r="M508" t="str">
        <f t="shared" si="23"/>
        <v>Average</v>
      </c>
    </row>
    <row r="509" spans="1:13" x14ac:dyDescent="0.25">
      <c r="A509" t="str">
        <f>Data_preprocessing!M509</f>
        <v>Alice</v>
      </c>
      <c r="B509">
        <f>Data_preprocessing!O509</f>
        <v>30</v>
      </c>
      <c r="C509">
        <f>Data_preprocessing!Q509</f>
        <v>55000</v>
      </c>
      <c r="D509" t="str">
        <f>Data_preprocessing!R509</f>
        <v>Male</v>
      </c>
      <c r="E509" t="str">
        <f>Data_preprocessing!S509</f>
        <v>Finance</v>
      </c>
      <c r="F509" t="str">
        <f>Data_preprocessing!T509</f>
        <v>Analyst</v>
      </c>
      <c r="G509" s="2">
        <f>Data_preprocessing!U509</f>
        <v>43845</v>
      </c>
      <c r="H509" t="str">
        <f>Data_preprocessing!V509</f>
        <v>A</v>
      </c>
      <c r="I509" t="str">
        <f>Data_preprocessing!Y509</f>
        <v>user@domain.com</v>
      </c>
      <c r="J509" t="str">
        <f>Data_preprocessing!Z509</f>
        <v>555-555-5555</v>
      </c>
      <c r="K509">
        <f t="shared" ca="1" si="21"/>
        <v>6</v>
      </c>
      <c r="L509" t="str">
        <f t="shared" si="22"/>
        <v>Low</v>
      </c>
      <c r="M509" t="str">
        <f t="shared" si="23"/>
        <v>Excellent</v>
      </c>
    </row>
    <row r="510" spans="1:13" x14ac:dyDescent="0.25">
      <c r="A510" t="str">
        <f>Data_preprocessing!M510</f>
        <v>David</v>
      </c>
      <c r="B510">
        <f>Data_preprocessing!O510</f>
        <v>35</v>
      </c>
      <c r="C510">
        <f>Data_preprocessing!Q510</f>
        <v>55000</v>
      </c>
      <c r="D510" t="str">
        <f>Data_preprocessing!R510</f>
        <v>Other</v>
      </c>
      <c r="E510" t="str">
        <f>Data_preprocessing!S510</f>
        <v>IT</v>
      </c>
      <c r="F510" t="str">
        <f>Data_preprocessing!T510</f>
        <v>Director</v>
      </c>
      <c r="G510" s="2">
        <f>Data_preprocessing!U510</f>
        <v>43549</v>
      </c>
      <c r="H510" t="str">
        <f>Data_preprocessing!V510</f>
        <v>F</v>
      </c>
      <c r="I510" t="str">
        <f>Data_preprocessing!Y510</f>
        <v>Email not provided</v>
      </c>
      <c r="J510" t="str">
        <f>Data_preprocessing!Z510</f>
        <v>555-555-5555</v>
      </c>
      <c r="K510">
        <f t="shared" ca="1" si="21"/>
        <v>6</v>
      </c>
      <c r="L510" t="str">
        <f t="shared" si="22"/>
        <v>Low</v>
      </c>
      <c r="M510" t="str">
        <f t="shared" si="23"/>
        <v>Poor</v>
      </c>
    </row>
    <row r="511" spans="1:13" x14ac:dyDescent="0.25">
      <c r="A511" t="str">
        <f>Data_preprocessing!M511</f>
        <v>Ivy</v>
      </c>
      <c r="B511">
        <f>Data_preprocessing!O511</f>
        <v>50</v>
      </c>
      <c r="C511">
        <f>Data_preprocessing!Q511</f>
        <v>55000</v>
      </c>
      <c r="D511" t="str">
        <f>Data_preprocessing!R511</f>
        <v>Other</v>
      </c>
      <c r="E511" t="str">
        <f>Data_preprocessing!S511</f>
        <v>HR</v>
      </c>
      <c r="F511" t="str">
        <f>Data_preprocessing!T511</f>
        <v>Clerk</v>
      </c>
      <c r="G511" s="2">
        <f>Data_preprocessing!U511</f>
        <v>43195</v>
      </c>
      <c r="H511" t="str">
        <f>Data_preprocessing!V511</f>
        <v>C</v>
      </c>
      <c r="I511" t="str">
        <f>Data_preprocessing!Y511</f>
        <v>email@example.com</v>
      </c>
      <c r="J511" t="str">
        <f>Data_preprocessing!Z511</f>
        <v>123-456-7890</v>
      </c>
      <c r="K511">
        <f t="shared" ca="1" si="21"/>
        <v>7</v>
      </c>
      <c r="L511" t="str">
        <f t="shared" si="22"/>
        <v>Low</v>
      </c>
      <c r="M511" t="str">
        <f t="shared" si="23"/>
        <v>Average</v>
      </c>
    </row>
    <row r="512" spans="1:13" x14ac:dyDescent="0.25">
      <c r="A512" t="str">
        <f>Data_preprocessing!M512</f>
        <v>Charlie</v>
      </c>
      <c r="B512">
        <f>Data_preprocessing!O512</f>
        <v>35</v>
      </c>
      <c r="C512">
        <f>Data_preprocessing!Q512</f>
        <v>65000</v>
      </c>
      <c r="D512" t="str">
        <f>Data_preprocessing!R512</f>
        <v>Other</v>
      </c>
      <c r="E512" t="str">
        <f>Data_preprocessing!S512</f>
        <v>HR</v>
      </c>
      <c r="F512" t="str">
        <f>Data_preprocessing!T512</f>
        <v>Director</v>
      </c>
      <c r="G512" s="2">
        <f>Data_preprocessing!U512</f>
        <v>43800</v>
      </c>
      <c r="H512" t="str">
        <f>Data_preprocessing!V512</f>
        <v>D</v>
      </c>
      <c r="I512" t="str">
        <f>Data_preprocessing!Y512</f>
        <v>name@company.org</v>
      </c>
      <c r="J512" t="str">
        <f>Data_preprocessing!Z512</f>
        <v>098-765-4321</v>
      </c>
      <c r="K512">
        <f t="shared" ca="1" si="21"/>
        <v>6</v>
      </c>
      <c r="L512" t="str">
        <f t="shared" si="22"/>
        <v>High</v>
      </c>
      <c r="M512" t="str">
        <f t="shared" si="23"/>
        <v>Below Average</v>
      </c>
    </row>
    <row r="513" spans="1:13" x14ac:dyDescent="0.25">
      <c r="A513" t="str">
        <f>Data_preprocessing!M513</f>
        <v>Ivy</v>
      </c>
      <c r="B513">
        <f>Data_preprocessing!O513</f>
        <v>40</v>
      </c>
      <c r="C513">
        <f>Data_preprocessing!Q513</f>
        <v>70000</v>
      </c>
      <c r="D513" t="str">
        <f>Data_preprocessing!R513</f>
        <v>Male</v>
      </c>
      <c r="E513" t="str">
        <f>Data_preprocessing!S513</f>
        <v>Sales</v>
      </c>
      <c r="F513" t="str">
        <f>Data_preprocessing!T513</f>
        <v>Assistant</v>
      </c>
      <c r="G513" s="2">
        <f>Data_preprocessing!U513</f>
        <v>43195</v>
      </c>
      <c r="H513" t="str">
        <f>Data_preprocessing!V513</f>
        <v>F</v>
      </c>
      <c r="I513" t="str">
        <f>Data_preprocessing!Y513</f>
        <v>Email not provided</v>
      </c>
      <c r="J513" t="str">
        <f>Data_preprocessing!Z513</f>
        <v>123-456-7890</v>
      </c>
      <c r="K513">
        <f t="shared" ca="1" si="21"/>
        <v>7</v>
      </c>
      <c r="L513" t="str">
        <f t="shared" si="22"/>
        <v>High</v>
      </c>
      <c r="M513" t="str">
        <f t="shared" si="23"/>
        <v>Poor</v>
      </c>
    </row>
    <row r="514" spans="1:13" x14ac:dyDescent="0.25">
      <c r="A514" t="str">
        <f>Data_preprocessing!M514</f>
        <v>Grace</v>
      </c>
      <c r="B514">
        <f>Data_preprocessing!O514</f>
        <v>30</v>
      </c>
      <c r="C514">
        <f>Data_preprocessing!Q514</f>
        <v>65000</v>
      </c>
      <c r="D514" t="str">
        <f>Data_preprocessing!R514</f>
        <v>Other</v>
      </c>
      <c r="E514" t="str">
        <f>Data_preprocessing!S514</f>
        <v>Sales</v>
      </c>
      <c r="F514" t="str">
        <f>Data_preprocessing!T514</f>
        <v>Assistant</v>
      </c>
      <c r="G514" s="2">
        <f>Data_preprocessing!U514</f>
        <v>43881</v>
      </c>
      <c r="H514" t="str">
        <f>Data_preprocessing!V514</f>
        <v>C</v>
      </c>
      <c r="I514" t="str">
        <f>Data_preprocessing!Y514</f>
        <v>user@domain.com</v>
      </c>
      <c r="J514" t="str">
        <f>Data_preprocessing!Z514</f>
        <v>Phone not provided</v>
      </c>
      <c r="K514">
        <f t="shared" ref="K514:K577" ca="1" si="24">DATEDIF(G514,TODAY(),"Y")</f>
        <v>5</v>
      </c>
      <c r="L514" t="str">
        <f t="shared" ref="L514:L577" si="25">IF(C514&lt;60000,"Low",IF(C514&lt;65000,"Medium","High"))</f>
        <v>High</v>
      </c>
      <c r="M514" t="str">
        <f t="shared" si="23"/>
        <v>Average</v>
      </c>
    </row>
    <row r="515" spans="1:13" x14ac:dyDescent="0.25">
      <c r="A515" t="str">
        <f>Data_preprocessing!M515</f>
        <v>David</v>
      </c>
      <c r="B515">
        <f>Data_preprocessing!O515</f>
        <v>30</v>
      </c>
      <c r="C515">
        <f>Data_preprocessing!Q515</f>
        <v>60000</v>
      </c>
      <c r="D515" t="str">
        <f>Data_preprocessing!R515</f>
        <v>Male</v>
      </c>
      <c r="E515" t="str">
        <f>Data_preprocessing!S515</f>
        <v>Sales</v>
      </c>
      <c r="F515" t="str">
        <f>Data_preprocessing!T515</f>
        <v>Assistant</v>
      </c>
      <c r="G515" s="2">
        <f>Data_preprocessing!U515</f>
        <v>43800</v>
      </c>
      <c r="H515" t="str">
        <f>Data_preprocessing!V515</f>
        <v>F</v>
      </c>
      <c r="I515" t="str">
        <f>Data_preprocessing!Y515</f>
        <v>Email not provided</v>
      </c>
      <c r="J515" t="str">
        <f>Data_preprocessing!Z515</f>
        <v>555-555-5555</v>
      </c>
      <c r="K515">
        <f t="shared" ca="1" si="24"/>
        <v>6</v>
      </c>
      <c r="L515" t="str">
        <f t="shared" si="25"/>
        <v>Medium</v>
      </c>
      <c r="M515" t="str">
        <f t="shared" ref="M515:M578" si="26">IF(H515="A","Excellent",IF(H515="B","Good",IF(H515="C","Average",IF(H515="D","Below Average","Poor"))))</f>
        <v>Poor</v>
      </c>
    </row>
    <row r="516" spans="1:13" x14ac:dyDescent="0.25">
      <c r="A516" t="str">
        <f>Data_preprocessing!M516</f>
        <v>Charlie</v>
      </c>
      <c r="B516">
        <f>Data_preprocessing!O516</f>
        <v>50</v>
      </c>
      <c r="C516">
        <f>Data_preprocessing!Q516</f>
        <v>55000</v>
      </c>
      <c r="D516" t="str">
        <f>Data_preprocessing!R516</f>
        <v>Other</v>
      </c>
      <c r="E516" t="str">
        <f>Data_preprocessing!S516</f>
        <v>HR</v>
      </c>
      <c r="F516" t="str">
        <f>Data_preprocessing!T516</f>
        <v>Assistant</v>
      </c>
      <c r="G516" s="2">
        <f>Data_preprocessing!U516</f>
        <v>43195</v>
      </c>
      <c r="H516" t="str">
        <f>Data_preprocessing!V516</f>
        <v>B</v>
      </c>
      <c r="I516" t="str">
        <f>Data_preprocessing!Y516</f>
        <v>email@example.com</v>
      </c>
      <c r="J516" t="str">
        <f>Data_preprocessing!Z516</f>
        <v>Phone not provided</v>
      </c>
      <c r="K516">
        <f t="shared" ca="1" si="24"/>
        <v>7</v>
      </c>
      <c r="L516" t="str">
        <f t="shared" si="25"/>
        <v>Low</v>
      </c>
      <c r="M516" t="str">
        <f t="shared" si="26"/>
        <v>Good</v>
      </c>
    </row>
    <row r="517" spans="1:13" x14ac:dyDescent="0.25">
      <c r="A517" t="str">
        <f>Data_preprocessing!M517</f>
        <v>Jack</v>
      </c>
      <c r="B517">
        <f>Data_preprocessing!O517</f>
        <v>40</v>
      </c>
      <c r="C517">
        <f>Data_preprocessing!Q517</f>
        <v>60000</v>
      </c>
      <c r="D517" t="str">
        <f>Data_preprocessing!R517</f>
        <v>Male</v>
      </c>
      <c r="E517" t="str">
        <f>Data_preprocessing!S517</f>
        <v>IT</v>
      </c>
      <c r="F517" t="str">
        <f>Data_preprocessing!T517</f>
        <v>Manager</v>
      </c>
      <c r="G517" s="2">
        <f>Data_preprocessing!U517</f>
        <v>43549</v>
      </c>
      <c r="H517" t="str">
        <f>Data_preprocessing!V517</f>
        <v>C</v>
      </c>
      <c r="I517" t="str">
        <f>Data_preprocessing!Y517</f>
        <v>name@company.org</v>
      </c>
      <c r="J517" t="str">
        <f>Data_preprocessing!Z517</f>
        <v>123-456-7890</v>
      </c>
      <c r="K517">
        <f t="shared" ca="1" si="24"/>
        <v>6</v>
      </c>
      <c r="L517" t="str">
        <f t="shared" si="25"/>
        <v>Medium</v>
      </c>
      <c r="M517" t="str">
        <f t="shared" si="26"/>
        <v>Average</v>
      </c>
    </row>
    <row r="518" spans="1:13" x14ac:dyDescent="0.25">
      <c r="A518" t="str">
        <f>Data_preprocessing!M518</f>
        <v>Eve</v>
      </c>
      <c r="B518">
        <f>Data_preprocessing!O518</f>
        <v>35</v>
      </c>
      <c r="C518">
        <f>Data_preprocessing!Q518</f>
        <v>60000</v>
      </c>
      <c r="D518" t="str">
        <f>Data_preprocessing!R518</f>
        <v>Other</v>
      </c>
      <c r="E518" t="str">
        <f>Data_preprocessing!S518</f>
        <v>Marketing</v>
      </c>
      <c r="F518" t="str">
        <f>Data_preprocessing!T518</f>
        <v>Clerk</v>
      </c>
      <c r="G518" s="2">
        <f>Data_preprocessing!U518</f>
        <v>43881</v>
      </c>
      <c r="H518" t="str">
        <f>Data_preprocessing!V518</f>
        <v>B</v>
      </c>
      <c r="I518" t="str">
        <f>Data_preprocessing!Y518</f>
        <v>Email not provided</v>
      </c>
      <c r="J518" t="str">
        <f>Data_preprocessing!Z518</f>
        <v>Phone not provided</v>
      </c>
      <c r="K518">
        <f t="shared" ca="1" si="24"/>
        <v>5</v>
      </c>
      <c r="L518" t="str">
        <f t="shared" si="25"/>
        <v>Medium</v>
      </c>
      <c r="M518" t="str">
        <f t="shared" si="26"/>
        <v>Good</v>
      </c>
    </row>
    <row r="519" spans="1:13" x14ac:dyDescent="0.25">
      <c r="A519" t="str">
        <f>Data_preprocessing!M519</f>
        <v>Eve</v>
      </c>
      <c r="B519">
        <f>Data_preprocessing!O519</f>
        <v>40</v>
      </c>
      <c r="C519">
        <f>Data_preprocessing!Q519</f>
        <v>50000</v>
      </c>
      <c r="D519" t="str">
        <f>Data_preprocessing!R519</f>
        <v>Female</v>
      </c>
      <c r="E519" t="str">
        <f>Data_preprocessing!S519</f>
        <v>Sales</v>
      </c>
      <c r="F519" t="str">
        <f>Data_preprocessing!T519</f>
        <v>Clerk</v>
      </c>
      <c r="G519" s="2">
        <f>Data_preprocessing!U519</f>
        <v>43881</v>
      </c>
      <c r="H519" t="str">
        <f>Data_preprocessing!V519</f>
        <v>B</v>
      </c>
      <c r="I519" t="str">
        <f>Data_preprocessing!Y519</f>
        <v>Email not provided</v>
      </c>
      <c r="J519" t="str">
        <f>Data_preprocessing!Z519</f>
        <v>555-555-5555</v>
      </c>
      <c r="K519">
        <f t="shared" ca="1" si="24"/>
        <v>5</v>
      </c>
      <c r="L519" t="str">
        <f t="shared" si="25"/>
        <v>Low</v>
      </c>
      <c r="M519" t="str">
        <f t="shared" si="26"/>
        <v>Good</v>
      </c>
    </row>
    <row r="520" spans="1:13" x14ac:dyDescent="0.25">
      <c r="A520" t="str">
        <f>Data_preprocessing!M520</f>
        <v>Charlie</v>
      </c>
      <c r="B520">
        <f>Data_preprocessing!O520</f>
        <v>35</v>
      </c>
      <c r="C520">
        <f>Data_preprocessing!Q520</f>
        <v>50000</v>
      </c>
      <c r="D520" t="str">
        <f>Data_preprocessing!R520</f>
        <v>Other</v>
      </c>
      <c r="E520" t="str">
        <f>Data_preprocessing!S520</f>
        <v>IT</v>
      </c>
      <c r="F520" t="str">
        <f>Data_preprocessing!T520</f>
        <v>Assistant</v>
      </c>
      <c r="G520" s="2">
        <f>Data_preprocessing!U520</f>
        <v>43881</v>
      </c>
      <c r="H520" t="str">
        <f>Data_preprocessing!V520</f>
        <v>C</v>
      </c>
      <c r="I520" t="str">
        <f>Data_preprocessing!Y520</f>
        <v>email@example.com</v>
      </c>
      <c r="J520" t="str">
        <f>Data_preprocessing!Z520</f>
        <v>098-765-4321</v>
      </c>
      <c r="K520">
        <f t="shared" ca="1" si="24"/>
        <v>5</v>
      </c>
      <c r="L520" t="str">
        <f t="shared" si="25"/>
        <v>Low</v>
      </c>
      <c r="M520" t="str">
        <f t="shared" si="26"/>
        <v>Average</v>
      </c>
    </row>
    <row r="521" spans="1:13" x14ac:dyDescent="0.25">
      <c r="A521" t="str">
        <f>Data_preprocessing!M521</f>
        <v>Ivy</v>
      </c>
      <c r="B521">
        <f>Data_preprocessing!O521</f>
        <v>40</v>
      </c>
      <c r="C521">
        <f>Data_preprocessing!Q521</f>
        <v>65000</v>
      </c>
      <c r="D521" t="str">
        <f>Data_preprocessing!R521</f>
        <v>Other</v>
      </c>
      <c r="E521" t="str">
        <f>Data_preprocessing!S521</f>
        <v>Finance</v>
      </c>
      <c r="F521" t="str">
        <f>Data_preprocessing!T521</f>
        <v>Manager</v>
      </c>
      <c r="G521" s="2">
        <f>Data_preprocessing!U521</f>
        <v>43800</v>
      </c>
      <c r="H521" t="str">
        <f>Data_preprocessing!V521</f>
        <v>A</v>
      </c>
      <c r="I521" t="str">
        <f>Data_preprocessing!Y521</f>
        <v>Email not provided</v>
      </c>
      <c r="J521" t="str">
        <f>Data_preprocessing!Z521</f>
        <v>555-555-5555</v>
      </c>
      <c r="K521">
        <f t="shared" ca="1" si="24"/>
        <v>6</v>
      </c>
      <c r="L521" t="str">
        <f t="shared" si="25"/>
        <v>High</v>
      </c>
      <c r="M521" t="str">
        <f t="shared" si="26"/>
        <v>Excellent</v>
      </c>
    </row>
    <row r="522" spans="1:13" x14ac:dyDescent="0.25">
      <c r="A522" t="str">
        <f>Data_preprocessing!M522</f>
        <v>David</v>
      </c>
      <c r="B522">
        <f>Data_preprocessing!O522</f>
        <v>40</v>
      </c>
      <c r="C522">
        <f>Data_preprocessing!Q522</f>
        <v>70000</v>
      </c>
      <c r="D522" t="str">
        <f>Data_preprocessing!R522</f>
        <v>Male</v>
      </c>
      <c r="E522" t="str">
        <f>Data_preprocessing!S522</f>
        <v>Sales</v>
      </c>
      <c r="F522" t="str">
        <f>Data_preprocessing!T522</f>
        <v>Assistant</v>
      </c>
      <c r="G522" s="2">
        <f>Data_preprocessing!U522</f>
        <v>43845</v>
      </c>
      <c r="H522" t="str">
        <f>Data_preprocessing!V522</f>
        <v>C</v>
      </c>
      <c r="I522" t="str">
        <f>Data_preprocessing!Y522</f>
        <v>user@domain.com</v>
      </c>
      <c r="J522" t="str">
        <f>Data_preprocessing!Z522</f>
        <v>098-765-4321</v>
      </c>
      <c r="K522">
        <f t="shared" ca="1" si="24"/>
        <v>6</v>
      </c>
      <c r="L522" t="str">
        <f t="shared" si="25"/>
        <v>High</v>
      </c>
      <c r="M522" t="str">
        <f t="shared" si="26"/>
        <v>Average</v>
      </c>
    </row>
    <row r="523" spans="1:13" x14ac:dyDescent="0.25">
      <c r="A523" t="str">
        <f>Data_preprocessing!M523</f>
        <v>Eve</v>
      </c>
      <c r="B523">
        <f>Data_preprocessing!O523</f>
        <v>25</v>
      </c>
      <c r="C523">
        <f>Data_preprocessing!Q523</f>
        <v>60000</v>
      </c>
      <c r="D523" t="str">
        <f>Data_preprocessing!R523</f>
        <v>Male</v>
      </c>
      <c r="E523" t="str">
        <f>Data_preprocessing!S523</f>
        <v>Marketing</v>
      </c>
      <c r="F523" t="str">
        <f>Data_preprocessing!T523</f>
        <v>Manager</v>
      </c>
      <c r="G523" s="2">
        <f>Data_preprocessing!U523</f>
        <v>43800</v>
      </c>
      <c r="H523" t="str">
        <f>Data_preprocessing!V523</f>
        <v>A</v>
      </c>
      <c r="I523" t="str">
        <f>Data_preprocessing!Y523</f>
        <v>Email not provided</v>
      </c>
      <c r="J523" t="str">
        <f>Data_preprocessing!Z523</f>
        <v>098-765-4321</v>
      </c>
      <c r="K523">
        <f t="shared" ca="1" si="24"/>
        <v>6</v>
      </c>
      <c r="L523" t="str">
        <f t="shared" si="25"/>
        <v>Medium</v>
      </c>
      <c r="M523" t="str">
        <f t="shared" si="26"/>
        <v>Excellent</v>
      </c>
    </row>
    <row r="524" spans="1:13" x14ac:dyDescent="0.25">
      <c r="A524" t="str">
        <f>Data_preprocessing!M524</f>
        <v>David</v>
      </c>
      <c r="B524">
        <f>Data_preprocessing!O524</f>
        <v>30</v>
      </c>
      <c r="C524">
        <f>Data_preprocessing!Q524</f>
        <v>70000</v>
      </c>
      <c r="D524" t="str">
        <f>Data_preprocessing!R524</f>
        <v>Other</v>
      </c>
      <c r="E524" t="str">
        <f>Data_preprocessing!S524</f>
        <v>Finance</v>
      </c>
      <c r="F524" t="str">
        <f>Data_preprocessing!T524</f>
        <v>Assistant</v>
      </c>
      <c r="G524" s="2">
        <f>Data_preprocessing!U524</f>
        <v>43195</v>
      </c>
      <c r="H524" t="str">
        <f>Data_preprocessing!V524</f>
        <v>F</v>
      </c>
      <c r="I524" t="str">
        <f>Data_preprocessing!Y524</f>
        <v>Email not provided</v>
      </c>
      <c r="J524" t="str">
        <f>Data_preprocessing!Z524</f>
        <v>123-456-7890</v>
      </c>
      <c r="K524">
        <f t="shared" ca="1" si="24"/>
        <v>7</v>
      </c>
      <c r="L524" t="str">
        <f t="shared" si="25"/>
        <v>High</v>
      </c>
      <c r="M524" t="str">
        <f t="shared" si="26"/>
        <v>Poor</v>
      </c>
    </row>
    <row r="525" spans="1:13" x14ac:dyDescent="0.25">
      <c r="A525" t="str">
        <f>Data_preprocessing!M525</f>
        <v>Eve</v>
      </c>
      <c r="B525">
        <f>Data_preprocessing!O525</f>
        <v>40</v>
      </c>
      <c r="C525">
        <f>Data_preprocessing!Q525</f>
        <v>65000</v>
      </c>
      <c r="D525" t="str">
        <f>Data_preprocessing!R525</f>
        <v>Female</v>
      </c>
      <c r="E525" t="str">
        <f>Data_preprocessing!S525</f>
        <v>Finance</v>
      </c>
      <c r="F525" t="str">
        <f>Data_preprocessing!T525</f>
        <v>Analyst</v>
      </c>
      <c r="G525" s="2">
        <f>Data_preprocessing!U525</f>
        <v>43845</v>
      </c>
      <c r="H525" t="str">
        <f>Data_preprocessing!V525</f>
        <v>F</v>
      </c>
      <c r="I525" t="str">
        <f>Data_preprocessing!Y525</f>
        <v>Email not provided</v>
      </c>
      <c r="J525" t="str">
        <f>Data_preprocessing!Z525</f>
        <v>123-456-7890</v>
      </c>
      <c r="K525">
        <f t="shared" ca="1" si="24"/>
        <v>6</v>
      </c>
      <c r="L525" t="str">
        <f t="shared" si="25"/>
        <v>High</v>
      </c>
      <c r="M525" t="str">
        <f t="shared" si="26"/>
        <v>Poor</v>
      </c>
    </row>
    <row r="526" spans="1:13" x14ac:dyDescent="0.25">
      <c r="A526" t="str">
        <f>Data_preprocessing!M526</f>
        <v>Grace</v>
      </c>
      <c r="B526">
        <f>Data_preprocessing!O526</f>
        <v>50</v>
      </c>
      <c r="C526">
        <f>Data_preprocessing!Q526</f>
        <v>50000</v>
      </c>
      <c r="D526" t="str">
        <f>Data_preprocessing!R526</f>
        <v>Female</v>
      </c>
      <c r="E526" t="str">
        <f>Data_preprocessing!S526</f>
        <v>Marketing</v>
      </c>
      <c r="F526" t="str">
        <f>Data_preprocessing!T526</f>
        <v>Analyst</v>
      </c>
      <c r="G526" s="2">
        <f>Data_preprocessing!U526</f>
        <v>43195</v>
      </c>
      <c r="H526" t="str">
        <f>Data_preprocessing!V526</f>
        <v>C</v>
      </c>
      <c r="I526" t="str">
        <f>Data_preprocessing!Y526</f>
        <v>email@example.com</v>
      </c>
      <c r="J526" t="str">
        <f>Data_preprocessing!Z526</f>
        <v>555-555-5555</v>
      </c>
      <c r="K526">
        <f t="shared" ca="1" si="24"/>
        <v>7</v>
      </c>
      <c r="L526" t="str">
        <f t="shared" si="25"/>
        <v>Low</v>
      </c>
      <c r="M526" t="str">
        <f t="shared" si="26"/>
        <v>Average</v>
      </c>
    </row>
    <row r="527" spans="1:13" x14ac:dyDescent="0.25">
      <c r="A527" t="str">
        <f>Data_preprocessing!M527</f>
        <v>Ivy</v>
      </c>
      <c r="B527">
        <f>Data_preprocessing!O527</f>
        <v>40</v>
      </c>
      <c r="C527">
        <f>Data_preprocessing!Q527</f>
        <v>70000</v>
      </c>
      <c r="D527" t="str">
        <f>Data_preprocessing!R527</f>
        <v>Male</v>
      </c>
      <c r="E527" t="str">
        <f>Data_preprocessing!S527</f>
        <v>Sales</v>
      </c>
      <c r="F527" t="str">
        <f>Data_preprocessing!T527</f>
        <v>Director</v>
      </c>
      <c r="G527" s="2">
        <f>Data_preprocessing!U527</f>
        <v>43845</v>
      </c>
      <c r="H527" t="str">
        <f>Data_preprocessing!V527</f>
        <v>F</v>
      </c>
      <c r="I527" t="str">
        <f>Data_preprocessing!Y527</f>
        <v>email@example.com</v>
      </c>
      <c r="J527" t="str">
        <f>Data_preprocessing!Z527</f>
        <v>Phone not provided</v>
      </c>
      <c r="K527">
        <f t="shared" ca="1" si="24"/>
        <v>6</v>
      </c>
      <c r="L527" t="str">
        <f t="shared" si="25"/>
        <v>High</v>
      </c>
      <c r="M527" t="str">
        <f t="shared" si="26"/>
        <v>Poor</v>
      </c>
    </row>
    <row r="528" spans="1:13" x14ac:dyDescent="0.25">
      <c r="A528" t="str">
        <f>Data_preprocessing!M528</f>
        <v>Grace</v>
      </c>
      <c r="B528">
        <f>Data_preprocessing!O528</f>
        <v>35</v>
      </c>
      <c r="C528">
        <f>Data_preprocessing!Q528</f>
        <v>70000</v>
      </c>
      <c r="D528" t="str">
        <f>Data_preprocessing!R528</f>
        <v>Female</v>
      </c>
      <c r="E528" t="str">
        <f>Data_preprocessing!S528</f>
        <v>HR</v>
      </c>
      <c r="F528" t="str">
        <f>Data_preprocessing!T528</f>
        <v>Assistant</v>
      </c>
      <c r="G528" s="2">
        <f>Data_preprocessing!U528</f>
        <v>43800</v>
      </c>
      <c r="H528" t="str">
        <f>Data_preprocessing!V528</f>
        <v>D</v>
      </c>
      <c r="I528" t="str">
        <f>Data_preprocessing!Y528</f>
        <v>user@domain.com</v>
      </c>
      <c r="J528" t="str">
        <f>Data_preprocessing!Z528</f>
        <v>555-555-5555</v>
      </c>
      <c r="K528">
        <f t="shared" ca="1" si="24"/>
        <v>6</v>
      </c>
      <c r="L528" t="str">
        <f t="shared" si="25"/>
        <v>High</v>
      </c>
      <c r="M528" t="str">
        <f t="shared" si="26"/>
        <v>Below Average</v>
      </c>
    </row>
    <row r="529" spans="1:13" x14ac:dyDescent="0.25">
      <c r="A529" t="str">
        <f>Data_preprocessing!M529</f>
        <v>Eve</v>
      </c>
      <c r="B529">
        <f>Data_preprocessing!O529</f>
        <v>30</v>
      </c>
      <c r="C529">
        <f>Data_preprocessing!Q529</f>
        <v>50000</v>
      </c>
      <c r="D529" t="str">
        <f>Data_preprocessing!R529</f>
        <v>Other</v>
      </c>
      <c r="E529" t="str">
        <f>Data_preprocessing!S529</f>
        <v>Marketing</v>
      </c>
      <c r="F529" t="str">
        <f>Data_preprocessing!T529</f>
        <v>Clerk</v>
      </c>
      <c r="G529" s="2">
        <f>Data_preprocessing!U529</f>
        <v>43881</v>
      </c>
      <c r="H529" t="str">
        <f>Data_preprocessing!V529</f>
        <v>B</v>
      </c>
      <c r="I529" t="str">
        <f>Data_preprocessing!Y529</f>
        <v>Email not provided</v>
      </c>
      <c r="J529" t="str">
        <f>Data_preprocessing!Z529</f>
        <v>Phone not provided</v>
      </c>
      <c r="K529">
        <f t="shared" ca="1" si="24"/>
        <v>5</v>
      </c>
      <c r="L529" t="str">
        <f t="shared" si="25"/>
        <v>Low</v>
      </c>
      <c r="M529" t="str">
        <f t="shared" si="26"/>
        <v>Good</v>
      </c>
    </row>
    <row r="530" spans="1:13" x14ac:dyDescent="0.25">
      <c r="A530" t="str">
        <f>Data_preprocessing!M530</f>
        <v>Jack</v>
      </c>
      <c r="B530">
        <f>Data_preprocessing!O530</f>
        <v>35</v>
      </c>
      <c r="C530">
        <f>Data_preprocessing!Q530</f>
        <v>60000</v>
      </c>
      <c r="D530" t="str">
        <f>Data_preprocessing!R530</f>
        <v>Male</v>
      </c>
      <c r="E530" t="str">
        <f>Data_preprocessing!S530</f>
        <v>Marketing</v>
      </c>
      <c r="F530" t="str">
        <f>Data_preprocessing!T530</f>
        <v>Director</v>
      </c>
      <c r="G530" s="2">
        <f>Data_preprocessing!U530</f>
        <v>43549</v>
      </c>
      <c r="H530" t="str">
        <f>Data_preprocessing!V530</f>
        <v>B</v>
      </c>
      <c r="I530" t="str">
        <f>Data_preprocessing!Y530</f>
        <v>email@example.com</v>
      </c>
      <c r="J530" t="str">
        <f>Data_preprocessing!Z530</f>
        <v>098-765-4321</v>
      </c>
      <c r="K530">
        <f t="shared" ca="1" si="24"/>
        <v>6</v>
      </c>
      <c r="L530" t="str">
        <f t="shared" si="25"/>
        <v>Medium</v>
      </c>
      <c r="M530" t="str">
        <f t="shared" si="26"/>
        <v>Good</v>
      </c>
    </row>
    <row r="531" spans="1:13" x14ac:dyDescent="0.25">
      <c r="A531" t="str">
        <f>Data_preprocessing!M531</f>
        <v>Jack</v>
      </c>
      <c r="B531">
        <f>Data_preprocessing!O531</f>
        <v>30</v>
      </c>
      <c r="C531">
        <f>Data_preprocessing!Q531</f>
        <v>50000</v>
      </c>
      <c r="D531" t="str">
        <f>Data_preprocessing!R531</f>
        <v>Other</v>
      </c>
      <c r="E531" t="str">
        <f>Data_preprocessing!S531</f>
        <v>Marketing</v>
      </c>
      <c r="F531" t="str">
        <f>Data_preprocessing!T531</f>
        <v>Analyst</v>
      </c>
      <c r="G531" s="2">
        <f>Data_preprocessing!U531</f>
        <v>43881</v>
      </c>
      <c r="H531" t="str">
        <f>Data_preprocessing!V531</f>
        <v>A</v>
      </c>
      <c r="I531" t="str">
        <f>Data_preprocessing!Y531</f>
        <v>user@domain.com</v>
      </c>
      <c r="J531" t="str">
        <f>Data_preprocessing!Z531</f>
        <v>098-765-4321</v>
      </c>
      <c r="K531">
        <f t="shared" ca="1" si="24"/>
        <v>5</v>
      </c>
      <c r="L531" t="str">
        <f t="shared" si="25"/>
        <v>Low</v>
      </c>
      <c r="M531" t="str">
        <f t="shared" si="26"/>
        <v>Excellent</v>
      </c>
    </row>
    <row r="532" spans="1:13" x14ac:dyDescent="0.25">
      <c r="A532" t="str">
        <f>Data_preprocessing!M532</f>
        <v>Grace</v>
      </c>
      <c r="B532">
        <f>Data_preprocessing!O532</f>
        <v>35</v>
      </c>
      <c r="C532">
        <f>Data_preprocessing!Q532</f>
        <v>70000</v>
      </c>
      <c r="D532" t="str">
        <f>Data_preprocessing!R532</f>
        <v>Male</v>
      </c>
      <c r="E532" t="str">
        <f>Data_preprocessing!S532</f>
        <v>Finance</v>
      </c>
      <c r="F532" t="str">
        <f>Data_preprocessing!T532</f>
        <v>Assistant</v>
      </c>
      <c r="G532" s="2">
        <f>Data_preprocessing!U532</f>
        <v>43800</v>
      </c>
      <c r="H532" t="str">
        <f>Data_preprocessing!V532</f>
        <v>F</v>
      </c>
      <c r="I532" t="str">
        <f>Data_preprocessing!Y532</f>
        <v>user@domain.com</v>
      </c>
      <c r="J532" t="str">
        <f>Data_preprocessing!Z532</f>
        <v>123-456-7890</v>
      </c>
      <c r="K532">
        <f t="shared" ca="1" si="24"/>
        <v>6</v>
      </c>
      <c r="L532" t="str">
        <f t="shared" si="25"/>
        <v>High</v>
      </c>
      <c r="M532" t="str">
        <f t="shared" si="26"/>
        <v>Poor</v>
      </c>
    </row>
    <row r="533" spans="1:13" x14ac:dyDescent="0.25">
      <c r="A533" t="str">
        <f>Data_preprocessing!M533</f>
        <v>Jack</v>
      </c>
      <c r="B533">
        <f>Data_preprocessing!O533</f>
        <v>40</v>
      </c>
      <c r="C533">
        <f>Data_preprocessing!Q533</f>
        <v>60000</v>
      </c>
      <c r="D533" t="str">
        <f>Data_preprocessing!R533</f>
        <v>Male</v>
      </c>
      <c r="E533" t="str">
        <f>Data_preprocessing!S533</f>
        <v>IT</v>
      </c>
      <c r="F533" t="str">
        <f>Data_preprocessing!T533</f>
        <v>Director</v>
      </c>
      <c r="G533" s="2">
        <f>Data_preprocessing!U533</f>
        <v>43845</v>
      </c>
      <c r="H533" t="str">
        <f>Data_preprocessing!V533</f>
        <v>A</v>
      </c>
      <c r="I533" t="str">
        <f>Data_preprocessing!Y533</f>
        <v>Email not provided</v>
      </c>
      <c r="J533" t="str">
        <f>Data_preprocessing!Z533</f>
        <v>Phone not provided</v>
      </c>
      <c r="K533">
        <f t="shared" ca="1" si="24"/>
        <v>6</v>
      </c>
      <c r="L533" t="str">
        <f t="shared" si="25"/>
        <v>Medium</v>
      </c>
      <c r="M533" t="str">
        <f t="shared" si="26"/>
        <v>Excellent</v>
      </c>
    </row>
    <row r="534" spans="1:13" x14ac:dyDescent="0.25">
      <c r="A534" t="str">
        <f>Data_preprocessing!M534</f>
        <v>Eve</v>
      </c>
      <c r="B534">
        <f>Data_preprocessing!O534</f>
        <v>40</v>
      </c>
      <c r="C534">
        <f>Data_preprocessing!Q534</f>
        <v>60000</v>
      </c>
      <c r="D534" t="str">
        <f>Data_preprocessing!R534</f>
        <v>Male</v>
      </c>
      <c r="E534" t="str">
        <f>Data_preprocessing!S534</f>
        <v>HR</v>
      </c>
      <c r="F534" t="str">
        <f>Data_preprocessing!T534</f>
        <v>Assistant</v>
      </c>
      <c r="G534" s="2">
        <f>Data_preprocessing!U534</f>
        <v>43881</v>
      </c>
      <c r="H534" t="str">
        <f>Data_preprocessing!V534</f>
        <v>B</v>
      </c>
      <c r="I534" t="str">
        <f>Data_preprocessing!Y534</f>
        <v>name@company.org</v>
      </c>
      <c r="J534" t="str">
        <f>Data_preprocessing!Z534</f>
        <v>123-456-7890</v>
      </c>
      <c r="K534">
        <f t="shared" ca="1" si="24"/>
        <v>5</v>
      </c>
      <c r="L534" t="str">
        <f t="shared" si="25"/>
        <v>Medium</v>
      </c>
      <c r="M534" t="str">
        <f t="shared" si="26"/>
        <v>Good</v>
      </c>
    </row>
    <row r="535" spans="1:13" x14ac:dyDescent="0.25">
      <c r="A535" t="str">
        <f>Data_preprocessing!M535</f>
        <v>Charlie</v>
      </c>
      <c r="B535">
        <f>Data_preprocessing!O535</f>
        <v>25</v>
      </c>
      <c r="C535">
        <f>Data_preprocessing!Q535</f>
        <v>50000</v>
      </c>
      <c r="D535" t="str">
        <f>Data_preprocessing!R535</f>
        <v>Male</v>
      </c>
      <c r="E535" t="str">
        <f>Data_preprocessing!S535</f>
        <v>Sales</v>
      </c>
      <c r="F535" t="str">
        <f>Data_preprocessing!T535</f>
        <v>Analyst</v>
      </c>
      <c r="G535" s="2">
        <f>Data_preprocessing!U535</f>
        <v>43800</v>
      </c>
      <c r="H535" t="str">
        <f>Data_preprocessing!V535</f>
        <v>B</v>
      </c>
      <c r="I535" t="str">
        <f>Data_preprocessing!Y535</f>
        <v>Email not provided</v>
      </c>
      <c r="J535" t="str">
        <f>Data_preprocessing!Z535</f>
        <v>Phone not provided</v>
      </c>
      <c r="K535">
        <f t="shared" ca="1" si="24"/>
        <v>6</v>
      </c>
      <c r="L535" t="str">
        <f t="shared" si="25"/>
        <v>Low</v>
      </c>
      <c r="M535" t="str">
        <f t="shared" si="26"/>
        <v>Good</v>
      </c>
    </row>
    <row r="536" spans="1:13" x14ac:dyDescent="0.25">
      <c r="A536" t="str">
        <f>Data_preprocessing!M536</f>
        <v>Grace</v>
      </c>
      <c r="B536">
        <f>Data_preprocessing!O536</f>
        <v>50</v>
      </c>
      <c r="C536">
        <f>Data_preprocessing!Q536</f>
        <v>70000</v>
      </c>
      <c r="D536" t="str">
        <f>Data_preprocessing!R536</f>
        <v>Female</v>
      </c>
      <c r="E536" t="str">
        <f>Data_preprocessing!S536</f>
        <v>Sales</v>
      </c>
      <c r="F536" t="str">
        <f>Data_preprocessing!T536</f>
        <v>Director</v>
      </c>
      <c r="G536" s="2">
        <f>Data_preprocessing!U536</f>
        <v>43195</v>
      </c>
      <c r="H536" t="str">
        <f>Data_preprocessing!V536</f>
        <v>F</v>
      </c>
      <c r="I536" t="str">
        <f>Data_preprocessing!Y536</f>
        <v>name@company.org</v>
      </c>
      <c r="J536" t="str">
        <f>Data_preprocessing!Z536</f>
        <v>555-555-5555</v>
      </c>
      <c r="K536">
        <f t="shared" ca="1" si="24"/>
        <v>7</v>
      </c>
      <c r="L536" t="str">
        <f t="shared" si="25"/>
        <v>High</v>
      </c>
      <c r="M536" t="str">
        <f t="shared" si="26"/>
        <v>Poor</v>
      </c>
    </row>
    <row r="537" spans="1:13" x14ac:dyDescent="0.25">
      <c r="A537" t="str">
        <f>Data_preprocessing!M537</f>
        <v>Bob</v>
      </c>
      <c r="B537">
        <f>Data_preprocessing!O537</f>
        <v>35</v>
      </c>
      <c r="C537">
        <f>Data_preprocessing!Q537</f>
        <v>65000</v>
      </c>
      <c r="D537" t="str">
        <f>Data_preprocessing!R537</f>
        <v>Other</v>
      </c>
      <c r="E537" t="str">
        <f>Data_preprocessing!S537</f>
        <v>IT</v>
      </c>
      <c r="F537" t="str">
        <f>Data_preprocessing!T537</f>
        <v>Analyst</v>
      </c>
      <c r="G537" s="2">
        <f>Data_preprocessing!U537</f>
        <v>43549</v>
      </c>
      <c r="H537" t="str">
        <f>Data_preprocessing!V537</f>
        <v>D</v>
      </c>
      <c r="I537" t="str">
        <f>Data_preprocessing!Y537</f>
        <v>user@domain.com</v>
      </c>
      <c r="J537" t="str">
        <f>Data_preprocessing!Z537</f>
        <v>555-555-5555</v>
      </c>
      <c r="K537">
        <f t="shared" ca="1" si="24"/>
        <v>6</v>
      </c>
      <c r="L537" t="str">
        <f t="shared" si="25"/>
        <v>High</v>
      </c>
      <c r="M537" t="str">
        <f t="shared" si="26"/>
        <v>Below Average</v>
      </c>
    </row>
    <row r="538" spans="1:13" x14ac:dyDescent="0.25">
      <c r="A538" t="str">
        <f>Data_preprocessing!M538</f>
        <v>Ivy</v>
      </c>
      <c r="B538">
        <f>Data_preprocessing!O538</f>
        <v>35</v>
      </c>
      <c r="C538">
        <f>Data_preprocessing!Q538</f>
        <v>70000</v>
      </c>
      <c r="D538" t="str">
        <f>Data_preprocessing!R538</f>
        <v>Other</v>
      </c>
      <c r="E538" t="str">
        <f>Data_preprocessing!S538</f>
        <v>Marketing</v>
      </c>
      <c r="F538" t="str">
        <f>Data_preprocessing!T538</f>
        <v>Manager</v>
      </c>
      <c r="G538" s="2">
        <f>Data_preprocessing!U538</f>
        <v>43881</v>
      </c>
      <c r="H538" t="str">
        <f>Data_preprocessing!V538</f>
        <v>D</v>
      </c>
      <c r="I538" t="str">
        <f>Data_preprocessing!Y538</f>
        <v>email@example.com</v>
      </c>
      <c r="J538" t="str">
        <f>Data_preprocessing!Z538</f>
        <v>Phone not provided</v>
      </c>
      <c r="K538">
        <f t="shared" ca="1" si="24"/>
        <v>5</v>
      </c>
      <c r="L538" t="str">
        <f t="shared" si="25"/>
        <v>High</v>
      </c>
      <c r="M538" t="str">
        <f t="shared" si="26"/>
        <v>Below Average</v>
      </c>
    </row>
    <row r="539" spans="1:13" x14ac:dyDescent="0.25">
      <c r="A539" t="str">
        <f>Data_preprocessing!M539</f>
        <v>Jack</v>
      </c>
      <c r="B539">
        <f>Data_preprocessing!O539</f>
        <v>25</v>
      </c>
      <c r="C539">
        <f>Data_preprocessing!Q539</f>
        <v>55000</v>
      </c>
      <c r="D539" t="str">
        <f>Data_preprocessing!R539</f>
        <v>Other</v>
      </c>
      <c r="E539" t="str">
        <f>Data_preprocessing!S539</f>
        <v>HR</v>
      </c>
      <c r="F539" t="str">
        <f>Data_preprocessing!T539</f>
        <v>Analyst</v>
      </c>
      <c r="G539" s="2">
        <f>Data_preprocessing!U539</f>
        <v>43845</v>
      </c>
      <c r="H539" t="str">
        <f>Data_preprocessing!V539</f>
        <v>F</v>
      </c>
      <c r="I539" t="str">
        <f>Data_preprocessing!Y539</f>
        <v>Email not provided</v>
      </c>
      <c r="J539" t="str">
        <f>Data_preprocessing!Z539</f>
        <v>123-456-7890</v>
      </c>
      <c r="K539">
        <f t="shared" ca="1" si="24"/>
        <v>6</v>
      </c>
      <c r="L539" t="str">
        <f t="shared" si="25"/>
        <v>Low</v>
      </c>
      <c r="M539" t="str">
        <f t="shared" si="26"/>
        <v>Poor</v>
      </c>
    </row>
    <row r="540" spans="1:13" x14ac:dyDescent="0.25">
      <c r="A540" t="str">
        <f>Data_preprocessing!M540</f>
        <v>Jack</v>
      </c>
      <c r="B540">
        <f>Data_preprocessing!O540</f>
        <v>35</v>
      </c>
      <c r="C540">
        <f>Data_preprocessing!Q540</f>
        <v>60000</v>
      </c>
      <c r="D540" t="str">
        <f>Data_preprocessing!R540</f>
        <v>Male</v>
      </c>
      <c r="E540" t="str">
        <f>Data_preprocessing!S540</f>
        <v>Sales</v>
      </c>
      <c r="F540" t="str">
        <f>Data_preprocessing!T540</f>
        <v>Assistant</v>
      </c>
      <c r="G540" s="2">
        <f>Data_preprocessing!U540</f>
        <v>43195</v>
      </c>
      <c r="H540" t="str">
        <f>Data_preprocessing!V540</f>
        <v>F</v>
      </c>
      <c r="I540" t="str">
        <f>Data_preprocessing!Y540</f>
        <v>user@domain.com</v>
      </c>
      <c r="J540" t="str">
        <f>Data_preprocessing!Z540</f>
        <v>123-456-7890</v>
      </c>
      <c r="K540">
        <f t="shared" ca="1" si="24"/>
        <v>7</v>
      </c>
      <c r="L540" t="str">
        <f t="shared" si="25"/>
        <v>Medium</v>
      </c>
      <c r="M540" t="str">
        <f t="shared" si="26"/>
        <v>Poor</v>
      </c>
    </row>
    <row r="541" spans="1:13" x14ac:dyDescent="0.25">
      <c r="A541" t="str">
        <f>Data_preprocessing!M541</f>
        <v>Alice</v>
      </c>
      <c r="B541">
        <f>Data_preprocessing!O541</f>
        <v>35</v>
      </c>
      <c r="C541">
        <f>Data_preprocessing!Q541</f>
        <v>65000</v>
      </c>
      <c r="D541" t="str">
        <f>Data_preprocessing!R541</f>
        <v>Female</v>
      </c>
      <c r="E541" t="str">
        <f>Data_preprocessing!S541</f>
        <v>Sales</v>
      </c>
      <c r="F541" t="str">
        <f>Data_preprocessing!T541</f>
        <v>Clerk</v>
      </c>
      <c r="G541" s="2">
        <f>Data_preprocessing!U541</f>
        <v>43800</v>
      </c>
      <c r="H541" t="str">
        <f>Data_preprocessing!V541</f>
        <v>A</v>
      </c>
      <c r="I541" t="str">
        <f>Data_preprocessing!Y541</f>
        <v>email@example.com</v>
      </c>
      <c r="J541" t="str">
        <f>Data_preprocessing!Z541</f>
        <v>Phone not provided</v>
      </c>
      <c r="K541">
        <f t="shared" ca="1" si="24"/>
        <v>6</v>
      </c>
      <c r="L541" t="str">
        <f t="shared" si="25"/>
        <v>High</v>
      </c>
      <c r="M541" t="str">
        <f t="shared" si="26"/>
        <v>Excellent</v>
      </c>
    </row>
    <row r="542" spans="1:13" x14ac:dyDescent="0.25">
      <c r="A542" t="str">
        <f>Data_preprocessing!M542</f>
        <v>Frank</v>
      </c>
      <c r="B542">
        <f>Data_preprocessing!O542</f>
        <v>25</v>
      </c>
      <c r="C542">
        <f>Data_preprocessing!Q542</f>
        <v>60000</v>
      </c>
      <c r="D542" t="str">
        <f>Data_preprocessing!R542</f>
        <v>Other</v>
      </c>
      <c r="E542" t="str">
        <f>Data_preprocessing!S542</f>
        <v>Marketing</v>
      </c>
      <c r="F542" t="str">
        <f>Data_preprocessing!T542</f>
        <v>Analyst</v>
      </c>
      <c r="G542" s="2">
        <f>Data_preprocessing!U542</f>
        <v>43549</v>
      </c>
      <c r="H542" t="str">
        <f>Data_preprocessing!V542</f>
        <v>F</v>
      </c>
      <c r="I542" t="str">
        <f>Data_preprocessing!Y542</f>
        <v>user@domain.com</v>
      </c>
      <c r="J542" t="str">
        <f>Data_preprocessing!Z542</f>
        <v>555-555-5555</v>
      </c>
      <c r="K542">
        <f t="shared" ca="1" si="24"/>
        <v>6</v>
      </c>
      <c r="L542" t="str">
        <f t="shared" si="25"/>
        <v>Medium</v>
      </c>
      <c r="M542" t="str">
        <f t="shared" si="26"/>
        <v>Poor</v>
      </c>
    </row>
    <row r="543" spans="1:13" x14ac:dyDescent="0.25">
      <c r="A543" t="str">
        <f>Data_preprocessing!M543</f>
        <v>Grace</v>
      </c>
      <c r="B543">
        <f>Data_preprocessing!O543</f>
        <v>40</v>
      </c>
      <c r="C543">
        <f>Data_preprocessing!Q543</f>
        <v>65000</v>
      </c>
      <c r="D543" t="str">
        <f>Data_preprocessing!R543</f>
        <v>Female</v>
      </c>
      <c r="E543" t="str">
        <f>Data_preprocessing!S543</f>
        <v>IT</v>
      </c>
      <c r="F543" t="str">
        <f>Data_preprocessing!T543</f>
        <v>Clerk</v>
      </c>
      <c r="G543" s="2">
        <f>Data_preprocessing!U543</f>
        <v>43845</v>
      </c>
      <c r="H543" t="str">
        <f>Data_preprocessing!V543</f>
        <v>D</v>
      </c>
      <c r="I543" t="str">
        <f>Data_preprocessing!Y543</f>
        <v>Email not provided</v>
      </c>
      <c r="J543" t="str">
        <f>Data_preprocessing!Z543</f>
        <v>123-456-7890</v>
      </c>
      <c r="K543">
        <f t="shared" ca="1" si="24"/>
        <v>6</v>
      </c>
      <c r="L543" t="str">
        <f t="shared" si="25"/>
        <v>High</v>
      </c>
      <c r="M543" t="str">
        <f t="shared" si="26"/>
        <v>Below Average</v>
      </c>
    </row>
    <row r="544" spans="1:13" x14ac:dyDescent="0.25">
      <c r="A544" t="str">
        <f>Data_preprocessing!M544</f>
        <v>Hannah</v>
      </c>
      <c r="B544">
        <f>Data_preprocessing!O544</f>
        <v>35</v>
      </c>
      <c r="C544">
        <f>Data_preprocessing!Q544</f>
        <v>60000</v>
      </c>
      <c r="D544" t="str">
        <f>Data_preprocessing!R544</f>
        <v>Male</v>
      </c>
      <c r="E544" t="str">
        <f>Data_preprocessing!S544</f>
        <v>HR</v>
      </c>
      <c r="F544" t="str">
        <f>Data_preprocessing!T544</f>
        <v>Manager</v>
      </c>
      <c r="G544" s="2">
        <f>Data_preprocessing!U544</f>
        <v>43800</v>
      </c>
      <c r="H544" t="str">
        <f>Data_preprocessing!V544</f>
        <v>F</v>
      </c>
      <c r="I544" t="str">
        <f>Data_preprocessing!Y544</f>
        <v>name@company.org</v>
      </c>
      <c r="J544" t="str">
        <f>Data_preprocessing!Z544</f>
        <v>Phone not provided</v>
      </c>
      <c r="K544">
        <f t="shared" ca="1" si="24"/>
        <v>6</v>
      </c>
      <c r="L544" t="str">
        <f t="shared" si="25"/>
        <v>Medium</v>
      </c>
      <c r="M544" t="str">
        <f t="shared" si="26"/>
        <v>Poor</v>
      </c>
    </row>
    <row r="545" spans="1:13" x14ac:dyDescent="0.25">
      <c r="A545" t="str">
        <f>Data_preprocessing!M545</f>
        <v>Jack</v>
      </c>
      <c r="B545">
        <f>Data_preprocessing!O545</f>
        <v>40</v>
      </c>
      <c r="C545">
        <f>Data_preprocessing!Q545</f>
        <v>60000</v>
      </c>
      <c r="D545" t="str">
        <f>Data_preprocessing!R545</f>
        <v>Other</v>
      </c>
      <c r="E545" t="str">
        <f>Data_preprocessing!S545</f>
        <v>IT</v>
      </c>
      <c r="F545" t="str">
        <f>Data_preprocessing!T545</f>
        <v>Director</v>
      </c>
      <c r="G545" s="2">
        <f>Data_preprocessing!U545</f>
        <v>43800</v>
      </c>
      <c r="H545" t="str">
        <f>Data_preprocessing!V545</f>
        <v>A</v>
      </c>
      <c r="I545" t="str">
        <f>Data_preprocessing!Y545</f>
        <v>user@domain.com</v>
      </c>
      <c r="J545" t="str">
        <f>Data_preprocessing!Z545</f>
        <v>555-555-5555</v>
      </c>
      <c r="K545">
        <f t="shared" ca="1" si="24"/>
        <v>6</v>
      </c>
      <c r="L545" t="str">
        <f t="shared" si="25"/>
        <v>Medium</v>
      </c>
      <c r="M545" t="str">
        <f t="shared" si="26"/>
        <v>Excellent</v>
      </c>
    </row>
    <row r="546" spans="1:13" x14ac:dyDescent="0.25">
      <c r="A546" t="str">
        <f>Data_preprocessing!M546</f>
        <v>Ivy</v>
      </c>
      <c r="B546">
        <f>Data_preprocessing!O546</f>
        <v>25</v>
      </c>
      <c r="C546">
        <f>Data_preprocessing!Q546</f>
        <v>65000</v>
      </c>
      <c r="D546" t="str">
        <f>Data_preprocessing!R546</f>
        <v>Female</v>
      </c>
      <c r="E546" t="str">
        <f>Data_preprocessing!S546</f>
        <v>IT</v>
      </c>
      <c r="F546" t="str">
        <f>Data_preprocessing!T546</f>
        <v>Director</v>
      </c>
      <c r="G546" s="2">
        <f>Data_preprocessing!U546</f>
        <v>43881</v>
      </c>
      <c r="H546" t="str">
        <f>Data_preprocessing!V546</f>
        <v>A</v>
      </c>
      <c r="I546" t="str">
        <f>Data_preprocessing!Y546</f>
        <v>email@example.com</v>
      </c>
      <c r="J546" t="str">
        <f>Data_preprocessing!Z546</f>
        <v>Phone not provided</v>
      </c>
      <c r="K546">
        <f t="shared" ca="1" si="24"/>
        <v>5</v>
      </c>
      <c r="L546" t="str">
        <f t="shared" si="25"/>
        <v>High</v>
      </c>
      <c r="M546" t="str">
        <f t="shared" si="26"/>
        <v>Excellent</v>
      </c>
    </row>
    <row r="547" spans="1:13" x14ac:dyDescent="0.25">
      <c r="A547" t="str">
        <f>Data_preprocessing!M547</f>
        <v>Bob</v>
      </c>
      <c r="B547">
        <f>Data_preprocessing!O547</f>
        <v>40</v>
      </c>
      <c r="C547">
        <f>Data_preprocessing!Q547</f>
        <v>60000</v>
      </c>
      <c r="D547" t="str">
        <f>Data_preprocessing!R547</f>
        <v>Male</v>
      </c>
      <c r="E547" t="str">
        <f>Data_preprocessing!S547</f>
        <v>HR</v>
      </c>
      <c r="F547" t="str">
        <f>Data_preprocessing!T547</f>
        <v>Clerk</v>
      </c>
      <c r="G547" s="2">
        <f>Data_preprocessing!U547</f>
        <v>43881</v>
      </c>
      <c r="H547" t="str">
        <f>Data_preprocessing!V547</f>
        <v>A</v>
      </c>
      <c r="I547" t="str">
        <f>Data_preprocessing!Y547</f>
        <v>Email not provided</v>
      </c>
      <c r="J547" t="str">
        <f>Data_preprocessing!Z547</f>
        <v>Phone not provided</v>
      </c>
      <c r="K547">
        <f t="shared" ca="1" si="24"/>
        <v>5</v>
      </c>
      <c r="L547" t="str">
        <f t="shared" si="25"/>
        <v>Medium</v>
      </c>
      <c r="M547" t="str">
        <f t="shared" si="26"/>
        <v>Excellent</v>
      </c>
    </row>
    <row r="548" spans="1:13" x14ac:dyDescent="0.25">
      <c r="A548" t="str">
        <f>Data_preprocessing!M548</f>
        <v>Jack</v>
      </c>
      <c r="B548">
        <f>Data_preprocessing!O548</f>
        <v>30</v>
      </c>
      <c r="C548">
        <f>Data_preprocessing!Q548</f>
        <v>60000</v>
      </c>
      <c r="D548" t="str">
        <f>Data_preprocessing!R548</f>
        <v>Female</v>
      </c>
      <c r="E548" t="str">
        <f>Data_preprocessing!S548</f>
        <v>HR</v>
      </c>
      <c r="F548" t="str">
        <f>Data_preprocessing!T548</f>
        <v>Director</v>
      </c>
      <c r="G548" s="2">
        <f>Data_preprocessing!U548</f>
        <v>43845</v>
      </c>
      <c r="H548" t="str">
        <f>Data_preprocessing!V548</f>
        <v>A</v>
      </c>
      <c r="I548" t="str">
        <f>Data_preprocessing!Y548</f>
        <v>Email not provided</v>
      </c>
      <c r="J548" t="str">
        <f>Data_preprocessing!Z548</f>
        <v>098-765-4321</v>
      </c>
      <c r="K548">
        <f t="shared" ca="1" si="24"/>
        <v>6</v>
      </c>
      <c r="L548" t="str">
        <f t="shared" si="25"/>
        <v>Medium</v>
      </c>
      <c r="M548" t="str">
        <f t="shared" si="26"/>
        <v>Excellent</v>
      </c>
    </row>
    <row r="549" spans="1:13" x14ac:dyDescent="0.25">
      <c r="A549" t="str">
        <f>Data_preprocessing!M549</f>
        <v>Bob</v>
      </c>
      <c r="B549">
        <f>Data_preprocessing!O549</f>
        <v>35</v>
      </c>
      <c r="C549">
        <f>Data_preprocessing!Q549</f>
        <v>55000</v>
      </c>
      <c r="D549" t="str">
        <f>Data_preprocessing!R549</f>
        <v>Other</v>
      </c>
      <c r="E549" t="str">
        <f>Data_preprocessing!S549</f>
        <v>Sales</v>
      </c>
      <c r="F549" t="str">
        <f>Data_preprocessing!T549</f>
        <v>Analyst</v>
      </c>
      <c r="G549" s="2">
        <f>Data_preprocessing!U549</f>
        <v>43800</v>
      </c>
      <c r="H549" t="str">
        <f>Data_preprocessing!V549</f>
        <v>C</v>
      </c>
      <c r="I549" t="str">
        <f>Data_preprocessing!Y549</f>
        <v>Email not provided</v>
      </c>
      <c r="J549" t="str">
        <f>Data_preprocessing!Z549</f>
        <v>Phone not provided</v>
      </c>
      <c r="K549">
        <f t="shared" ca="1" si="24"/>
        <v>6</v>
      </c>
      <c r="L549" t="str">
        <f t="shared" si="25"/>
        <v>Low</v>
      </c>
      <c r="M549" t="str">
        <f t="shared" si="26"/>
        <v>Average</v>
      </c>
    </row>
    <row r="550" spans="1:13" x14ac:dyDescent="0.25">
      <c r="A550" t="str">
        <f>Data_preprocessing!M550</f>
        <v>Eve</v>
      </c>
      <c r="B550">
        <f>Data_preprocessing!O550</f>
        <v>35</v>
      </c>
      <c r="C550">
        <f>Data_preprocessing!Q550</f>
        <v>70000</v>
      </c>
      <c r="D550" t="str">
        <f>Data_preprocessing!R550</f>
        <v>Other</v>
      </c>
      <c r="E550" t="str">
        <f>Data_preprocessing!S550</f>
        <v>Sales</v>
      </c>
      <c r="F550" t="str">
        <f>Data_preprocessing!T550</f>
        <v>Clerk</v>
      </c>
      <c r="G550" s="2">
        <f>Data_preprocessing!U550</f>
        <v>43881</v>
      </c>
      <c r="H550" t="str">
        <f>Data_preprocessing!V550</f>
        <v>F</v>
      </c>
      <c r="I550" t="str">
        <f>Data_preprocessing!Y550</f>
        <v>name@company.org</v>
      </c>
      <c r="J550" t="str">
        <f>Data_preprocessing!Z550</f>
        <v>Phone not provided</v>
      </c>
      <c r="K550">
        <f t="shared" ca="1" si="24"/>
        <v>5</v>
      </c>
      <c r="L550" t="str">
        <f t="shared" si="25"/>
        <v>High</v>
      </c>
      <c r="M550" t="str">
        <f t="shared" si="26"/>
        <v>Poor</v>
      </c>
    </row>
    <row r="551" spans="1:13" x14ac:dyDescent="0.25">
      <c r="A551" t="str">
        <f>Data_preprocessing!M551</f>
        <v>Eve</v>
      </c>
      <c r="B551">
        <f>Data_preprocessing!O551</f>
        <v>50</v>
      </c>
      <c r="C551">
        <f>Data_preprocessing!Q551</f>
        <v>70000</v>
      </c>
      <c r="D551" t="str">
        <f>Data_preprocessing!R551</f>
        <v>Male</v>
      </c>
      <c r="E551" t="str">
        <f>Data_preprocessing!S551</f>
        <v>HR</v>
      </c>
      <c r="F551" t="str">
        <f>Data_preprocessing!T551</f>
        <v>Assistant</v>
      </c>
      <c r="G551" s="2">
        <f>Data_preprocessing!U551</f>
        <v>43549</v>
      </c>
      <c r="H551" t="str">
        <f>Data_preprocessing!V551</f>
        <v>B</v>
      </c>
      <c r="I551" t="str">
        <f>Data_preprocessing!Y551</f>
        <v>Email not provided</v>
      </c>
      <c r="J551" t="str">
        <f>Data_preprocessing!Z551</f>
        <v>123-456-7890</v>
      </c>
      <c r="K551">
        <f t="shared" ca="1" si="24"/>
        <v>6</v>
      </c>
      <c r="L551" t="str">
        <f t="shared" si="25"/>
        <v>High</v>
      </c>
      <c r="M551" t="str">
        <f t="shared" si="26"/>
        <v>Good</v>
      </c>
    </row>
    <row r="552" spans="1:13" x14ac:dyDescent="0.25">
      <c r="A552" t="str">
        <f>Data_preprocessing!M552</f>
        <v>Frank</v>
      </c>
      <c r="B552">
        <f>Data_preprocessing!O552</f>
        <v>35</v>
      </c>
      <c r="C552">
        <f>Data_preprocessing!Q552</f>
        <v>60000</v>
      </c>
      <c r="D552" t="str">
        <f>Data_preprocessing!R552</f>
        <v>Male</v>
      </c>
      <c r="E552" t="str">
        <f>Data_preprocessing!S552</f>
        <v>Finance</v>
      </c>
      <c r="F552" t="str">
        <f>Data_preprocessing!T552</f>
        <v>Analyst</v>
      </c>
      <c r="G552" s="2">
        <f>Data_preprocessing!U552</f>
        <v>43549</v>
      </c>
      <c r="H552" t="str">
        <f>Data_preprocessing!V552</f>
        <v>F</v>
      </c>
      <c r="I552" t="str">
        <f>Data_preprocessing!Y552</f>
        <v>Email not provided</v>
      </c>
      <c r="J552" t="str">
        <f>Data_preprocessing!Z552</f>
        <v>098-765-4321</v>
      </c>
      <c r="K552">
        <f t="shared" ca="1" si="24"/>
        <v>6</v>
      </c>
      <c r="L552" t="str">
        <f t="shared" si="25"/>
        <v>Medium</v>
      </c>
      <c r="M552" t="str">
        <f t="shared" si="26"/>
        <v>Poor</v>
      </c>
    </row>
    <row r="553" spans="1:13" x14ac:dyDescent="0.25">
      <c r="A553" t="str">
        <f>Data_preprocessing!M553</f>
        <v>Charlie</v>
      </c>
      <c r="B553">
        <f>Data_preprocessing!O553</f>
        <v>40</v>
      </c>
      <c r="C553">
        <f>Data_preprocessing!Q553</f>
        <v>60000</v>
      </c>
      <c r="D553" t="str">
        <f>Data_preprocessing!R553</f>
        <v>Male</v>
      </c>
      <c r="E553" t="str">
        <f>Data_preprocessing!S553</f>
        <v>Sales</v>
      </c>
      <c r="F553" t="str">
        <f>Data_preprocessing!T553</f>
        <v>Analyst</v>
      </c>
      <c r="G553" s="2">
        <f>Data_preprocessing!U553</f>
        <v>43800</v>
      </c>
      <c r="H553" t="str">
        <f>Data_preprocessing!V553</f>
        <v>C</v>
      </c>
      <c r="I553" t="str">
        <f>Data_preprocessing!Y553</f>
        <v>email@example.com</v>
      </c>
      <c r="J553" t="str">
        <f>Data_preprocessing!Z553</f>
        <v>Phone not provided</v>
      </c>
      <c r="K553">
        <f t="shared" ca="1" si="24"/>
        <v>6</v>
      </c>
      <c r="L553" t="str">
        <f t="shared" si="25"/>
        <v>Medium</v>
      </c>
      <c r="M553" t="str">
        <f t="shared" si="26"/>
        <v>Average</v>
      </c>
    </row>
    <row r="554" spans="1:13" x14ac:dyDescent="0.25">
      <c r="A554" t="str">
        <f>Data_preprocessing!M554</f>
        <v>Hannah</v>
      </c>
      <c r="B554">
        <f>Data_preprocessing!O554</f>
        <v>35</v>
      </c>
      <c r="C554">
        <f>Data_preprocessing!Q554</f>
        <v>55000</v>
      </c>
      <c r="D554" t="str">
        <f>Data_preprocessing!R554</f>
        <v>Female</v>
      </c>
      <c r="E554" t="str">
        <f>Data_preprocessing!S554</f>
        <v>Finance</v>
      </c>
      <c r="F554" t="str">
        <f>Data_preprocessing!T554</f>
        <v>Analyst</v>
      </c>
      <c r="G554" s="2">
        <f>Data_preprocessing!U554</f>
        <v>43881</v>
      </c>
      <c r="H554" t="str">
        <f>Data_preprocessing!V554</f>
        <v>A</v>
      </c>
      <c r="I554" t="str">
        <f>Data_preprocessing!Y554</f>
        <v>user@domain.com</v>
      </c>
      <c r="J554" t="str">
        <f>Data_preprocessing!Z554</f>
        <v>123-456-7890</v>
      </c>
      <c r="K554">
        <f t="shared" ca="1" si="24"/>
        <v>5</v>
      </c>
      <c r="L554" t="str">
        <f t="shared" si="25"/>
        <v>Low</v>
      </c>
      <c r="M554" t="str">
        <f t="shared" si="26"/>
        <v>Excellent</v>
      </c>
    </row>
    <row r="555" spans="1:13" x14ac:dyDescent="0.25">
      <c r="A555" t="str">
        <f>Data_preprocessing!M555</f>
        <v>Alice</v>
      </c>
      <c r="B555">
        <f>Data_preprocessing!O555</f>
        <v>40</v>
      </c>
      <c r="C555">
        <f>Data_preprocessing!Q555</f>
        <v>60000</v>
      </c>
      <c r="D555" t="str">
        <f>Data_preprocessing!R555</f>
        <v>Female</v>
      </c>
      <c r="E555" t="str">
        <f>Data_preprocessing!S555</f>
        <v>HR</v>
      </c>
      <c r="F555" t="str">
        <f>Data_preprocessing!T555</f>
        <v>Assistant</v>
      </c>
      <c r="G555" s="2">
        <f>Data_preprocessing!U555</f>
        <v>43845</v>
      </c>
      <c r="H555" t="str">
        <f>Data_preprocessing!V555</f>
        <v>C</v>
      </c>
      <c r="I555" t="str">
        <f>Data_preprocessing!Y555</f>
        <v>name@company.org</v>
      </c>
      <c r="J555" t="str">
        <f>Data_preprocessing!Z555</f>
        <v>098-765-4321</v>
      </c>
      <c r="K555">
        <f t="shared" ca="1" si="24"/>
        <v>6</v>
      </c>
      <c r="L555" t="str">
        <f t="shared" si="25"/>
        <v>Medium</v>
      </c>
      <c r="M555" t="str">
        <f t="shared" si="26"/>
        <v>Average</v>
      </c>
    </row>
    <row r="556" spans="1:13" x14ac:dyDescent="0.25">
      <c r="A556" t="str">
        <f>Data_preprocessing!M556</f>
        <v>Frank</v>
      </c>
      <c r="B556">
        <f>Data_preprocessing!O556</f>
        <v>30</v>
      </c>
      <c r="C556">
        <f>Data_preprocessing!Q556</f>
        <v>65000</v>
      </c>
      <c r="D556" t="str">
        <f>Data_preprocessing!R556</f>
        <v>Female</v>
      </c>
      <c r="E556" t="str">
        <f>Data_preprocessing!S556</f>
        <v>Sales</v>
      </c>
      <c r="F556" t="str">
        <f>Data_preprocessing!T556</f>
        <v>Manager</v>
      </c>
      <c r="G556" s="2">
        <f>Data_preprocessing!U556</f>
        <v>43845</v>
      </c>
      <c r="H556" t="str">
        <f>Data_preprocessing!V556</f>
        <v>D</v>
      </c>
      <c r="I556" t="str">
        <f>Data_preprocessing!Y556</f>
        <v>Email not provided</v>
      </c>
      <c r="J556" t="str">
        <f>Data_preprocessing!Z556</f>
        <v>555-555-5555</v>
      </c>
      <c r="K556">
        <f t="shared" ca="1" si="24"/>
        <v>6</v>
      </c>
      <c r="L556" t="str">
        <f t="shared" si="25"/>
        <v>High</v>
      </c>
      <c r="M556" t="str">
        <f t="shared" si="26"/>
        <v>Below Average</v>
      </c>
    </row>
    <row r="557" spans="1:13" x14ac:dyDescent="0.25">
      <c r="A557" t="str">
        <f>Data_preprocessing!M557</f>
        <v>David</v>
      </c>
      <c r="B557">
        <f>Data_preprocessing!O557</f>
        <v>25</v>
      </c>
      <c r="C557">
        <f>Data_preprocessing!Q557</f>
        <v>50000</v>
      </c>
      <c r="D557" t="str">
        <f>Data_preprocessing!R557</f>
        <v>Male</v>
      </c>
      <c r="E557" t="str">
        <f>Data_preprocessing!S557</f>
        <v>IT</v>
      </c>
      <c r="F557" t="str">
        <f>Data_preprocessing!T557</f>
        <v>Director</v>
      </c>
      <c r="G557" s="2">
        <f>Data_preprocessing!U557</f>
        <v>43845</v>
      </c>
      <c r="H557" t="str">
        <f>Data_preprocessing!V557</f>
        <v>D</v>
      </c>
      <c r="I557" t="str">
        <f>Data_preprocessing!Y557</f>
        <v>name@company.org</v>
      </c>
      <c r="J557" t="str">
        <f>Data_preprocessing!Z557</f>
        <v>123-456-7890</v>
      </c>
      <c r="K557">
        <f t="shared" ca="1" si="24"/>
        <v>6</v>
      </c>
      <c r="L557" t="str">
        <f t="shared" si="25"/>
        <v>Low</v>
      </c>
      <c r="M557" t="str">
        <f t="shared" si="26"/>
        <v>Below Average</v>
      </c>
    </row>
    <row r="558" spans="1:13" x14ac:dyDescent="0.25">
      <c r="A558" t="str">
        <f>Data_preprocessing!M558</f>
        <v>Alice</v>
      </c>
      <c r="B558">
        <f>Data_preprocessing!O558</f>
        <v>35</v>
      </c>
      <c r="C558">
        <f>Data_preprocessing!Q558</f>
        <v>50000</v>
      </c>
      <c r="D558" t="str">
        <f>Data_preprocessing!R558</f>
        <v>Other</v>
      </c>
      <c r="E558" t="str">
        <f>Data_preprocessing!S558</f>
        <v>HR</v>
      </c>
      <c r="F558" t="str">
        <f>Data_preprocessing!T558</f>
        <v>Clerk</v>
      </c>
      <c r="G558" s="2">
        <f>Data_preprocessing!U558</f>
        <v>43549</v>
      </c>
      <c r="H558" t="str">
        <f>Data_preprocessing!V558</f>
        <v>F</v>
      </c>
      <c r="I558" t="str">
        <f>Data_preprocessing!Y558</f>
        <v>Email not provided</v>
      </c>
      <c r="J558" t="str">
        <f>Data_preprocessing!Z558</f>
        <v>Phone not provided</v>
      </c>
      <c r="K558">
        <f t="shared" ca="1" si="24"/>
        <v>6</v>
      </c>
      <c r="L558" t="str">
        <f t="shared" si="25"/>
        <v>Low</v>
      </c>
      <c r="M558" t="str">
        <f t="shared" si="26"/>
        <v>Poor</v>
      </c>
    </row>
    <row r="559" spans="1:13" x14ac:dyDescent="0.25">
      <c r="A559" t="str">
        <f>Data_preprocessing!M559</f>
        <v>Grace</v>
      </c>
      <c r="B559">
        <f>Data_preprocessing!O559</f>
        <v>30</v>
      </c>
      <c r="C559">
        <f>Data_preprocessing!Q559</f>
        <v>50000</v>
      </c>
      <c r="D559" t="str">
        <f>Data_preprocessing!R559</f>
        <v>Other</v>
      </c>
      <c r="E559" t="str">
        <f>Data_preprocessing!S559</f>
        <v>Marketing</v>
      </c>
      <c r="F559" t="str">
        <f>Data_preprocessing!T559</f>
        <v>Manager</v>
      </c>
      <c r="G559" s="2">
        <f>Data_preprocessing!U559</f>
        <v>43881</v>
      </c>
      <c r="H559" t="str">
        <f>Data_preprocessing!V559</f>
        <v>F</v>
      </c>
      <c r="I559" t="str">
        <f>Data_preprocessing!Y559</f>
        <v>name@company.org</v>
      </c>
      <c r="J559" t="str">
        <f>Data_preprocessing!Z559</f>
        <v>Phone not provided</v>
      </c>
      <c r="K559">
        <f t="shared" ca="1" si="24"/>
        <v>5</v>
      </c>
      <c r="L559" t="str">
        <f t="shared" si="25"/>
        <v>Low</v>
      </c>
      <c r="M559" t="str">
        <f t="shared" si="26"/>
        <v>Poor</v>
      </c>
    </row>
    <row r="560" spans="1:13" x14ac:dyDescent="0.25">
      <c r="A560" t="str">
        <f>Data_preprocessing!M560</f>
        <v>Ivy</v>
      </c>
      <c r="B560">
        <f>Data_preprocessing!O560</f>
        <v>30</v>
      </c>
      <c r="C560">
        <f>Data_preprocessing!Q560</f>
        <v>55000</v>
      </c>
      <c r="D560" t="str">
        <f>Data_preprocessing!R560</f>
        <v>Female</v>
      </c>
      <c r="E560" t="str">
        <f>Data_preprocessing!S560</f>
        <v>Finance</v>
      </c>
      <c r="F560" t="str">
        <f>Data_preprocessing!T560</f>
        <v>Clerk</v>
      </c>
      <c r="G560" s="2">
        <f>Data_preprocessing!U560</f>
        <v>43881</v>
      </c>
      <c r="H560" t="str">
        <f>Data_preprocessing!V560</f>
        <v>B</v>
      </c>
      <c r="I560" t="str">
        <f>Data_preprocessing!Y560</f>
        <v>Email not provided</v>
      </c>
      <c r="J560" t="str">
        <f>Data_preprocessing!Z560</f>
        <v>098-765-4321</v>
      </c>
      <c r="K560">
        <f t="shared" ca="1" si="24"/>
        <v>5</v>
      </c>
      <c r="L560" t="str">
        <f t="shared" si="25"/>
        <v>Low</v>
      </c>
      <c r="M560" t="str">
        <f t="shared" si="26"/>
        <v>Good</v>
      </c>
    </row>
    <row r="561" spans="1:13" x14ac:dyDescent="0.25">
      <c r="A561" t="str">
        <f>Data_preprocessing!M561</f>
        <v>David</v>
      </c>
      <c r="B561">
        <f>Data_preprocessing!O561</f>
        <v>35</v>
      </c>
      <c r="C561">
        <f>Data_preprocessing!Q561</f>
        <v>55000</v>
      </c>
      <c r="D561" t="str">
        <f>Data_preprocessing!R561</f>
        <v>Female</v>
      </c>
      <c r="E561" t="str">
        <f>Data_preprocessing!S561</f>
        <v>HR</v>
      </c>
      <c r="F561" t="str">
        <f>Data_preprocessing!T561</f>
        <v>Director</v>
      </c>
      <c r="G561" s="2">
        <f>Data_preprocessing!U561</f>
        <v>43549</v>
      </c>
      <c r="H561" t="str">
        <f>Data_preprocessing!V561</f>
        <v>B</v>
      </c>
      <c r="I561" t="str">
        <f>Data_preprocessing!Y561</f>
        <v>user@domain.com</v>
      </c>
      <c r="J561" t="str">
        <f>Data_preprocessing!Z561</f>
        <v>123-456-7890</v>
      </c>
      <c r="K561">
        <f t="shared" ca="1" si="24"/>
        <v>6</v>
      </c>
      <c r="L561" t="str">
        <f t="shared" si="25"/>
        <v>Low</v>
      </c>
      <c r="M561" t="str">
        <f t="shared" si="26"/>
        <v>Good</v>
      </c>
    </row>
    <row r="562" spans="1:13" x14ac:dyDescent="0.25">
      <c r="A562" t="str">
        <f>Data_preprocessing!M562</f>
        <v>David</v>
      </c>
      <c r="B562">
        <f>Data_preprocessing!O562</f>
        <v>40</v>
      </c>
      <c r="C562">
        <f>Data_preprocessing!Q562</f>
        <v>60000</v>
      </c>
      <c r="D562" t="str">
        <f>Data_preprocessing!R562</f>
        <v>Other</v>
      </c>
      <c r="E562" t="str">
        <f>Data_preprocessing!S562</f>
        <v>HR</v>
      </c>
      <c r="F562" t="str">
        <f>Data_preprocessing!T562</f>
        <v>Assistant</v>
      </c>
      <c r="G562" s="2">
        <f>Data_preprocessing!U562</f>
        <v>43845</v>
      </c>
      <c r="H562" t="str">
        <f>Data_preprocessing!V562</f>
        <v>D</v>
      </c>
      <c r="I562" t="str">
        <f>Data_preprocessing!Y562</f>
        <v>user@domain.com</v>
      </c>
      <c r="J562" t="str">
        <f>Data_preprocessing!Z562</f>
        <v>555-555-5555</v>
      </c>
      <c r="K562">
        <f t="shared" ca="1" si="24"/>
        <v>6</v>
      </c>
      <c r="L562" t="str">
        <f t="shared" si="25"/>
        <v>Medium</v>
      </c>
      <c r="M562" t="str">
        <f t="shared" si="26"/>
        <v>Below Average</v>
      </c>
    </row>
    <row r="563" spans="1:13" x14ac:dyDescent="0.25">
      <c r="A563" t="str">
        <f>Data_preprocessing!M563</f>
        <v>Frank</v>
      </c>
      <c r="B563">
        <f>Data_preprocessing!O563</f>
        <v>50</v>
      </c>
      <c r="C563">
        <f>Data_preprocessing!Q563</f>
        <v>50000</v>
      </c>
      <c r="D563" t="str">
        <f>Data_preprocessing!R563</f>
        <v>Other</v>
      </c>
      <c r="E563" t="str">
        <f>Data_preprocessing!S563</f>
        <v>Sales</v>
      </c>
      <c r="F563" t="str">
        <f>Data_preprocessing!T563</f>
        <v>Analyst</v>
      </c>
      <c r="G563" s="2">
        <f>Data_preprocessing!U563</f>
        <v>43845</v>
      </c>
      <c r="H563" t="str">
        <f>Data_preprocessing!V563</f>
        <v>A</v>
      </c>
      <c r="I563" t="str">
        <f>Data_preprocessing!Y563</f>
        <v>name@company.org</v>
      </c>
      <c r="J563" t="str">
        <f>Data_preprocessing!Z563</f>
        <v>Phone not provided</v>
      </c>
      <c r="K563">
        <f t="shared" ca="1" si="24"/>
        <v>6</v>
      </c>
      <c r="L563" t="str">
        <f t="shared" si="25"/>
        <v>Low</v>
      </c>
      <c r="M563" t="str">
        <f t="shared" si="26"/>
        <v>Excellent</v>
      </c>
    </row>
    <row r="564" spans="1:13" x14ac:dyDescent="0.25">
      <c r="A564" t="str">
        <f>Data_preprocessing!M564</f>
        <v>Charlie</v>
      </c>
      <c r="B564">
        <f>Data_preprocessing!O564</f>
        <v>30</v>
      </c>
      <c r="C564">
        <f>Data_preprocessing!Q564</f>
        <v>65000</v>
      </c>
      <c r="D564" t="str">
        <f>Data_preprocessing!R564</f>
        <v>Female</v>
      </c>
      <c r="E564" t="str">
        <f>Data_preprocessing!S564</f>
        <v>Sales</v>
      </c>
      <c r="F564" t="str">
        <f>Data_preprocessing!T564</f>
        <v>Analyst</v>
      </c>
      <c r="G564" s="2">
        <f>Data_preprocessing!U564</f>
        <v>43800</v>
      </c>
      <c r="H564" t="str">
        <f>Data_preprocessing!V564</f>
        <v>C</v>
      </c>
      <c r="I564" t="str">
        <f>Data_preprocessing!Y564</f>
        <v>email@example.com</v>
      </c>
      <c r="J564" t="str">
        <f>Data_preprocessing!Z564</f>
        <v>Phone not provided</v>
      </c>
      <c r="K564">
        <f t="shared" ca="1" si="24"/>
        <v>6</v>
      </c>
      <c r="L564" t="str">
        <f t="shared" si="25"/>
        <v>High</v>
      </c>
      <c r="M564" t="str">
        <f t="shared" si="26"/>
        <v>Average</v>
      </c>
    </row>
    <row r="565" spans="1:13" x14ac:dyDescent="0.25">
      <c r="A565" t="str">
        <f>Data_preprocessing!M565</f>
        <v>Frank</v>
      </c>
      <c r="B565">
        <f>Data_preprocessing!O565</f>
        <v>35</v>
      </c>
      <c r="C565">
        <f>Data_preprocessing!Q565</f>
        <v>60000</v>
      </c>
      <c r="D565" t="str">
        <f>Data_preprocessing!R565</f>
        <v>Female</v>
      </c>
      <c r="E565" t="str">
        <f>Data_preprocessing!S565</f>
        <v>Sales</v>
      </c>
      <c r="F565" t="str">
        <f>Data_preprocessing!T565</f>
        <v>Assistant</v>
      </c>
      <c r="G565" s="2">
        <f>Data_preprocessing!U565</f>
        <v>43195</v>
      </c>
      <c r="H565" t="str">
        <f>Data_preprocessing!V565</f>
        <v>B</v>
      </c>
      <c r="I565" t="str">
        <f>Data_preprocessing!Y565</f>
        <v>name@company.org</v>
      </c>
      <c r="J565" t="str">
        <f>Data_preprocessing!Z565</f>
        <v>123-456-7890</v>
      </c>
      <c r="K565">
        <f t="shared" ca="1" si="24"/>
        <v>7</v>
      </c>
      <c r="L565" t="str">
        <f t="shared" si="25"/>
        <v>Medium</v>
      </c>
      <c r="M565" t="str">
        <f t="shared" si="26"/>
        <v>Good</v>
      </c>
    </row>
    <row r="566" spans="1:13" x14ac:dyDescent="0.25">
      <c r="A566" t="str">
        <f>Data_preprocessing!M566</f>
        <v>Grace</v>
      </c>
      <c r="B566">
        <f>Data_preprocessing!O566</f>
        <v>30</v>
      </c>
      <c r="C566">
        <f>Data_preprocessing!Q566</f>
        <v>65000</v>
      </c>
      <c r="D566" t="str">
        <f>Data_preprocessing!R566</f>
        <v>Other</v>
      </c>
      <c r="E566" t="str">
        <f>Data_preprocessing!S566</f>
        <v>Marketing</v>
      </c>
      <c r="F566" t="str">
        <f>Data_preprocessing!T566</f>
        <v>Manager</v>
      </c>
      <c r="G566" s="2">
        <f>Data_preprocessing!U566</f>
        <v>43881</v>
      </c>
      <c r="H566" t="str">
        <f>Data_preprocessing!V566</f>
        <v>B</v>
      </c>
      <c r="I566" t="str">
        <f>Data_preprocessing!Y566</f>
        <v>Email not provided</v>
      </c>
      <c r="J566" t="str">
        <f>Data_preprocessing!Z566</f>
        <v>555-555-5555</v>
      </c>
      <c r="K566">
        <f t="shared" ca="1" si="24"/>
        <v>5</v>
      </c>
      <c r="L566" t="str">
        <f t="shared" si="25"/>
        <v>High</v>
      </c>
      <c r="M566" t="str">
        <f t="shared" si="26"/>
        <v>Good</v>
      </c>
    </row>
    <row r="567" spans="1:13" x14ac:dyDescent="0.25">
      <c r="A567" t="str">
        <f>Data_preprocessing!M567</f>
        <v>Jack</v>
      </c>
      <c r="B567">
        <f>Data_preprocessing!O567</f>
        <v>50</v>
      </c>
      <c r="C567">
        <f>Data_preprocessing!Q567</f>
        <v>60000</v>
      </c>
      <c r="D567" t="str">
        <f>Data_preprocessing!R567</f>
        <v>Male</v>
      </c>
      <c r="E567" t="str">
        <f>Data_preprocessing!S567</f>
        <v>Sales</v>
      </c>
      <c r="F567" t="str">
        <f>Data_preprocessing!T567</f>
        <v>Manager</v>
      </c>
      <c r="G567" s="2">
        <f>Data_preprocessing!U567</f>
        <v>43881</v>
      </c>
      <c r="H567" t="str">
        <f>Data_preprocessing!V567</f>
        <v>A</v>
      </c>
      <c r="I567" t="str">
        <f>Data_preprocessing!Y567</f>
        <v>user@domain.com</v>
      </c>
      <c r="J567" t="str">
        <f>Data_preprocessing!Z567</f>
        <v>098-765-4321</v>
      </c>
      <c r="K567">
        <f t="shared" ca="1" si="24"/>
        <v>5</v>
      </c>
      <c r="L567" t="str">
        <f t="shared" si="25"/>
        <v>Medium</v>
      </c>
      <c r="M567" t="str">
        <f t="shared" si="26"/>
        <v>Excellent</v>
      </c>
    </row>
    <row r="568" spans="1:13" x14ac:dyDescent="0.25">
      <c r="A568" t="str">
        <f>Data_preprocessing!M568</f>
        <v>Jack</v>
      </c>
      <c r="B568">
        <f>Data_preprocessing!O568</f>
        <v>40</v>
      </c>
      <c r="C568">
        <f>Data_preprocessing!Q568</f>
        <v>50000</v>
      </c>
      <c r="D568" t="str">
        <f>Data_preprocessing!R568</f>
        <v>Female</v>
      </c>
      <c r="E568" t="str">
        <f>Data_preprocessing!S568</f>
        <v>HR</v>
      </c>
      <c r="F568" t="str">
        <f>Data_preprocessing!T568</f>
        <v>Clerk</v>
      </c>
      <c r="G568" s="2">
        <f>Data_preprocessing!U568</f>
        <v>43881</v>
      </c>
      <c r="H568" t="str">
        <f>Data_preprocessing!V568</f>
        <v>A</v>
      </c>
      <c r="I568" t="str">
        <f>Data_preprocessing!Y568</f>
        <v>user@domain.com</v>
      </c>
      <c r="J568" t="str">
        <f>Data_preprocessing!Z568</f>
        <v>123-456-7890</v>
      </c>
      <c r="K568">
        <f t="shared" ca="1" si="24"/>
        <v>5</v>
      </c>
      <c r="L568" t="str">
        <f t="shared" si="25"/>
        <v>Low</v>
      </c>
      <c r="M568" t="str">
        <f t="shared" si="26"/>
        <v>Excellent</v>
      </c>
    </row>
    <row r="569" spans="1:13" x14ac:dyDescent="0.25">
      <c r="A569" t="str">
        <f>Data_preprocessing!M569</f>
        <v>Charlie</v>
      </c>
      <c r="B569">
        <f>Data_preprocessing!O569</f>
        <v>40</v>
      </c>
      <c r="C569">
        <f>Data_preprocessing!Q569</f>
        <v>50000</v>
      </c>
      <c r="D569" t="str">
        <f>Data_preprocessing!R569</f>
        <v>Other</v>
      </c>
      <c r="E569" t="str">
        <f>Data_preprocessing!S569</f>
        <v>Sales</v>
      </c>
      <c r="F569" t="str">
        <f>Data_preprocessing!T569</f>
        <v>Assistant</v>
      </c>
      <c r="G569" s="2">
        <f>Data_preprocessing!U569</f>
        <v>43195</v>
      </c>
      <c r="H569" t="str">
        <f>Data_preprocessing!V569</f>
        <v>F</v>
      </c>
      <c r="I569" t="str">
        <f>Data_preprocessing!Y569</f>
        <v>user@domain.com</v>
      </c>
      <c r="J569" t="str">
        <f>Data_preprocessing!Z569</f>
        <v>098-765-4321</v>
      </c>
      <c r="K569">
        <f t="shared" ca="1" si="24"/>
        <v>7</v>
      </c>
      <c r="L569" t="str">
        <f t="shared" si="25"/>
        <v>Low</v>
      </c>
      <c r="M569" t="str">
        <f t="shared" si="26"/>
        <v>Poor</v>
      </c>
    </row>
    <row r="570" spans="1:13" x14ac:dyDescent="0.25">
      <c r="A570" t="str">
        <f>Data_preprocessing!M570</f>
        <v>Grace</v>
      </c>
      <c r="B570">
        <f>Data_preprocessing!O570</f>
        <v>35</v>
      </c>
      <c r="C570">
        <f>Data_preprocessing!Q570</f>
        <v>50000</v>
      </c>
      <c r="D570" t="str">
        <f>Data_preprocessing!R570</f>
        <v>Other</v>
      </c>
      <c r="E570" t="str">
        <f>Data_preprocessing!S570</f>
        <v>IT</v>
      </c>
      <c r="F570" t="str">
        <f>Data_preprocessing!T570</f>
        <v>Manager</v>
      </c>
      <c r="G570" s="2">
        <f>Data_preprocessing!U570</f>
        <v>43800</v>
      </c>
      <c r="H570" t="str">
        <f>Data_preprocessing!V570</f>
        <v>C</v>
      </c>
      <c r="I570" t="str">
        <f>Data_preprocessing!Y570</f>
        <v>email@example.com</v>
      </c>
      <c r="J570" t="str">
        <f>Data_preprocessing!Z570</f>
        <v>Phone not provided</v>
      </c>
      <c r="K570">
        <f t="shared" ca="1" si="24"/>
        <v>6</v>
      </c>
      <c r="L570" t="str">
        <f t="shared" si="25"/>
        <v>Low</v>
      </c>
      <c r="M570" t="str">
        <f t="shared" si="26"/>
        <v>Average</v>
      </c>
    </row>
    <row r="571" spans="1:13" x14ac:dyDescent="0.25">
      <c r="A571" t="str">
        <f>Data_preprocessing!M571</f>
        <v>Charlie</v>
      </c>
      <c r="B571">
        <f>Data_preprocessing!O571</f>
        <v>30</v>
      </c>
      <c r="C571">
        <f>Data_preprocessing!Q571</f>
        <v>55000</v>
      </c>
      <c r="D571" t="str">
        <f>Data_preprocessing!R571</f>
        <v>Other</v>
      </c>
      <c r="E571" t="str">
        <f>Data_preprocessing!S571</f>
        <v>Sales</v>
      </c>
      <c r="F571" t="str">
        <f>Data_preprocessing!T571</f>
        <v>Assistant</v>
      </c>
      <c r="G571" s="2">
        <f>Data_preprocessing!U571</f>
        <v>43195</v>
      </c>
      <c r="H571" t="str">
        <f>Data_preprocessing!V571</f>
        <v>A</v>
      </c>
      <c r="I571" t="str">
        <f>Data_preprocessing!Y571</f>
        <v>email@example.com</v>
      </c>
      <c r="J571" t="str">
        <f>Data_preprocessing!Z571</f>
        <v>098-765-4321</v>
      </c>
      <c r="K571">
        <f t="shared" ca="1" si="24"/>
        <v>7</v>
      </c>
      <c r="L571" t="str">
        <f t="shared" si="25"/>
        <v>Low</v>
      </c>
      <c r="M571" t="str">
        <f t="shared" si="26"/>
        <v>Excellent</v>
      </c>
    </row>
    <row r="572" spans="1:13" x14ac:dyDescent="0.25">
      <c r="A572" t="str">
        <f>Data_preprocessing!M572</f>
        <v>Bob</v>
      </c>
      <c r="B572">
        <f>Data_preprocessing!O572</f>
        <v>40</v>
      </c>
      <c r="C572">
        <f>Data_preprocessing!Q572</f>
        <v>60000</v>
      </c>
      <c r="D572" t="str">
        <f>Data_preprocessing!R572</f>
        <v>Other</v>
      </c>
      <c r="E572" t="str">
        <f>Data_preprocessing!S572</f>
        <v>Marketing</v>
      </c>
      <c r="F572" t="str">
        <f>Data_preprocessing!T572</f>
        <v>Director</v>
      </c>
      <c r="G572" s="2">
        <f>Data_preprocessing!U572</f>
        <v>43845</v>
      </c>
      <c r="H572" t="str">
        <f>Data_preprocessing!V572</f>
        <v>B</v>
      </c>
      <c r="I572" t="str">
        <f>Data_preprocessing!Y572</f>
        <v>Email not provided</v>
      </c>
      <c r="J572" t="str">
        <f>Data_preprocessing!Z572</f>
        <v>555-555-5555</v>
      </c>
      <c r="K572">
        <f t="shared" ca="1" si="24"/>
        <v>6</v>
      </c>
      <c r="L572" t="str">
        <f t="shared" si="25"/>
        <v>Medium</v>
      </c>
      <c r="M572" t="str">
        <f t="shared" si="26"/>
        <v>Good</v>
      </c>
    </row>
    <row r="573" spans="1:13" x14ac:dyDescent="0.25">
      <c r="A573" t="str">
        <f>Data_preprocessing!M573</f>
        <v>Jack</v>
      </c>
      <c r="B573">
        <f>Data_preprocessing!O573</f>
        <v>50</v>
      </c>
      <c r="C573">
        <f>Data_preprocessing!Q573</f>
        <v>55000</v>
      </c>
      <c r="D573" t="str">
        <f>Data_preprocessing!R573</f>
        <v>Male</v>
      </c>
      <c r="E573" t="str">
        <f>Data_preprocessing!S573</f>
        <v>IT</v>
      </c>
      <c r="F573" t="str">
        <f>Data_preprocessing!T573</f>
        <v>Analyst</v>
      </c>
      <c r="G573" s="2">
        <f>Data_preprocessing!U573</f>
        <v>43845</v>
      </c>
      <c r="H573" t="str">
        <f>Data_preprocessing!V573</f>
        <v>B</v>
      </c>
      <c r="I573" t="str">
        <f>Data_preprocessing!Y573</f>
        <v>name@company.org</v>
      </c>
      <c r="J573" t="str">
        <f>Data_preprocessing!Z573</f>
        <v>Phone not provided</v>
      </c>
      <c r="K573">
        <f t="shared" ca="1" si="24"/>
        <v>6</v>
      </c>
      <c r="L573" t="str">
        <f t="shared" si="25"/>
        <v>Low</v>
      </c>
      <c r="M573" t="str">
        <f t="shared" si="26"/>
        <v>Good</v>
      </c>
    </row>
    <row r="574" spans="1:13" x14ac:dyDescent="0.25">
      <c r="A574" t="str">
        <f>Data_preprocessing!M574</f>
        <v>David</v>
      </c>
      <c r="B574">
        <f>Data_preprocessing!O574</f>
        <v>35</v>
      </c>
      <c r="C574">
        <f>Data_preprocessing!Q574</f>
        <v>55000</v>
      </c>
      <c r="D574" t="str">
        <f>Data_preprocessing!R574</f>
        <v>Other</v>
      </c>
      <c r="E574" t="str">
        <f>Data_preprocessing!S574</f>
        <v>HR</v>
      </c>
      <c r="F574" t="str">
        <f>Data_preprocessing!T574</f>
        <v>Analyst</v>
      </c>
      <c r="G574" s="2">
        <f>Data_preprocessing!U574</f>
        <v>43881</v>
      </c>
      <c r="H574" t="str">
        <f>Data_preprocessing!V574</f>
        <v>D</v>
      </c>
      <c r="I574" t="str">
        <f>Data_preprocessing!Y574</f>
        <v>name@company.org</v>
      </c>
      <c r="J574" t="str">
        <f>Data_preprocessing!Z574</f>
        <v>555-555-5555</v>
      </c>
      <c r="K574">
        <f t="shared" ca="1" si="24"/>
        <v>5</v>
      </c>
      <c r="L574" t="str">
        <f t="shared" si="25"/>
        <v>Low</v>
      </c>
      <c r="M574" t="str">
        <f t="shared" si="26"/>
        <v>Below Average</v>
      </c>
    </row>
    <row r="575" spans="1:13" x14ac:dyDescent="0.25">
      <c r="A575" t="str">
        <f>Data_preprocessing!M575</f>
        <v>Hannah</v>
      </c>
      <c r="B575">
        <f>Data_preprocessing!O575</f>
        <v>25</v>
      </c>
      <c r="C575">
        <f>Data_preprocessing!Q575</f>
        <v>70000</v>
      </c>
      <c r="D575" t="str">
        <f>Data_preprocessing!R575</f>
        <v>Female</v>
      </c>
      <c r="E575" t="str">
        <f>Data_preprocessing!S575</f>
        <v>HR</v>
      </c>
      <c r="F575" t="str">
        <f>Data_preprocessing!T575</f>
        <v>Analyst</v>
      </c>
      <c r="G575" s="2">
        <f>Data_preprocessing!U575</f>
        <v>43549</v>
      </c>
      <c r="H575" t="str">
        <f>Data_preprocessing!V575</f>
        <v>A</v>
      </c>
      <c r="I575" t="str">
        <f>Data_preprocessing!Y575</f>
        <v>Email not provided</v>
      </c>
      <c r="J575" t="str">
        <f>Data_preprocessing!Z575</f>
        <v>098-765-4321</v>
      </c>
      <c r="K575">
        <f t="shared" ca="1" si="24"/>
        <v>6</v>
      </c>
      <c r="L575" t="str">
        <f t="shared" si="25"/>
        <v>High</v>
      </c>
      <c r="M575" t="str">
        <f t="shared" si="26"/>
        <v>Excellent</v>
      </c>
    </row>
    <row r="576" spans="1:13" x14ac:dyDescent="0.25">
      <c r="A576" t="str">
        <f>Data_preprocessing!M576</f>
        <v>Ivy</v>
      </c>
      <c r="B576">
        <f>Data_preprocessing!O576</f>
        <v>25</v>
      </c>
      <c r="C576">
        <f>Data_preprocessing!Q576</f>
        <v>65000</v>
      </c>
      <c r="D576" t="str">
        <f>Data_preprocessing!R576</f>
        <v>Male</v>
      </c>
      <c r="E576" t="str">
        <f>Data_preprocessing!S576</f>
        <v>Finance</v>
      </c>
      <c r="F576" t="str">
        <f>Data_preprocessing!T576</f>
        <v>Assistant</v>
      </c>
      <c r="G576" s="2">
        <f>Data_preprocessing!U576</f>
        <v>43881</v>
      </c>
      <c r="H576" t="str">
        <f>Data_preprocessing!V576</f>
        <v>F</v>
      </c>
      <c r="I576" t="str">
        <f>Data_preprocessing!Y576</f>
        <v>user@domain.com</v>
      </c>
      <c r="J576" t="str">
        <f>Data_preprocessing!Z576</f>
        <v>123-456-7890</v>
      </c>
      <c r="K576">
        <f t="shared" ca="1" si="24"/>
        <v>5</v>
      </c>
      <c r="L576" t="str">
        <f t="shared" si="25"/>
        <v>High</v>
      </c>
      <c r="M576" t="str">
        <f t="shared" si="26"/>
        <v>Poor</v>
      </c>
    </row>
    <row r="577" spans="1:13" x14ac:dyDescent="0.25">
      <c r="A577" t="str">
        <f>Data_preprocessing!M577</f>
        <v>Grace</v>
      </c>
      <c r="B577">
        <f>Data_preprocessing!O577</f>
        <v>25</v>
      </c>
      <c r="C577">
        <f>Data_preprocessing!Q577</f>
        <v>65000</v>
      </c>
      <c r="D577" t="str">
        <f>Data_preprocessing!R577</f>
        <v>Other</v>
      </c>
      <c r="E577" t="str">
        <f>Data_preprocessing!S577</f>
        <v>IT</v>
      </c>
      <c r="F577" t="str">
        <f>Data_preprocessing!T577</f>
        <v>Assistant</v>
      </c>
      <c r="G577" s="2">
        <f>Data_preprocessing!U577</f>
        <v>43549</v>
      </c>
      <c r="H577" t="str">
        <f>Data_preprocessing!V577</f>
        <v>C</v>
      </c>
      <c r="I577" t="str">
        <f>Data_preprocessing!Y577</f>
        <v>email@example.com</v>
      </c>
      <c r="J577" t="str">
        <f>Data_preprocessing!Z577</f>
        <v>Phone not provided</v>
      </c>
      <c r="K577">
        <f t="shared" ca="1" si="24"/>
        <v>6</v>
      </c>
      <c r="L577" t="str">
        <f t="shared" si="25"/>
        <v>High</v>
      </c>
      <c r="M577" t="str">
        <f t="shared" si="26"/>
        <v>Average</v>
      </c>
    </row>
    <row r="578" spans="1:13" x14ac:dyDescent="0.25">
      <c r="A578" t="str">
        <f>Data_preprocessing!M578</f>
        <v>Alice</v>
      </c>
      <c r="B578">
        <f>Data_preprocessing!O578</f>
        <v>30</v>
      </c>
      <c r="C578">
        <f>Data_preprocessing!Q578</f>
        <v>60000</v>
      </c>
      <c r="D578" t="str">
        <f>Data_preprocessing!R578</f>
        <v>Male</v>
      </c>
      <c r="E578" t="str">
        <f>Data_preprocessing!S578</f>
        <v>Finance</v>
      </c>
      <c r="F578" t="str">
        <f>Data_preprocessing!T578</f>
        <v>Clerk</v>
      </c>
      <c r="G578" s="2">
        <f>Data_preprocessing!U578</f>
        <v>43195</v>
      </c>
      <c r="H578" t="str">
        <f>Data_preprocessing!V578</f>
        <v>F</v>
      </c>
      <c r="I578" t="str">
        <f>Data_preprocessing!Y578</f>
        <v>Email not provided</v>
      </c>
      <c r="J578" t="str">
        <f>Data_preprocessing!Z578</f>
        <v>Phone not provided</v>
      </c>
      <c r="K578">
        <f t="shared" ref="K578:K641" ca="1" si="27">DATEDIF(G578,TODAY(),"Y")</f>
        <v>7</v>
      </c>
      <c r="L578" t="str">
        <f t="shared" ref="L578:L641" si="28">IF(C578&lt;60000,"Low",IF(C578&lt;65000,"Medium","High"))</f>
        <v>Medium</v>
      </c>
      <c r="M578" t="str">
        <f t="shared" si="26"/>
        <v>Poor</v>
      </c>
    </row>
    <row r="579" spans="1:13" x14ac:dyDescent="0.25">
      <c r="A579" t="str">
        <f>Data_preprocessing!M579</f>
        <v>Charlie</v>
      </c>
      <c r="B579">
        <f>Data_preprocessing!O579</f>
        <v>35</v>
      </c>
      <c r="C579">
        <f>Data_preprocessing!Q579</f>
        <v>55000</v>
      </c>
      <c r="D579" t="str">
        <f>Data_preprocessing!R579</f>
        <v>Female</v>
      </c>
      <c r="E579" t="str">
        <f>Data_preprocessing!S579</f>
        <v>IT</v>
      </c>
      <c r="F579" t="str">
        <f>Data_preprocessing!T579</f>
        <v>Analyst</v>
      </c>
      <c r="G579" s="2">
        <f>Data_preprocessing!U579</f>
        <v>43845</v>
      </c>
      <c r="H579" t="str">
        <f>Data_preprocessing!V579</f>
        <v>B</v>
      </c>
      <c r="I579" t="str">
        <f>Data_preprocessing!Y579</f>
        <v>Email not provided</v>
      </c>
      <c r="J579" t="str">
        <f>Data_preprocessing!Z579</f>
        <v>123-456-7890</v>
      </c>
      <c r="K579">
        <f t="shared" ca="1" si="27"/>
        <v>6</v>
      </c>
      <c r="L579" t="str">
        <f t="shared" si="28"/>
        <v>Low</v>
      </c>
      <c r="M579" t="str">
        <f t="shared" ref="M579:M642" si="29">IF(H579="A","Excellent",IF(H579="B","Good",IF(H579="C","Average",IF(H579="D","Below Average","Poor"))))</f>
        <v>Good</v>
      </c>
    </row>
    <row r="580" spans="1:13" x14ac:dyDescent="0.25">
      <c r="A580" t="str">
        <f>Data_preprocessing!M580</f>
        <v>Ivy</v>
      </c>
      <c r="B580">
        <f>Data_preprocessing!O580</f>
        <v>40</v>
      </c>
      <c r="C580">
        <f>Data_preprocessing!Q580</f>
        <v>60000</v>
      </c>
      <c r="D580" t="str">
        <f>Data_preprocessing!R580</f>
        <v>Other</v>
      </c>
      <c r="E580" t="str">
        <f>Data_preprocessing!S580</f>
        <v>IT</v>
      </c>
      <c r="F580" t="str">
        <f>Data_preprocessing!T580</f>
        <v>Clerk</v>
      </c>
      <c r="G580" s="2">
        <f>Data_preprocessing!U580</f>
        <v>43549</v>
      </c>
      <c r="H580" t="str">
        <f>Data_preprocessing!V580</f>
        <v>F</v>
      </c>
      <c r="I580" t="str">
        <f>Data_preprocessing!Y580</f>
        <v>email@example.com</v>
      </c>
      <c r="J580" t="str">
        <f>Data_preprocessing!Z580</f>
        <v>123-456-7890</v>
      </c>
      <c r="K580">
        <f t="shared" ca="1" si="27"/>
        <v>6</v>
      </c>
      <c r="L580" t="str">
        <f t="shared" si="28"/>
        <v>Medium</v>
      </c>
      <c r="M580" t="str">
        <f t="shared" si="29"/>
        <v>Poor</v>
      </c>
    </row>
    <row r="581" spans="1:13" x14ac:dyDescent="0.25">
      <c r="A581" t="str">
        <f>Data_preprocessing!M581</f>
        <v>Alice</v>
      </c>
      <c r="B581">
        <f>Data_preprocessing!O581</f>
        <v>35</v>
      </c>
      <c r="C581">
        <f>Data_preprocessing!Q581</f>
        <v>70000</v>
      </c>
      <c r="D581" t="str">
        <f>Data_preprocessing!R581</f>
        <v>Female</v>
      </c>
      <c r="E581" t="str">
        <f>Data_preprocessing!S581</f>
        <v>Marketing</v>
      </c>
      <c r="F581" t="str">
        <f>Data_preprocessing!T581</f>
        <v>Analyst</v>
      </c>
      <c r="G581" s="2">
        <f>Data_preprocessing!U581</f>
        <v>43195</v>
      </c>
      <c r="H581" t="str">
        <f>Data_preprocessing!V581</f>
        <v>B</v>
      </c>
      <c r="I581" t="str">
        <f>Data_preprocessing!Y581</f>
        <v>name@company.org</v>
      </c>
      <c r="J581" t="str">
        <f>Data_preprocessing!Z581</f>
        <v>555-555-5555</v>
      </c>
      <c r="K581">
        <f t="shared" ca="1" si="27"/>
        <v>7</v>
      </c>
      <c r="L581" t="str">
        <f t="shared" si="28"/>
        <v>High</v>
      </c>
      <c r="M581" t="str">
        <f t="shared" si="29"/>
        <v>Good</v>
      </c>
    </row>
    <row r="582" spans="1:13" x14ac:dyDescent="0.25">
      <c r="A582" t="str">
        <f>Data_preprocessing!M582</f>
        <v>Ivy</v>
      </c>
      <c r="B582">
        <f>Data_preprocessing!O582</f>
        <v>50</v>
      </c>
      <c r="C582">
        <f>Data_preprocessing!Q582</f>
        <v>70000</v>
      </c>
      <c r="D582" t="str">
        <f>Data_preprocessing!R582</f>
        <v>Other</v>
      </c>
      <c r="E582" t="str">
        <f>Data_preprocessing!S582</f>
        <v>Finance</v>
      </c>
      <c r="F582" t="str">
        <f>Data_preprocessing!T582</f>
        <v>Clerk</v>
      </c>
      <c r="G582" s="2">
        <f>Data_preprocessing!U582</f>
        <v>43845</v>
      </c>
      <c r="H582" t="str">
        <f>Data_preprocessing!V582</f>
        <v>B</v>
      </c>
      <c r="I582" t="str">
        <f>Data_preprocessing!Y582</f>
        <v>user@domain.com</v>
      </c>
      <c r="J582" t="str">
        <f>Data_preprocessing!Z582</f>
        <v>098-765-4321</v>
      </c>
      <c r="K582">
        <f t="shared" ca="1" si="27"/>
        <v>6</v>
      </c>
      <c r="L582" t="str">
        <f t="shared" si="28"/>
        <v>High</v>
      </c>
      <c r="M582" t="str">
        <f t="shared" si="29"/>
        <v>Good</v>
      </c>
    </row>
    <row r="583" spans="1:13" x14ac:dyDescent="0.25">
      <c r="A583" t="str">
        <f>Data_preprocessing!M583</f>
        <v>Hannah</v>
      </c>
      <c r="B583">
        <f>Data_preprocessing!O583</f>
        <v>35</v>
      </c>
      <c r="C583">
        <f>Data_preprocessing!Q583</f>
        <v>65000</v>
      </c>
      <c r="D583" t="str">
        <f>Data_preprocessing!R583</f>
        <v>Other</v>
      </c>
      <c r="E583" t="str">
        <f>Data_preprocessing!S583</f>
        <v>Marketing</v>
      </c>
      <c r="F583" t="str">
        <f>Data_preprocessing!T583</f>
        <v>Clerk</v>
      </c>
      <c r="G583" s="2">
        <f>Data_preprocessing!U583</f>
        <v>43549</v>
      </c>
      <c r="H583" t="str">
        <f>Data_preprocessing!V583</f>
        <v>B</v>
      </c>
      <c r="I583" t="str">
        <f>Data_preprocessing!Y583</f>
        <v>name@company.org</v>
      </c>
      <c r="J583" t="str">
        <f>Data_preprocessing!Z583</f>
        <v>555-555-5555</v>
      </c>
      <c r="K583">
        <f t="shared" ca="1" si="27"/>
        <v>6</v>
      </c>
      <c r="L583" t="str">
        <f t="shared" si="28"/>
        <v>High</v>
      </c>
      <c r="M583" t="str">
        <f t="shared" si="29"/>
        <v>Good</v>
      </c>
    </row>
    <row r="584" spans="1:13" x14ac:dyDescent="0.25">
      <c r="A584" t="str">
        <f>Data_preprocessing!M584</f>
        <v>Alice</v>
      </c>
      <c r="B584">
        <f>Data_preprocessing!O584</f>
        <v>50</v>
      </c>
      <c r="C584">
        <f>Data_preprocessing!Q584</f>
        <v>55000</v>
      </c>
      <c r="D584" t="str">
        <f>Data_preprocessing!R584</f>
        <v>Other</v>
      </c>
      <c r="E584" t="str">
        <f>Data_preprocessing!S584</f>
        <v>IT</v>
      </c>
      <c r="F584" t="str">
        <f>Data_preprocessing!T584</f>
        <v>Director</v>
      </c>
      <c r="G584" s="2">
        <f>Data_preprocessing!U584</f>
        <v>43881</v>
      </c>
      <c r="H584" t="str">
        <f>Data_preprocessing!V584</f>
        <v>B</v>
      </c>
      <c r="I584" t="str">
        <f>Data_preprocessing!Y584</f>
        <v>Email not provided</v>
      </c>
      <c r="J584" t="str">
        <f>Data_preprocessing!Z584</f>
        <v>098-765-4321</v>
      </c>
      <c r="K584">
        <f t="shared" ca="1" si="27"/>
        <v>5</v>
      </c>
      <c r="L584" t="str">
        <f t="shared" si="28"/>
        <v>Low</v>
      </c>
      <c r="M584" t="str">
        <f t="shared" si="29"/>
        <v>Good</v>
      </c>
    </row>
    <row r="585" spans="1:13" x14ac:dyDescent="0.25">
      <c r="A585" t="str">
        <f>Data_preprocessing!M585</f>
        <v>Frank</v>
      </c>
      <c r="B585">
        <f>Data_preprocessing!O585</f>
        <v>30</v>
      </c>
      <c r="C585">
        <f>Data_preprocessing!Q585</f>
        <v>60000</v>
      </c>
      <c r="D585" t="str">
        <f>Data_preprocessing!R585</f>
        <v>Other</v>
      </c>
      <c r="E585" t="str">
        <f>Data_preprocessing!S585</f>
        <v>HR</v>
      </c>
      <c r="F585" t="str">
        <f>Data_preprocessing!T585</f>
        <v>Clerk</v>
      </c>
      <c r="G585" s="2">
        <f>Data_preprocessing!U585</f>
        <v>43881</v>
      </c>
      <c r="H585" t="str">
        <f>Data_preprocessing!V585</f>
        <v>B</v>
      </c>
      <c r="I585" t="str">
        <f>Data_preprocessing!Y585</f>
        <v>user@domain.com</v>
      </c>
      <c r="J585" t="str">
        <f>Data_preprocessing!Z585</f>
        <v>555-555-5555</v>
      </c>
      <c r="K585">
        <f t="shared" ca="1" si="27"/>
        <v>5</v>
      </c>
      <c r="L585" t="str">
        <f t="shared" si="28"/>
        <v>Medium</v>
      </c>
      <c r="M585" t="str">
        <f t="shared" si="29"/>
        <v>Good</v>
      </c>
    </row>
    <row r="586" spans="1:13" x14ac:dyDescent="0.25">
      <c r="A586" t="str">
        <f>Data_preprocessing!M586</f>
        <v>Eve</v>
      </c>
      <c r="B586">
        <f>Data_preprocessing!O586</f>
        <v>25</v>
      </c>
      <c r="C586">
        <f>Data_preprocessing!Q586</f>
        <v>55000</v>
      </c>
      <c r="D586" t="str">
        <f>Data_preprocessing!R586</f>
        <v>Other</v>
      </c>
      <c r="E586" t="str">
        <f>Data_preprocessing!S586</f>
        <v>IT</v>
      </c>
      <c r="F586" t="str">
        <f>Data_preprocessing!T586</f>
        <v>Assistant</v>
      </c>
      <c r="G586" s="2">
        <f>Data_preprocessing!U586</f>
        <v>43881</v>
      </c>
      <c r="H586" t="str">
        <f>Data_preprocessing!V586</f>
        <v>D</v>
      </c>
      <c r="I586" t="str">
        <f>Data_preprocessing!Y586</f>
        <v>Email not provided</v>
      </c>
      <c r="J586" t="str">
        <f>Data_preprocessing!Z586</f>
        <v>123-456-7890</v>
      </c>
      <c r="K586">
        <f t="shared" ca="1" si="27"/>
        <v>5</v>
      </c>
      <c r="L586" t="str">
        <f t="shared" si="28"/>
        <v>Low</v>
      </c>
      <c r="M586" t="str">
        <f t="shared" si="29"/>
        <v>Below Average</v>
      </c>
    </row>
    <row r="587" spans="1:13" x14ac:dyDescent="0.25">
      <c r="A587" t="str">
        <f>Data_preprocessing!M587</f>
        <v>Frank</v>
      </c>
      <c r="B587">
        <f>Data_preprocessing!O587</f>
        <v>30</v>
      </c>
      <c r="C587">
        <f>Data_preprocessing!Q587</f>
        <v>50000</v>
      </c>
      <c r="D587" t="str">
        <f>Data_preprocessing!R587</f>
        <v>Male</v>
      </c>
      <c r="E587" t="str">
        <f>Data_preprocessing!S587</f>
        <v>Marketing</v>
      </c>
      <c r="F587" t="str">
        <f>Data_preprocessing!T587</f>
        <v>Clerk</v>
      </c>
      <c r="G587" s="2">
        <f>Data_preprocessing!U587</f>
        <v>43195</v>
      </c>
      <c r="H587" t="str">
        <f>Data_preprocessing!V587</f>
        <v>F</v>
      </c>
      <c r="I587" t="str">
        <f>Data_preprocessing!Y587</f>
        <v>Email not provided</v>
      </c>
      <c r="J587" t="str">
        <f>Data_preprocessing!Z587</f>
        <v>Phone not provided</v>
      </c>
      <c r="K587">
        <f t="shared" ca="1" si="27"/>
        <v>7</v>
      </c>
      <c r="L587" t="str">
        <f t="shared" si="28"/>
        <v>Low</v>
      </c>
      <c r="M587" t="str">
        <f t="shared" si="29"/>
        <v>Poor</v>
      </c>
    </row>
    <row r="588" spans="1:13" x14ac:dyDescent="0.25">
      <c r="A588" t="str">
        <f>Data_preprocessing!M588</f>
        <v>Jack</v>
      </c>
      <c r="B588">
        <f>Data_preprocessing!O588</f>
        <v>35</v>
      </c>
      <c r="C588">
        <f>Data_preprocessing!Q588</f>
        <v>55000</v>
      </c>
      <c r="D588" t="str">
        <f>Data_preprocessing!R588</f>
        <v>Other</v>
      </c>
      <c r="E588" t="str">
        <f>Data_preprocessing!S588</f>
        <v>Finance</v>
      </c>
      <c r="F588" t="str">
        <f>Data_preprocessing!T588</f>
        <v>Analyst</v>
      </c>
      <c r="G588" s="2">
        <f>Data_preprocessing!U588</f>
        <v>43881</v>
      </c>
      <c r="H588" t="str">
        <f>Data_preprocessing!V588</f>
        <v>D</v>
      </c>
      <c r="I588" t="str">
        <f>Data_preprocessing!Y588</f>
        <v>name@company.org</v>
      </c>
      <c r="J588" t="str">
        <f>Data_preprocessing!Z588</f>
        <v>098-765-4321</v>
      </c>
      <c r="K588">
        <f t="shared" ca="1" si="27"/>
        <v>5</v>
      </c>
      <c r="L588" t="str">
        <f t="shared" si="28"/>
        <v>Low</v>
      </c>
      <c r="M588" t="str">
        <f t="shared" si="29"/>
        <v>Below Average</v>
      </c>
    </row>
    <row r="589" spans="1:13" x14ac:dyDescent="0.25">
      <c r="A589" t="str">
        <f>Data_preprocessing!M589</f>
        <v>Eve</v>
      </c>
      <c r="B589">
        <f>Data_preprocessing!O589</f>
        <v>35</v>
      </c>
      <c r="C589">
        <f>Data_preprocessing!Q589</f>
        <v>50000</v>
      </c>
      <c r="D589" t="str">
        <f>Data_preprocessing!R589</f>
        <v>Other</v>
      </c>
      <c r="E589" t="str">
        <f>Data_preprocessing!S589</f>
        <v>Finance</v>
      </c>
      <c r="F589" t="str">
        <f>Data_preprocessing!T589</f>
        <v>Clerk</v>
      </c>
      <c r="G589" s="2">
        <f>Data_preprocessing!U589</f>
        <v>43800</v>
      </c>
      <c r="H589" t="str">
        <f>Data_preprocessing!V589</f>
        <v>D</v>
      </c>
      <c r="I589" t="str">
        <f>Data_preprocessing!Y589</f>
        <v>name@company.org</v>
      </c>
      <c r="J589" t="str">
        <f>Data_preprocessing!Z589</f>
        <v>Phone not provided</v>
      </c>
      <c r="K589">
        <f t="shared" ca="1" si="27"/>
        <v>6</v>
      </c>
      <c r="L589" t="str">
        <f t="shared" si="28"/>
        <v>Low</v>
      </c>
      <c r="M589" t="str">
        <f t="shared" si="29"/>
        <v>Below Average</v>
      </c>
    </row>
    <row r="590" spans="1:13" x14ac:dyDescent="0.25">
      <c r="A590" t="str">
        <f>Data_preprocessing!M590</f>
        <v>Frank</v>
      </c>
      <c r="B590">
        <f>Data_preprocessing!O590</f>
        <v>50</v>
      </c>
      <c r="C590">
        <f>Data_preprocessing!Q590</f>
        <v>50000</v>
      </c>
      <c r="D590" t="str">
        <f>Data_preprocessing!R590</f>
        <v>Male</v>
      </c>
      <c r="E590" t="str">
        <f>Data_preprocessing!S590</f>
        <v>Marketing</v>
      </c>
      <c r="F590" t="str">
        <f>Data_preprocessing!T590</f>
        <v>Manager</v>
      </c>
      <c r="G590" s="2">
        <f>Data_preprocessing!U590</f>
        <v>43845</v>
      </c>
      <c r="H590" t="str">
        <f>Data_preprocessing!V590</f>
        <v>A</v>
      </c>
      <c r="I590" t="str">
        <f>Data_preprocessing!Y590</f>
        <v>name@company.org</v>
      </c>
      <c r="J590" t="str">
        <f>Data_preprocessing!Z590</f>
        <v>Phone not provided</v>
      </c>
      <c r="K590">
        <f t="shared" ca="1" si="27"/>
        <v>6</v>
      </c>
      <c r="L590" t="str">
        <f t="shared" si="28"/>
        <v>Low</v>
      </c>
      <c r="M590" t="str">
        <f t="shared" si="29"/>
        <v>Excellent</v>
      </c>
    </row>
    <row r="591" spans="1:13" x14ac:dyDescent="0.25">
      <c r="A591" t="str">
        <f>Data_preprocessing!M591</f>
        <v>Eve</v>
      </c>
      <c r="B591">
        <f>Data_preprocessing!O591</f>
        <v>40</v>
      </c>
      <c r="C591">
        <f>Data_preprocessing!Q591</f>
        <v>60000</v>
      </c>
      <c r="D591" t="str">
        <f>Data_preprocessing!R591</f>
        <v>Male</v>
      </c>
      <c r="E591" t="str">
        <f>Data_preprocessing!S591</f>
        <v>Finance</v>
      </c>
      <c r="F591" t="str">
        <f>Data_preprocessing!T591</f>
        <v>Analyst</v>
      </c>
      <c r="G591" s="2">
        <f>Data_preprocessing!U591</f>
        <v>43195</v>
      </c>
      <c r="H591" t="str">
        <f>Data_preprocessing!V591</f>
        <v>A</v>
      </c>
      <c r="I591" t="str">
        <f>Data_preprocessing!Y591</f>
        <v>email@example.com</v>
      </c>
      <c r="J591" t="str">
        <f>Data_preprocessing!Z591</f>
        <v>123-456-7890</v>
      </c>
      <c r="K591">
        <f t="shared" ca="1" si="27"/>
        <v>7</v>
      </c>
      <c r="L591" t="str">
        <f t="shared" si="28"/>
        <v>Medium</v>
      </c>
      <c r="M591" t="str">
        <f t="shared" si="29"/>
        <v>Excellent</v>
      </c>
    </row>
    <row r="592" spans="1:13" x14ac:dyDescent="0.25">
      <c r="A592" t="str">
        <f>Data_preprocessing!M592</f>
        <v>Eve</v>
      </c>
      <c r="B592">
        <f>Data_preprocessing!O592</f>
        <v>40</v>
      </c>
      <c r="C592">
        <f>Data_preprocessing!Q592</f>
        <v>60000</v>
      </c>
      <c r="D592" t="str">
        <f>Data_preprocessing!R592</f>
        <v>Male</v>
      </c>
      <c r="E592" t="str">
        <f>Data_preprocessing!S592</f>
        <v>Sales</v>
      </c>
      <c r="F592" t="str">
        <f>Data_preprocessing!T592</f>
        <v>Manager</v>
      </c>
      <c r="G592" s="2">
        <f>Data_preprocessing!U592</f>
        <v>43881</v>
      </c>
      <c r="H592" t="str">
        <f>Data_preprocessing!V592</f>
        <v>A</v>
      </c>
      <c r="I592" t="str">
        <f>Data_preprocessing!Y592</f>
        <v>Email not provided</v>
      </c>
      <c r="J592" t="str">
        <f>Data_preprocessing!Z592</f>
        <v>555-555-5555</v>
      </c>
      <c r="K592">
        <f t="shared" ca="1" si="27"/>
        <v>5</v>
      </c>
      <c r="L592" t="str">
        <f t="shared" si="28"/>
        <v>Medium</v>
      </c>
      <c r="M592" t="str">
        <f t="shared" si="29"/>
        <v>Excellent</v>
      </c>
    </row>
    <row r="593" spans="1:13" x14ac:dyDescent="0.25">
      <c r="A593" t="str">
        <f>Data_preprocessing!M593</f>
        <v>David</v>
      </c>
      <c r="B593">
        <f>Data_preprocessing!O593</f>
        <v>50</v>
      </c>
      <c r="C593">
        <f>Data_preprocessing!Q593</f>
        <v>65000</v>
      </c>
      <c r="D593" t="str">
        <f>Data_preprocessing!R593</f>
        <v>Male</v>
      </c>
      <c r="E593" t="str">
        <f>Data_preprocessing!S593</f>
        <v>HR</v>
      </c>
      <c r="F593" t="str">
        <f>Data_preprocessing!T593</f>
        <v>Analyst</v>
      </c>
      <c r="G593" s="2">
        <f>Data_preprocessing!U593</f>
        <v>43845</v>
      </c>
      <c r="H593" t="str">
        <f>Data_preprocessing!V593</f>
        <v>C</v>
      </c>
      <c r="I593" t="str">
        <f>Data_preprocessing!Y593</f>
        <v>user@domain.com</v>
      </c>
      <c r="J593" t="str">
        <f>Data_preprocessing!Z593</f>
        <v>555-555-5555</v>
      </c>
      <c r="K593">
        <f t="shared" ca="1" si="27"/>
        <v>6</v>
      </c>
      <c r="L593" t="str">
        <f t="shared" si="28"/>
        <v>High</v>
      </c>
      <c r="M593" t="str">
        <f t="shared" si="29"/>
        <v>Average</v>
      </c>
    </row>
    <row r="594" spans="1:13" x14ac:dyDescent="0.25">
      <c r="A594" t="str">
        <f>Data_preprocessing!M594</f>
        <v>Charlie</v>
      </c>
      <c r="B594">
        <f>Data_preprocessing!O594</f>
        <v>35</v>
      </c>
      <c r="C594">
        <f>Data_preprocessing!Q594</f>
        <v>55000</v>
      </c>
      <c r="D594" t="str">
        <f>Data_preprocessing!R594</f>
        <v>Male</v>
      </c>
      <c r="E594" t="str">
        <f>Data_preprocessing!S594</f>
        <v>HR</v>
      </c>
      <c r="F594" t="str">
        <f>Data_preprocessing!T594</f>
        <v>Assistant</v>
      </c>
      <c r="G594" s="2">
        <f>Data_preprocessing!U594</f>
        <v>43549</v>
      </c>
      <c r="H594" t="str">
        <f>Data_preprocessing!V594</f>
        <v>A</v>
      </c>
      <c r="I594" t="str">
        <f>Data_preprocessing!Y594</f>
        <v>name@company.org</v>
      </c>
      <c r="J594" t="str">
        <f>Data_preprocessing!Z594</f>
        <v>123-456-7890</v>
      </c>
      <c r="K594">
        <f t="shared" ca="1" si="27"/>
        <v>6</v>
      </c>
      <c r="L594" t="str">
        <f t="shared" si="28"/>
        <v>Low</v>
      </c>
      <c r="M594" t="str">
        <f t="shared" si="29"/>
        <v>Excellent</v>
      </c>
    </row>
    <row r="595" spans="1:13" x14ac:dyDescent="0.25">
      <c r="A595" t="str">
        <f>Data_preprocessing!M595</f>
        <v>Charlie</v>
      </c>
      <c r="B595">
        <f>Data_preprocessing!O595</f>
        <v>35</v>
      </c>
      <c r="C595">
        <f>Data_preprocessing!Q595</f>
        <v>50000</v>
      </c>
      <c r="D595" t="str">
        <f>Data_preprocessing!R595</f>
        <v>Male</v>
      </c>
      <c r="E595" t="str">
        <f>Data_preprocessing!S595</f>
        <v>HR</v>
      </c>
      <c r="F595" t="str">
        <f>Data_preprocessing!T595</f>
        <v>Assistant</v>
      </c>
      <c r="G595" s="2">
        <f>Data_preprocessing!U595</f>
        <v>43881</v>
      </c>
      <c r="H595" t="str">
        <f>Data_preprocessing!V595</f>
        <v>F</v>
      </c>
      <c r="I595" t="str">
        <f>Data_preprocessing!Y595</f>
        <v>name@company.org</v>
      </c>
      <c r="J595" t="str">
        <f>Data_preprocessing!Z595</f>
        <v>Phone not provided</v>
      </c>
      <c r="K595">
        <f t="shared" ca="1" si="27"/>
        <v>5</v>
      </c>
      <c r="L595" t="str">
        <f t="shared" si="28"/>
        <v>Low</v>
      </c>
      <c r="M595" t="str">
        <f t="shared" si="29"/>
        <v>Poor</v>
      </c>
    </row>
    <row r="596" spans="1:13" x14ac:dyDescent="0.25">
      <c r="A596" t="str">
        <f>Data_preprocessing!M596</f>
        <v>David</v>
      </c>
      <c r="B596">
        <f>Data_preprocessing!O596</f>
        <v>35</v>
      </c>
      <c r="C596">
        <f>Data_preprocessing!Q596</f>
        <v>55000</v>
      </c>
      <c r="D596" t="str">
        <f>Data_preprocessing!R596</f>
        <v>Other</v>
      </c>
      <c r="E596" t="str">
        <f>Data_preprocessing!S596</f>
        <v>Finance</v>
      </c>
      <c r="F596" t="str">
        <f>Data_preprocessing!T596</f>
        <v>Assistant</v>
      </c>
      <c r="G596" s="2">
        <f>Data_preprocessing!U596</f>
        <v>43845</v>
      </c>
      <c r="H596" t="str">
        <f>Data_preprocessing!V596</f>
        <v>D</v>
      </c>
      <c r="I596" t="str">
        <f>Data_preprocessing!Y596</f>
        <v>email@example.com</v>
      </c>
      <c r="J596" t="str">
        <f>Data_preprocessing!Z596</f>
        <v>Phone not provided</v>
      </c>
      <c r="K596">
        <f t="shared" ca="1" si="27"/>
        <v>6</v>
      </c>
      <c r="L596" t="str">
        <f t="shared" si="28"/>
        <v>Low</v>
      </c>
      <c r="M596" t="str">
        <f t="shared" si="29"/>
        <v>Below Average</v>
      </c>
    </row>
    <row r="597" spans="1:13" x14ac:dyDescent="0.25">
      <c r="A597" t="str">
        <f>Data_preprocessing!M597</f>
        <v>Ivy</v>
      </c>
      <c r="B597">
        <f>Data_preprocessing!O597</f>
        <v>30</v>
      </c>
      <c r="C597">
        <f>Data_preprocessing!Q597</f>
        <v>60000</v>
      </c>
      <c r="D597" t="str">
        <f>Data_preprocessing!R597</f>
        <v>Other</v>
      </c>
      <c r="E597" t="str">
        <f>Data_preprocessing!S597</f>
        <v>Finance</v>
      </c>
      <c r="F597" t="str">
        <f>Data_preprocessing!T597</f>
        <v>Manager</v>
      </c>
      <c r="G597" s="2">
        <f>Data_preprocessing!U597</f>
        <v>43800</v>
      </c>
      <c r="H597" t="str">
        <f>Data_preprocessing!V597</f>
        <v>F</v>
      </c>
      <c r="I597" t="str">
        <f>Data_preprocessing!Y597</f>
        <v>user@domain.com</v>
      </c>
      <c r="J597" t="str">
        <f>Data_preprocessing!Z597</f>
        <v>555-555-5555</v>
      </c>
      <c r="K597">
        <f t="shared" ca="1" si="27"/>
        <v>6</v>
      </c>
      <c r="L597" t="str">
        <f t="shared" si="28"/>
        <v>Medium</v>
      </c>
      <c r="M597" t="str">
        <f t="shared" si="29"/>
        <v>Poor</v>
      </c>
    </row>
    <row r="598" spans="1:13" x14ac:dyDescent="0.25">
      <c r="A598" t="str">
        <f>Data_preprocessing!M598</f>
        <v>Bob</v>
      </c>
      <c r="B598">
        <f>Data_preprocessing!O598</f>
        <v>35</v>
      </c>
      <c r="C598">
        <f>Data_preprocessing!Q598</f>
        <v>65000</v>
      </c>
      <c r="D598" t="str">
        <f>Data_preprocessing!R598</f>
        <v>Female</v>
      </c>
      <c r="E598" t="str">
        <f>Data_preprocessing!S598</f>
        <v>IT</v>
      </c>
      <c r="F598" t="str">
        <f>Data_preprocessing!T598</f>
        <v>Director</v>
      </c>
      <c r="G598" s="2">
        <f>Data_preprocessing!U598</f>
        <v>43549</v>
      </c>
      <c r="H598" t="str">
        <f>Data_preprocessing!V598</f>
        <v>A</v>
      </c>
      <c r="I598" t="str">
        <f>Data_preprocessing!Y598</f>
        <v>Email not provided</v>
      </c>
      <c r="J598" t="str">
        <f>Data_preprocessing!Z598</f>
        <v>098-765-4321</v>
      </c>
      <c r="K598">
        <f t="shared" ca="1" si="27"/>
        <v>6</v>
      </c>
      <c r="L598" t="str">
        <f t="shared" si="28"/>
        <v>High</v>
      </c>
      <c r="M598" t="str">
        <f t="shared" si="29"/>
        <v>Excellent</v>
      </c>
    </row>
    <row r="599" spans="1:13" x14ac:dyDescent="0.25">
      <c r="A599" t="str">
        <f>Data_preprocessing!M599</f>
        <v>Ivy</v>
      </c>
      <c r="B599">
        <f>Data_preprocessing!O599</f>
        <v>35</v>
      </c>
      <c r="C599">
        <f>Data_preprocessing!Q599</f>
        <v>60000</v>
      </c>
      <c r="D599" t="str">
        <f>Data_preprocessing!R599</f>
        <v>Other</v>
      </c>
      <c r="E599" t="str">
        <f>Data_preprocessing!S599</f>
        <v>IT</v>
      </c>
      <c r="F599" t="str">
        <f>Data_preprocessing!T599</f>
        <v>Analyst</v>
      </c>
      <c r="G599" s="2">
        <f>Data_preprocessing!U599</f>
        <v>43800</v>
      </c>
      <c r="H599" t="str">
        <f>Data_preprocessing!V599</f>
        <v>C</v>
      </c>
      <c r="I599" t="str">
        <f>Data_preprocessing!Y599</f>
        <v>Email not provided</v>
      </c>
      <c r="J599" t="str">
        <f>Data_preprocessing!Z599</f>
        <v>Phone not provided</v>
      </c>
      <c r="K599">
        <f t="shared" ca="1" si="27"/>
        <v>6</v>
      </c>
      <c r="L599" t="str">
        <f t="shared" si="28"/>
        <v>Medium</v>
      </c>
      <c r="M599" t="str">
        <f t="shared" si="29"/>
        <v>Average</v>
      </c>
    </row>
    <row r="600" spans="1:13" x14ac:dyDescent="0.25">
      <c r="A600" t="str">
        <f>Data_preprocessing!M600</f>
        <v>Alice</v>
      </c>
      <c r="B600">
        <f>Data_preprocessing!O600</f>
        <v>25</v>
      </c>
      <c r="C600">
        <f>Data_preprocessing!Q600</f>
        <v>65000</v>
      </c>
      <c r="D600" t="str">
        <f>Data_preprocessing!R600</f>
        <v>Other</v>
      </c>
      <c r="E600" t="str">
        <f>Data_preprocessing!S600</f>
        <v>HR</v>
      </c>
      <c r="F600" t="str">
        <f>Data_preprocessing!T600</f>
        <v>Assistant</v>
      </c>
      <c r="G600" s="2">
        <f>Data_preprocessing!U600</f>
        <v>43845</v>
      </c>
      <c r="H600" t="str">
        <f>Data_preprocessing!V600</f>
        <v>C</v>
      </c>
      <c r="I600" t="str">
        <f>Data_preprocessing!Y600</f>
        <v>email@example.com</v>
      </c>
      <c r="J600" t="str">
        <f>Data_preprocessing!Z600</f>
        <v>098-765-4321</v>
      </c>
      <c r="K600">
        <f t="shared" ca="1" si="27"/>
        <v>6</v>
      </c>
      <c r="L600" t="str">
        <f t="shared" si="28"/>
        <v>High</v>
      </c>
      <c r="M600" t="str">
        <f t="shared" si="29"/>
        <v>Average</v>
      </c>
    </row>
    <row r="601" spans="1:13" x14ac:dyDescent="0.25">
      <c r="A601" t="str">
        <f>Data_preprocessing!M601</f>
        <v>Alice</v>
      </c>
      <c r="B601">
        <f>Data_preprocessing!O601</f>
        <v>35</v>
      </c>
      <c r="C601">
        <f>Data_preprocessing!Q601</f>
        <v>70000</v>
      </c>
      <c r="D601" t="str">
        <f>Data_preprocessing!R601</f>
        <v>Male</v>
      </c>
      <c r="E601" t="str">
        <f>Data_preprocessing!S601</f>
        <v>Sales</v>
      </c>
      <c r="F601" t="str">
        <f>Data_preprocessing!T601</f>
        <v>Analyst</v>
      </c>
      <c r="G601" s="2">
        <f>Data_preprocessing!U601</f>
        <v>43800</v>
      </c>
      <c r="H601" t="str">
        <f>Data_preprocessing!V601</f>
        <v>D</v>
      </c>
      <c r="I601" t="str">
        <f>Data_preprocessing!Y601</f>
        <v>Email not provided</v>
      </c>
      <c r="J601" t="str">
        <f>Data_preprocessing!Z601</f>
        <v>Phone not provided</v>
      </c>
      <c r="K601">
        <f t="shared" ca="1" si="27"/>
        <v>6</v>
      </c>
      <c r="L601" t="str">
        <f t="shared" si="28"/>
        <v>High</v>
      </c>
      <c r="M601" t="str">
        <f t="shared" si="29"/>
        <v>Below Average</v>
      </c>
    </row>
    <row r="602" spans="1:13" x14ac:dyDescent="0.25">
      <c r="A602" t="str">
        <f>Data_preprocessing!M602</f>
        <v>Eve</v>
      </c>
      <c r="B602">
        <f>Data_preprocessing!O602</f>
        <v>50</v>
      </c>
      <c r="C602">
        <f>Data_preprocessing!Q602</f>
        <v>65000</v>
      </c>
      <c r="D602" t="str">
        <f>Data_preprocessing!R602</f>
        <v>Male</v>
      </c>
      <c r="E602" t="str">
        <f>Data_preprocessing!S602</f>
        <v>IT</v>
      </c>
      <c r="F602" t="str">
        <f>Data_preprocessing!T602</f>
        <v>Manager</v>
      </c>
      <c r="G602" s="2">
        <f>Data_preprocessing!U602</f>
        <v>43845</v>
      </c>
      <c r="H602" t="str">
        <f>Data_preprocessing!V602</f>
        <v>F</v>
      </c>
      <c r="I602" t="str">
        <f>Data_preprocessing!Y602</f>
        <v>Email not provided</v>
      </c>
      <c r="J602" t="str">
        <f>Data_preprocessing!Z602</f>
        <v>098-765-4321</v>
      </c>
      <c r="K602">
        <f t="shared" ca="1" si="27"/>
        <v>6</v>
      </c>
      <c r="L602" t="str">
        <f t="shared" si="28"/>
        <v>High</v>
      </c>
      <c r="M602" t="str">
        <f t="shared" si="29"/>
        <v>Poor</v>
      </c>
    </row>
    <row r="603" spans="1:13" x14ac:dyDescent="0.25">
      <c r="A603" t="str">
        <f>Data_preprocessing!M603</f>
        <v>Frank</v>
      </c>
      <c r="B603">
        <f>Data_preprocessing!O603</f>
        <v>25</v>
      </c>
      <c r="C603">
        <f>Data_preprocessing!Q603</f>
        <v>60000</v>
      </c>
      <c r="D603" t="str">
        <f>Data_preprocessing!R603</f>
        <v>Other</v>
      </c>
      <c r="E603" t="str">
        <f>Data_preprocessing!S603</f>
        <v>IT</v>
      </c>
      <c r="F603" t="str">
        <f>Data_preprocessing!T603</f>
        <v>Director</v>
      </c>
      <c r="G603" s="2">
        <f>Data_preprocessing!U603</f>
        <v>43845</v>
      </c>
      <c r="H603" t="str">
        <f>Data_preprocessing!V603</f>
        <v>B</v>
      </c>
      <c r="I603" t="str">
        <f>Data_preprocessing!Y603</f>
        <v>name@company.org</v>
      </c>
      <c r="J603" t="str">
        <f>Data_preprocessing!Z603</f>
        <v>Phone not provided</v>
      </c>
      <c r="K603">
        <f t="shared" ca="1" si="27"/>
        <v>6</v>
      </c>
      <c r="L603" t="str">
        <f t="shared" si="28"/>
        <v>Medium</v>
      </c>
      <c r="M603" t="str">
        <f t="shared" si="29"/>
        <v>Good</v>
      </c>
    </row>
    <row r="604" spans="1:13" x14ac:dyDescent="0.25">
      <c r="A604" t="str">
        <f>Data_preprocessing!M604</f>
        <v>Frank</v>
      </c>
      <c r="B604">
        <f>Data_preprocessing!O604</f>
        <v>30</v>
      </c>
      <c r="C604">
        <f>Data_preprocessing!Q604</f>
        <v>60000</v>
      </c>
      <c r="D604" t="str">
        <f>Data_preprocessing!R604</f>
        <v>Female</v>
      </c>
      <c r="E604" t="str">
        <f>Data_preprocessing!S604</f>
        <v>Finance</v>
      </c>
      <c r="F604" t="str">
        <f>Data_preprocessing!T604</f>
        <v>Manager</v>
      </c>
      <c r="G604" s="2">
        <f>Data_preprocessing!U604</f>
        <v>43800</v>
      </c>
      <c r="H604" t="str">
        <f>Data_preprocessing!V604</f>
        <v>F</v>
      </c>
      <c r="I604" t="str">
        <f>Data_preprocessing!Y604</f>
        <v>name@company.org</v>
      </c>
      <c r="J604" t="str">
        <f>Data_preprocessing!Z604</f>
        <v>098-765-4321</v>
      </c>
      <c r="K604">
        <f t="shared" ca="1" si="27"/>
        <v>6</v>
      </c>
      <c r="L604" t="str">
        <f t="shared" si="28"/>
        <v>Medium</v>
      </c>
      <c r="M604" t="str">
        <f t="shared" si="29"/>
        <v>Poor</v>
      </c>
    </row>
    <row r="605" spans="1:13" x14ac:dyDescent="0.25">
      <c r="A605" t="str">
        <f>Data_preprocessing!M605</f>
        <v>Charlie</v>
      </c>
      <c r="B605">
        <f>Data_preprocessing!O605</f>
        <v>50</v>
      </c>
      <c r="C605">
        <f>Data_preprocessing!Q605</f>
        <v>50000</v>
      </c>
      <c r="D605" t="str">
        <f>Data_preprocessing!R605</f>
        <v>Male</v>
      </c>
      <c r="E605" t="str">
        <f>Data_preprocessing!S605</f>
        <v>Sales</v>
      </c>
      <c r="F605" t="str">
        <f>Data_preprocessing!T605</f>
        <v>Analyst</v>
      </c>
      <c r="G605" s="2">
        <f>Data_preprocessing!U605</f>
        <v>43845</v>
      </c>
      <c r="H605" t="str">
        <f>Data_preprocessing!V605</f>
        <v>A</v>
      </c>
      <c r="I605" t="str">
        <f>Data_preprocessing!Y605</f>
        <v>user@domain.com</v>
      </c>
      <c r="J605" t="str">
        <f>Data_preprocessing!Z605</f>
        <v>098-765-4321</v>
      </c>
      <c r="K605">
        <f t="shared" ca="1" si="27"/>
        <v>6</v>
      </c>
      <c r="L605" t="str">
        <f t="shared" si="28"/>
        <v>Low</v>
      </c>
      <c r="M605" t="str">
        <f t="shared" si="29"/>
        <v>Excellent</v>
      </c>
    </row>
    <row r="606" spans="1:13" x14ac:dyDescent="0.25">
      <c r="A606" t="str">
        <f>Data_preprocessing!M606</f>
        <v>Grace</v>
      </c>
      <c r="B606">
        <f>Data_preprocessing!O606</f>
        <v>25</v>
      </c>
      <c r="C606">
        <f>Data_preprocessing!Q606</f>
        <v>70000</v>
      </c>
      <c r="D606" t="str">
        <f>Data_preprocessing!R606</f>
        <v>Other</v>
      </c>
      <c r="E606" t="str">
        <f>Data_preprocessing!S606</f>
        <v>HR</v>
      </c>
      <c r="F606" t="str">
        <f>Data_preprocessing!T606</f>
        <v>Director</v>
      </c>
      <c r="G606" s="2">
        <f>Data_preprocessing!U606</f>
        <v>43881</v>
      </c>
      <c r="H606" t="str">
        <f>Data_preprocessing!V606</f>
        <v>B</v>
      </c>
      <c r="I606" t="str">
        <f>Data_preprocessing!Y606</f>
        <v>Email not provided</v>
      </c>
      <c r="J606" t="str">
        <f>Data_preprocessing!Z606</f>
        <v>098-765-4321</v>
      </c>
      <c r="K606">
        <f t="shared" ca="1" si="27"/>
        <v>5</v>
      </c>
      <c r="L606" t="str">
        <f t="shared" si="28"/>
        <v>High</v>
      </c>
      <c r="M606" t="str">
        <f t="shared" si="29"/>
        <v>Good</v>
      </c>
    </row>
    <row r="607" spans="1:13" x14ac:dyDescent="0.25">
      <c r="A607" t="str">
        <f>Data_preprocessing!M607</f>
        <v>Ivy</v>
      </c>
      <c r="B607">
        <f>Data_preprocessing!O607</f>
        <v>50</v>
      </c>
      <c r="C607">
        <f>Data_preprocessing!Q607</f>
        <v>60000</v>
      </c>
      <c r="D607" t="str">
        <f>Data_preprocessing!R607</f>
        <v>Other</v>
      </c>
      <c r="E607" t="str">
        <f>Data_preprocessing!S607</f>
        <v>IT</v>
      </c>
      <c r="F607" t="str">
        <f>Data_preprocessing!T607</f>
        <v>Director</v>
      </c>
      <c r="G607" s="2">
        <f>Data_preprocessing!U607</f>
        <v>43845</v>
      </c>
      <c r="H607" t="str">
        <f>Data_preprocessing!V607</f>
        <v>C</v>
      </c>
      <c r="I607" t="str">
        <f>Data_preprocessing!Y607</f>
        <v>name@company.org</v>
      </c>
      <c r="J607" t="str">
        <f>Data_preprocessing!Z607</f>
        <v>098-765-4321</v>
      </c>
      <c r="K607">
        <f t="shared" ca="1" si="27"/>
        <v>6</v>
      </c>
      <c r="L607" t="str">
        <f t="shared" si="28"/>
        <v>Medium</v>
      </c>
      <c r="M607" t="str">
        <f t="shared" si="29"/>
        <v>Average</v>
      </c>
    </row>
    <row r="608" spans="1:13" x14ac:dyDescent="0.25">
      <c r="A608" t="str">
        <f>Data_preprocessing!M608</f>
        <v>Jack</v>
      </c>
      <c r="B608">
        <f>Data_preprocessing!O608</f>
        <v>30</v>
      </c>
      <c r="C608">
        <f>Data_preprocessing!Q608</f>
        <v>55000</v>
      </c>
      <c r="D608" t="str">
        <f>Data_preprocessing!R608</f>
        <v>Female</v>
      </c>
      <c r="E608" t="str">
        <f>Data_preprocessing!S608</f>
        <v>Sales</v>
      </c>
      <c r="F608" t="str">
        <f>Data_preprocessing!T608</f>
        <v>Manager</v>
      </c>
      <c r="G608" s="2">
        <f>Data_preprocessing!U608</f>
        <v>43195</v>
      </c>
      <c r="H608" t="str">
        <f>Data_preprocessing!V608</f>
        <v>D</v>
      </c>
      <c r="I608" t="str">
        <f>Data_preprocessing!Y608</f>
        <v>name@company.org</v>
      </c>
      <c r="J608" t="str">
        <f>Data_preprocessing!Z608</f>
        <v>123-456-7890</v>
      </c>
      <c r="K608">
        <f t="shared" ca="1" si="27"/>
        <v>7</v>
      </c>
      <c r="L608" t="str">
        <f t="shared" si="28"/>
        <v>Low</v>
      </c>
      <c r="M608" t="str">
        <f t="shared" si="29"/>
        <v>Below Average</v>
      </c>
    </row>
    <row r="609" spans="1:13" x14ac:dyDescent="0.25">
      <c r="A609" t="str">
        <f>Data_preprocessing!M609</f>
        <v>Hannah</v>
      </c>
      <c r="B609">
        <f>Data_preprocessing!O609</f>
        <v>35</v>
      </c>
      <c r="C609">
        <f>Data_preprocessing!Q609</f>
        <v>60000</v>
      </c>
      <c r="D609" t="str">
        <f>Data_preprocessing!R609</f>
        <v>Female</v>
      </c>
      <c r="E609" t="str">
        <f>Data_preprocessing!S609</f>
        <v>Sales</v>
      </c>
      <c r="F609" t="str">
        <f>Data_preprocessing!T609</f>
        <v>Assistant</v>
      </c>
      <c r="G609" s="2">
        <f>Data_preprocessing!U609</f>
        <v>43845</v>
      </c>
      <c r="H609" t="str">
        <f>Data_preprocessing!V609</f>
        <v>D</v>
      </c>
      <c r="I609" t="str">
        <f>Data_preprocessing!Y609</f>
        <v>user@domain.com</v>
      </c>
      <c r="J609" t="str">
        <f>Data_preprocessing!Z609</f>
        <v>Phone not provided</v>
      </c>
      <c r="K609">
        <f t="shared" ca="1" si="27"/>
        <v>6</v>
      </c>
      <c r="L609" t="str">
        <f t="shared" si="28"/>
        <v>Medium</v>
      </c>
      <c r="M609" t="str">
        <f t="shared" si="29"/>
        <v>Below Average</v>
      </c>
    </row>
    <row r="610" spans="1:13" x14ac:dyDescent="0.25">
      <c r="A610" t="str">
        <f>Data_preprocessing!M610</f>
        <v>Frank</v>
      </c>
      <c r="B610">
        <f>Data_preprocessing!O610</f>
        <v>30</v>
      </c>
      <c r="C610">
        <f>Data_preprocessing!Q610</f>
        <v>50000</v>
      </c>
      <c r="D610" t="str">
        <f>Data_preprocessing!R610</f>
        <v>Male</v>
      </c>
      <c r="E610" t="str">
        <f>Data_preprocessing!S610</f>
        <v>HR</v>
      </c>
      <c r="F610" t="str">
        <f>Data_preprocessing!T610</f>
        <v>Analyst</v>
      </c>
      <c r="G610" s="2">
        <f>Data_preprocessing!U610</f>
        <v>43195</v>
      </c>
      <c r="H610" t="str">
        <f>Data_preprocessing!V610</f>
        <v>C</v>
      </c>
      <c r="I610" t="str">
        <f>Data_preprocessing!Y610</f>
        <v>Email not provided</v>
      </c>
      <c r="J610" t="str">
        <f>Data_preprocessing!Z610</f>
        <v>Phone not provided</v>
      </c>
      <c r="K610">
        <f t="shared" ca="1" si="27"/>
        <v>7</v>
      </c>
      <c r="L610" t="str">
        <f t="shared" si="28"/>
        <v>Low</v>
      </c>
      <c r="M610" t="str">
        <f t="shared" si="29"/>
        <v>Average</v>
      </c>
    </row>
    <row r="611" spans="1:13" x14ac:dyDescent="0.25">
      <c r="A611" t="str">
        <f>Data_preprocessing!M611</f>
        <v>Hannah</v>
      </c>
      <c r="B611">
        <f>Data_preprocessing!O611</f>
        <v>30</v>
      </c>
      <c r="C611">
        <f>Data_preprocessing!Q611</f>
        <v>65000</v>
      </c>
      <c r="D611" t="str">
        <f>Data_preprocessing!R611</f>
        <v>Female</v>
      </c>
      <c r="E611" t="str">
        <f>Data_preprocessing!S611</f>
        <v>Sales</v>
      </c>
      <c r="F611" t="str">
        <f>Data_preprocessing!T611</f>
        <v>Clerk</v>
      </c>
      <c r="G611" s="2">
        <f>Data_preprocessing!U611</f>
        <v>43845</v>
      </c>
      <c r="H611" t="str">
        <f>Data_preprocessing!V611</f>
        <v>A</v>
      </c>
      <c r="I611" t="str">
        <f>Data_preprocessing!Y611</f>
        <v>name@company.org</v>
      </c>
      <c r="J611" t="str">
        <f>Data_preprocessing!Z611</f>
        <v>Phone not provided</v>
      </c>
      <c r="K611">
        <f t="shared" ca="1" si="27"/>
        <v>6</v>
      </c>
      <c r="L611" t="str">
        <f t="shared" si="28"/>
        <v>High</v>
      </c>
      <c r="M611" t="str">
        <f t="shared" si="29"/>
        <v>Excellent</v>
      </c>
    </row>
    <row r="612" spans="1:13" x14ac:dyDescent="0.25">
      <c r="A612" t="str">
        <f>Data_preprocessing!M612</f>
        <v>Eve</v>
      </c>
      <c r="B612">
        <f>Data_preprocessing!O612</f>
        <v>50</v>
      </c>
      <c r="C612">
        <f>Data_preprocessing!Q612</f>
        <v>50000</v>
      </c>
      <c r="D612" t="str">
        <f>Data_preprocessing!R612</f>
        <v>Other</v>
      </c>
      <c r="E612" t="str">
        <f>Data_preprocessing!S612</f>
        <v>Sales</v>
      </c>
      <c r="F612" t="str">
        <f>Data_preprocessing!T612</f>
        <v>Clerk</v>
      </c>
      <c r="G612" s="2">
        <f>Data_preprocessing!U612</f>
        <v>43845</v>
      </c>
      <c r="H612" t="str">
        <f>Data_preprocessing!V612</f>
        <v>C</v>
      </c>
      <c r="I612" t="str">
        <f>Data_preprocessing!Y612</f>
        <v>email@example.com</v>
      </c>
      <c r="J612" t="str">
        <f>Data_preprocessing!Z612</f>
        <v>123-456-7890</v>
      </c>
      <c r="K612">
        <f t="shared" ca="1" si="27"/>
        <v>6</v>
      </c>
      <c r="L612" t="str">
        <f t="shared" si="28"/>
        <v>Low</v>
      </c>
      <c r="M612" t="str">
        <f t="shared" si="29"/>
        <v>Average</v>
      </c>
    </row>
    <row r="613" spans="1:13" x14ac:dyDescent="0.25">
      <c r="A613" t="str">
        <f>Data_preprocessing!M613</f>
        <v>Hannah</v>
      </c>
      <c r="B613">
        <f>Data_preprocessing!O613</f>
        <v>40</v>
      </c>
      <c r="C613">
        <f>Data_preprocessing!Q613</f>
        <v>55000</v>
      </c>
      <c r="D613" t="str">
        <f>Data_preprocessing!R613</f>
        <v>Other</v>
      </c>
      <c r="E613" t="str">
        <f>Data_preprocessing!S613</f>
        <v>Sales</v>
      </c>
      <c r="F613" t="str">
        <f>Data_preprocessing!T613</f>
        <v>Manager</v>
      </c>
      <c r="G613" s="2">
        <f>Data_preprocessing!U613</f>
        <v>43800</v>
      </c>
      <c r="H613" t="str">
        <f>Data_preprocessing!V613</f>
        <v>A</v>
      </c>
      <c r="I613" t="str">
        <f>Data_preprocessing!Y613</f>
        <v>email@example.com</v>
      </c>
      <c r="J613" t="str">
        <f>Data_preprocessing!Z613</f>
        <v>123-456-7890</v>
      </c>
      <c r="K613">
        <f t="shared" ca="1" si="27"/>
        <v>6</v>
      </c>
      <c r="L613" t="str">
        <f t="shared" si="28"/>
        <v>Low</v>
      </c>
      <c r="M613" t="str">
        <f t="shared" si="29"/>
        <v>Excellent</v>
      </c>
    </row>
    <row r="614" spans="1:13" x14ac:dyDescent="0.25">
      <c r="A614" t="str">
        <f>Data_preprocessing!M614</f>
        <v>Jack</v>
      </c>
      <c r="B614">
        <f>Data_preprocessing!O614</f>
        <v>35</v>
      </c>
      <c r="C614">
        <f>Data_preprocessing!Q614</f>
        <v>70000</v>
      </c>
      <c r="D614" t="str">
        <f>Data_preprocessing!R614</f>
        <v>Female</v>
      </c>
      <c r="E614" t="str">
        <f>Data_preprocessing!S614</f>
        <v>IT</v>
      </c>
      <c r="F614" t="str">
        <f>Data_preprocessing!T614</f>
        <v>Analyst</v>
      </c>
      <c r="G614" s="2">
        <f>Data_preprocessing!U614</f>
        <v>43881</v>
      </c>
      <c r="H614" t="str">
        <f>Data_preprocessing!V614</f>
        <v>B</v>
      </c>
      <c r="I614" t="str">
        <f>Data_preprocessing!Y614</f>
        <v>Email not provided</v>
      </c>
      <c r="J614" t="str">
        <f>Data_preprocessing!Z614</f>
        <v>123-456-7890</v>
      </c>
      <c r="K614">
        <f t="shared" ca="1" si="27"/>
        <v>5</v>
      </c>
      <c r="L614" t="str">
        <f t="shared" si="28"/>
        <v>High</v>
      </c>
      <c r="M614" t="str">
        <f t="shared" si="29"/>
        <v>Good</v>
      </c>
    </row>
    <row r="615" spans="1:13" x14ac:dyDescent="0.25">
      <c r="A615" t="str">
        <f>Data_preprocessing!M615</f>
        <v>David</v>
      </c>
      <c r="B615">
        <f>Data_preprocessing!O615</f>
        <v>35</v>
      </c>
      <c r="C615">
        <f>Data_preprocessing!Q615</f>
        <v>70000</v>
      </c>
      <c r="D615" t="str">
        <f>Data_preprocessing!R615</f>
        <v>Female</v>
      </c>
      <c r="E615" t="str">
        <f>Data_preprocessing!S615</f>
        <v>HR</v>
      </c>
      <c r="F615" t="str">
        <f>Data_preprocessing!T615</f>
        <v>Analyst</v>
      </c>
      <c r="G615" s="2">
        <f>Data_preprocessing!U615</f>
        <v>43881</v>
      </c>
      <c r="H615" t="str">
        <f>Data_preprocessing!V615</f>
        <v>C</v>
      </c>
      <c r="I615" t="str">
        <f>Data_preprocessing!Y615</f>
        <v>Email not provided</v>
      </c>
      <c r="J615" t="str">
        <f>Data_preprocessing!Z615</f>
        <v>123-456-7890</v>
      </c>
      <c r="K615">
        <f t="shared" ca="1" si="27"/>
        <v>5</v>
      </c>
      <c r="L615" t="str">
        <f t="shared" si="28"/>
        <v>High</v>
      </c>
      <c r="M615" t="str">
        <f t="shared" si="29"/>
        <v>Average</v>
      </c>
    </row>
    <row r="616" spans="1:13" x14ac:dyDescent="0.25">
      <c r="A616" t="str">
        <f>Data_preprocessing!M616</f>
        <v>Jack</v>
      </c>
      <c r="B616">
        <f>Data_preprocessing!O616</f>
        <v>35</v>
      </c>
      <c r="C616">
        <f>Data_preprocessing!Q616</f>
        <v>60000</v>
      </c>
      <c r="D616" t="str">
        <f>Data_preprocessing!R616</f>
        <v>Female</v>
      </c>
      <c r="E616" t="str">
        <f>Data_preprocessing!S616</f>
        <v>Sales</v>
      </c>
      <c r="F616" t="str">
        <f>Data_preprocessing!T616</f>
        <v>Manager</v>
      </c>
      <c r="G616" s="2">
        <f>Data_preprocessing!U616</f>
        <v>43549</v>
      </c>
      <c r="H616" t="str">
        <f>Data_preprocessing!V616</f>
        <v>A</v>
      </c>
      <c r="I616" t="str">
        <f>Data_preprocessing!Y616</f>
        <v>user@domain.com</v>
      </c>
      <c r="J616" t="str">
        <f>Data_preprocessing!Z616</f>
        <v>098-765-4321</v>
      </c>
      <c r="K616">
        <f t="shared" ca="1" si="27"/>
        <v>6</v>
      </c>
      <c r="L616" t="str">
        <f t="shared" si="28"/>
        <v>Medium</v>
      </c>
      <c r="M616" t="str">
        <f t="shared" si="29"/>
        <v>Excellent</v>
      </c>
    </row>
    <row r="617" spans="1:13" x14ac:dyDescent="0.25">
      <c r="A617" t="str">
        <f>Data_preprocessing!M617</f>
        <v>Hannah</v>
      </c>
      <c r="B617">
        <f>Data_preprocessing!O617</f>
        <v>35</v>
      </c>
      <c r="C617">
        <f>Data_preprocessing!Q617</f>
        <v>70000</v>
      </c>
      <c r="D617" t="str">
        <f>Data_preprocessing!R617</f>
        <v>Female</v>
      </c>
      <c r="E617" t="str">
        <f>Data_preprocessing!S617</f>
        <v>Sales</v>
      </c>
      <c r="F617" t="str">
        <f>Data_preprocessing!T617</f>
        <v>Analyst</v>
      </c>
      <c r="G617" s="2">
        <f>Data_preprocessing!U617</f>
        <v>43800</v>
      </c>
      <c r="H617" t="str">
        <f>Data_preprocessing!V617</f>
        <v>B</v>
      </c>
      <c r="I617" t="str">
        <f>Data_preprocessing!Y617</f>
        <v>email@example.com</v>
      </c>
      <c r="J617" t="str">
        <f>Data_preprocessing!Z617</f>
        <v>Phone not provided</v>
      </c>
      <c r="K617">
        <f t="shared" ca="1" si="27"/>
        <v>6</v>
      </c>
      <c r="L617" t="str">
        <f t="shared" si="28"/>
        <v>High</v>
      </c>
      <c r="M617" t="str">
        <f t="shared" si="29"/>
        <v>Good</v>
      </c>
    </row>
    <row r="618" spans="1:13" x14ac:dyDescent="0.25">
      <c r="A618" t="str">
        <f>Data_preprocessing!M618</f>
        <v>Jack</v>
      </c>
      <c r="B618">
        <f>Data_preprocessing!O618</f>
        <v>35</v>
      </c>
      <c r="C618">
        <f>Data_preprocessing!Q618</f>
        <v>60000</v>
      </c>
      <c r="D618" t="str">
        <f>Data_preprocessing!R618</f>
        <v>Male</v>
      </c>
      <c r="E618" t="str">
        <f>Data_preprocessing!S618</f>
        <v>IT</v>
      </c>
      <c r="F618" t="str">
        <f>Data_preprocessing!T618</f>
        <v>Assistant</v>
      </c>
      <c r="G618" s="2">
        <f>Data_preprocessing!U618</f>
        <v>43800</v>
      </c>
      <c r="H618" t="str">
        <f>Data_preprocessing!V618</f>
        <v>C</v>
      </c>
      <c r="I618" t="str">
        <f>Data_preprocessing!Y618</f>
        <v>email@example.com</v>
      </c>
      <c r="J618" t="str">
        <f>Data_preprocessing!Z618</f>
        <v>555-555-5555</v>
      </c>
      <c r="K618">
        <f t="shared" ca="1" si="27"/>
        <v>6</v>
      </c>
      <c r="L618" t="str">
        <f t="shared" si="28"/>
        <v>Medium</v>
      </c>
      <c r="M618" t="str">
        <f t="shared" si="29"/>
        <v>Average</v>
      </c>
    </row>
    <row r="619" spans="1:13" x14ac:dyDescent="0.25">
      <c r="A619" t="str">
        <f>Data_preprocessing!M619</f>
        <v>Bob</v>
      </c>
      <c r="B619">
        <f>Data_preprocessing!O619</f>
        <v>40</v>
      </c>
      <c r="C619">
        <f>Data_preprocessing!Q619</f>
        <v>60000</v>
      </c>
      <c r="D619" t="str">
        <f>Data_preprocessing!R619</f>
        <v>Female</v>
      </c>
      <c r="E619" t="str">
        <f>Data_preprocessing!S619</f>
        <v>HR</v>
      </c>
      <c r="F619" t="str">
        <f>Data_preprocessing!T619</f>
        <v>Manager</v>
      </c>
      <c r="G619" s="2">
        <f>Data_preprocessing!U619</f>
        <v>43881</v>
      </c>
      <c r="H619" t="str">
        <f>Data_preprocessing!V619</f>
        <v>D</v>
      </c>
      <c r="I619" t="str">
        <f>Data_preprocessing!Y619</f>
        <v>Email not provided</v>
      </c>
      <c r="J619" t="str">
        <f>Data_preprocessing!Z619</f>
        <v>Phone not provided</v>
      </c>
      <c r="K619">
        <f t="shared" ca="1" si="27"/>
        <v>5</v>
      </c>
      <c r="L619" t="str">
        <f t="shared" si="28"/>
        <v>Medium</v>
      </c>
      <c r="M619" t="str">
        <f t="shared" si="29"/>
        <v>Below Average</v>
      </c>
    </row>
    <row r="620" spans="1:13" x14ac:dyDescent="0.25">
      <c r="A620" t="str">
        <f>Data_preprocessing!M620</f>
        <v>Eve</v>
      </c>
      <c r="B620">
        <f>Data_preprocessing!O620</f>
        <v>35</v>
      </c>
      <c r="C620">
        <f>Data_preprocessing!Q620</f>
        <v>60000</v>
      </c>
      <c r="D620" t="str">
        <f>Data_preprocessing!R620</f>
        <v>Male</v>
      </c>
      <c r="E620" t="str">
        <f>Data_preprocessing!S620</f>
        <v>Finance</v>
      </c>
      <c r="F620" t="str">
        <f>Data_preprocessing!T620</f>
        <v>Assistant</v>
      </c>
      <c r="G620" s="2">
        <f>Data_preprocessing!U620</f>
        <v>43800</v>
      </c>
      <c r="H620" t="str">
        <f>Data_preprocessing!V620</f>
        <v>C</v>
      </c>
      <c r="I620" t="str">
        <f>Data_preprocessing!Y620</f>
        <v>Email not provided</v>
      </c>
      <c r="J620" t="str">
        <f>Data_preprocessing!Z620</f>
        <v>123-456-7890</v>
      </c>
      <c r="K620">
        <f t="shared" ca="1" si="27"/>
        <v>6</v>
      </c>
      <c r="L620" t="str">
        <f t="shared" si="28"/>
        <v>Medium</v>
      </c>
      <c r="M620" t="str">
        <f t="shared" si="29"/>
        <v>Average</v>
      </c>
    </row>
    <row r="621" spans="1:13" x14ac:dyDescent="0.25">
      <c r="A621" t="str">
        <f>Data_preprocessing!M621</f>
        <v>Ivy</v>
      </c>
      <c r="B621">
        <f>Data_preprocessing!O621</f>
        <v>40</v>
      </c>
      <c r="C621">
        <f>Data_preprocessing!Q621</f>
        <v>65000</v>
      </c>
      <c r="D621" t="str">
        <f>Data_preprocessing!R621</f>
        <v>Other</v>
      </c>
      <c r="E621" t="str">
        <f>Data_preprocessing!S621</f>
        <v>IT</v>
      </c>
      <c r="F621" t="str">
        <f>Data_preprocessing!T621</f>
        <v>Analyst</v>
      </c>
      <c r="G621" s="2">
        <f>Data_preprocessing!U621</f>
        <v>43881</v>
      </c>
      <c r="H621" t="str">
        <f>Data_preprocessing!V621</f>
        <v>F</v>
      </c>
      <c r="I621" t="str">
        <f>Data_preprocessing!Y621</f>
        <v>Email not provided</v>
      </c>
      <c r="J621" t="str">
        <f>Data_preprocessing!Z621</f>
        <v>Phone not provided</v>
      </c>
      <c r="K621">
        <f t="shared" ca="1" si="27"/>
        <v>5</v>
      </c>
      <c r="L621" t="str">
        <f t="shared" si="28"/>
        <v>High</v>
      </c>
      <c r="M621" t="str">
        <f t="shared" si="29"/>
        <v>Poor</v>
      </c>
    </row>
    <row r="622" spans="1:13" x14ac:dyDescent="0.25">
      <c r="A622" t="str">
        <f>Data_preprocessing!M622</f>
        <v>David</v>
      </c>
      <c r="B622">
        <f>Data_preprocessing!O622</f>
        <v>35</v>
      </c>
      <c r="C622">
        <f>Data_preprocessing!Q622</f>
        <v>60000</v>
      </c>
      <c r="D622" t="str">
        <f>Data_preprocessing!R622</f>
        <v>Female</v>
      </c>
      <c r="E622" t="str">
        <f>Data_preprocessing!S622</f>
        <v>HR</v>
      </c>
      <c r="F622" t="str">
        <f>Data_preprocessing!T622</f>
        <v>Manager</v>
      </c>
      <c r="G622" s="2">
        <f>Data_preprocessing!U622</f>
        <v>43800</v>
      </c>
      <c r="H622" t="str">
        <f>Data_preprocessing!V622</f>
        <v>C</v>
      </c>
      <c r="I622" t="str">
        <f>Data_preprocessing!Y622</f>
        <v>Email not provided</v>
      </c>
      <c r="J622" t="str">
        <f>Data_preprocessing!Z622</f>
        <v>123-456-7890</v>
      </c>
      <c r="K622">
        <f t="shared" ca="1" si="27"/>
        <v>6</v>
      </c>
      <c r="L622" t="str">
        <f t="shared" si="28"/>
        <v>Medium</v>
      </c>
      <c r="M622" t="str">
        <f t="shared" si="29"/>
        <v>Average</v>
      </c>
    </row>
    <row r="623" spans="1:13" x14ac:dyDescent="0.25">
      <c r="A623" t="str">
        <f>Data_preprocessing!M623</f>
        <v>Frank</v>
      </c>
      <c r="B623">
        <f>Data_preprocessing!O623</f>
        <v>25</v>
      </c>
      <c r="C623">
        <f>Data_preprocessing!Q623</f>
        <v>60000</v>
      </c>
      <c r="D623" t="str">
        <f>Data_preprocessing!R623</f>
        <v>Male</v>
      </c>
      <c r="E623" t="str">
        <f>Data_preprocessing!S623</f>
        <v>Sales</v>
      </c>
      <c r="F623" t="str">
        <f>Data_preprocessing!T623</f>
        <v>Analyst</v>
      </c>
      <c r="G623" s="2">
        <f>Data_preprocessing!U623</f>
        <v>43845</v>
      </c>
      <c r="H623" t="str">
        <f>Data_preprocessing!V623</f>
        <v>F</v>
      </c>
      <c r="I623" t="str">
        <f>Data_preprocessing!Y623</f>
        <v>email@example.com</v>
      </c>
      <c r="J623" t="str">
        <f>Data_preprocessing!Z623</f>
        <v>123-456-7890</v>
      </c>
      <c r="K623">
        <f t="shared" ca="1" si="27"/>
        <v>6</v>
      </c>
      <c r="L623" t="str">
        <f t="shared" si="28"/>
        <v>Medium</v>
      </c>
      <c r="M623" t="str">
        <f t="shared" si="29"/>
        <v>Poor</v>
      </c>
    </row>
    <row r="624" spans="1:13" x14ac:dyDescent="0.25">
      <c r="A624" t="str">
        <f>Data_preprocessing!M624</f>
        <v>Alice</v>
      </c>
      <c r="B624">
        <f>Data_preprocessing!O624</f>
        <v>50</v>
      </c>
      <c r="C624">
        <f>Data_preprocessing!Q624</f>
        <v>60000</v>
      </c>
      <c r="D624" t="str">
        <f>Data_preprocessing!R624</f>
        <v>Female</v>
      </c>
      <c r="E624" t="str">
        <f>Data_preprocessing!S624</f>
        <v>HR</v>
      </c>
      <c r="F624" t="str">
        <f>Data_preprocessing!T624</f>
        <v>Manager</v>
      </c>
      <c r="G624" s="2">
        <f>Data_preprocessing!U624</f>
        <v>43881</v>
      </c>
      <c r="H624" t="str">
        <f>Data_preprocessing!V624</f>
        <v>B</v>
      </c>
      <c r="I624" t="str">
        <f>Data_preprocessing!Y624</f>
        <v>user@domain.com</v>
      </c>
      <c r="J624" t="str">
        <f>Data_preprocessing!Z624</f>
        <v>123-456-7890</v>
      </c>
      <c r="K624">
        <f t="shared" ca="1" si="27"/>
        <v>5</v>
      </c>
      <c r="L624" t="str">
        <f t="shared" si="28"/>
        <v>Medium</v>
      </c>
      <c r="M624" t="str">
        <f t="shared" si="29"/>
        <v>Good</v>
      </c>
    </row>
    <row r="625" spans="1:13" x14ac:dyDescent="0.25">
      <c r="A625" t="str">
        <f>Data_preprocessing!M625</f>
        <v>Ivy</v>
      </c>
      <c r="B625">
        <f>Data_preprocessing!O625</f>
        <v>35</v>
      </c>
      <c r="C625">
        <f>Data_preprocessing!Q625</f>
        <v>60000</v>
      </c>
      <c r="D625" t="str">
        <f>Data_preprocessing!R625</f>
        <v>Other</v>
      </c>
      <c r="E625" t="str">
        <f>Data_preprocessing!S625</f>
        <v>HR</v>
      </c>
      <c r="F625" t="str">
        <f>Data_preprocessing!T625</f>
        <v>Analyst</v>
      </c>
      <c r="G625" s="2">
        <f>Data_preprocessing!U625</f>
        <v>43881</v>
      </c>
      <c r="H625" t="str">
        <f>Data_preprocessing!V625</f>
        <v>C</v>
      </c>
      <c r="I625" t="str">
        <f>Data_preprocessing!Y625</f>
        <v>email@example.com</v>
      </c>
      <c r="J625" t="str">
        <f>Data_preprocessing!Z625</f>
        <v>123-456-7890</v>
      </c>
      <c r="K625">
        <f t="shared" ca="1" si="27"/>
        <v>5</v>
      </c>
      <c r="L625" t="str">
        <f t="shared" si="28"/>
        <v>Medium</v>
      </c>
      <c r="M625" t="str">
        <f t="shared" si="29"/>
        <v>Average</v>
      </c>
    </row>
    <row r="626" spans="1:13" x14ac:dyDescent="0.25">
      <c r="A626" t="str">
        <f>Data_preprocessing!M626</f>
        <v>Alice</v>
      </c>
      <c r="B626">
        <f>Data_preprocessing!O626</f>
        <v>35</v>
      </c>
      <c r="C626">
        <f>Data_preprocessing!Q626</f>
        <v>50000</v>
      </c>
      <c r="D626" t="str">
        <f>Data_preprocessing!R626</f>
        <v>Other</v>
      </c>
      <c r="E626" t="str">
        <f>Data_preprocessing!S626</f>
        <v>HR</v>
      </c>
      <c r="F626" t="str">
        <f>Data_preprocessing!T626</f>
        <v>Assistant</v>
      </c>
      <c r="G626" s="2">
        <f>Data_preprocessing!U626</f>
        <v>43195</v>
      </c>
      <c r="H626" t="str">
        <f>Data_preprocessing!V626</f>
        <v>B</v>
      </c>
      <c r="I626" t="str">
        <f>Data_preprocessing!Y626</f>
        <v>Email not provided</v>
      </c>
      <c r="J626" t="str">
        <f>Data_preprocessing!Z626</f>
        <v>123-456-7890</v>
      </c>
      <c r="K626">
        <f t="shared" ca="1" si="27"/>
        <v>7</v>
      </c>
      <c r="L626" t="str">
        <f t="shared" si="28"/>
        <v>Low</v>
      </c>
      <c r="M626" t="str">
        <f t="shared" si="29"/>
        <v>Good</v>
      </c>
    </row>
    <row r="627" spans="1:13" x14ac:dyDescent="0.25">
      <c r="A627" t="str">
        <f>Data_preprocessing!M627</f>
        <v>Eve</v>
      </c>
      <c r="B627">
        <f>Data_preprocessing!O627</f>
        <v>30</v>
      </c>
      <c r="C627">
        <f>Data_preprocessing!Q627</f>
        <v>60000</v>
      </c>
      <c r="D627" t="str">
        <f>Data_preprocessing!R627</f>
        <v>Other</v>
      </c>
      <c r="E627" t="str">
        <f>Data_preprocessing!S627</f>
        <v>Finance</v>
      </c>
      <c r="F627" t="str">
        <f>Data_preprocessing!T627</f>
        <v>Assistant</v>
      </c>
      <c r="G627" s="2">
        <f>Data_preprocessing!U627</f>
        <v>43800</v>
      </c>
      <c r="H627" t="str">
        <f>Data_preprocessing!V627</f>
        <v>B</v>
      </c>
      <c r="I627" t="str">
        <f>Data_preprocessing!Y627</f>
        <v>email@example.com</v>
      </c>
      <c r="J627" t="str">
        <f>Data_preprocessing!Z627</f>
        <v>Phone not provided</v>
      </c>
      <c r="K627">
        <f t="shared" ca="1" si="27"/>
        <v>6</v>
      </c>
      <c r="L627" t="str">
        <f t="shared" si="28"/>
        <v>Medium</v>
      </c>
      <c r="M627" t="str">
        <f t="shared" si="29"/>
        <v>Good</v>
      </c>
    </row>
    <row r="628" spans="1:13" x14ac:dyDescent="0.25">
      <c r="A628" t="str">
        <f>Data_preprocessing!M628</f>
        <v>David</v>
      </c>
      <c r="B628">
        <f>Data_preprocessing!O628</f>
        <v>30</v>
      </c>
      <c r="C628">
        <f>Data_preprocessing!Q628</f>
        <v>65000</v>
      </c>
      <c r="D628" t="str">
        <f>Data_preprocessing!R628</f>
        <v>Female</v>
      </c>
      <c r="E628" t="str">
        <f>Data_preprocessing!S628</f>
        <v>HR</v>
      </c>
      <c r="F628" t="str">
        <f>Data_preprocessing!T628</f>
        <v>Analyst</v>
      </c>
      <c r="G628" s="2">
        <f>Data_preprocessing!U628</f>
        <v>43800</v>
      </c>
      <c r="H628" t="str">
        <f>Data_preprocessing!V628</f>
        <v>A</v>
      </c>
      <c r="I628" t="str">
        <f>Data_preprocessing!Y628</f>
        <v>user@domain.com</v>
      </c>
      <c r="J628" t="str">
        <f>Data_preprocessing!Z628</f>
        <v>Phone not provided</v>
      </c>
      <c r="K628">
        <f t="shared" ca="1" si="27"/>
        <v>6</v>
      </c>
      <c r="L628" t="str">
        <f t="shared" si="28"/>
        <v>High</v>
      </c>
      <c r="M628" t="str">
        <f t="shared" si="29"/>
        <v>Excellent</v>
      </c>
    </row>
    <row r="629" spans="1:13" x14ac:dyDescent="0.25">
      <c r="A629" t="str">
        <f>Data_preprocessing!M629</f>
        <v>Charlie</v>
      </c>
      <c r="B629">
        <f>Data_preprocessing!O629</f>
        <v>30</v>
      </c>
      <c r="C629">
        <f>Data_preprocessing!Q629</f>
        <v>70000</v>
      </c>
      <c r="D629" t="str">
        <f>Data_preprocessing!R629</f>
        <v>Female</v>
      </c>
      <c r="E629" t="str">
        <f>Data_preprocessing!S629</f>
        <v>Finance</v>
      </c>
      <c r="F629" t="str">
        <f>Data_preprocessing!T629</f>
        <v>Manager</v>
      </c>
      <c r="G629" s="2">
        <f>Data_preprocessing!U629</f>
        <v>43881</v>
      </c>
      <c r="H629" t="str">
        <f>Data_preprocessing!V629</f>
        <v>B</v>
      </c>
      <c r="I629" t="str">
        <f>Data_preprocessing!Y629</f>
        <v>name@company.org</v>
      </c>
      <c r="J629" t="str">
        <f>Data_preprocessing!Z629</f>
        <v>123-456-7890</v>
      </c>
      <c r="K629">
        <f t="shared" ca="1" si="27"/>
        <v>5</v>
      </c>
      <c r="L629" t="str">
        <f t="shared" si="28"/>
        <v>High</v>
      </c>
      <c r="M629" t="str">
        <f t="shared" si="29"/>
        <v>Good</v>
      </c>
    </row>
    <row r="630" spans="1:13" x14ac:dyDescent="0.25">
      <c r="A630" t="str">
        <f>Data_preprocessing!M630</f>
        <v>Frank</v>
      </c>
      <c r="B630">
        <f>Data_preprocessing!O630</f>
        <v>50</v>
      </c>
      <c r="C630">
        <f>Data_preprocessing!Q630</f>
        <v>70000</v>
      </c>
      <c r="D630" t="str">
        <f>Data_preprocessing!R630</f>
        <v>Male</v>
      </c>
      <c r="E630" t="str">
        <f>Data_preprocessing!S630</f>
        <v>Sales</v>
      </c>
      <c r="F630" t="str">
        <f>Data_preprocessing!T630</f>
        <v>Clerk</v>
      </c>
      <c r="G630" s="2">
        <f>Data_preprocessing!U630</f>
        <v>43845</v>
      </c>
      <c r="H630" t="str">
        <f>Data_preprocessing!V630</f>
        <v>B</v>
      </c>
      <c r="I630" t="str">
        <f>Data_preprocessing!Y630</f>
        <v>email@example.com</v>
      </c>
      <c r="J630" t="str">
        <f>Data_preprocessing!Z630</f>
        <v>123-456-7890</v>
      </c>
      <c r="K630">
        <f t="shared" ca="1" si="27"/>
        <v>6</v>
      </c>
      <c r="L630" t="str">
        <f t="shared" si="28"/>
        <v>High</v>
      </c>
      <c r="M630" t="str">
        <f t="shared" si="29"/>
        <v>Good</v>
      </c>
    </row>
    <row r="631" spans="1:13" x14ac:dyDescent="0.25">
      <c r="A631" t="str">
        <f>Data_preprocessing!M631</f>
        <v>Bob</v>
      </c>
      <c r="B631">
        <f>Data_preprocessing!O631</f>
        <v>30</v>
      </c>
      <c r="C631">
        <f>Data_preprocessing!Q631</f>
        <v>55000</v>
      </c>
      <c r="D631" t="str">
        <f>Data_preprocessing!R631</f>
        <v>Other</v>
      </c>
      <c r="E631" t="str">
        <f>Data_preprocessing!S631</f>
        <v>Finance</v>
      </c>
      <c r="F631" t="str">
        <f>Data_preprocessing!T631</f>
        <v>Assistant</v>
      </c>
      <c r="G631" s="2">
        <f>Data_preprocessing!U631</f>
        <v>43845</v>
      </c>
      <c r="H631" t="str">
        <f>Data_preprocessing!V631</f>
        <v>C</v>
      </c>
      <c r="I631" t="str">
        <f>Data_preprocessing!Y631</f>
        <v>Email not provided</v>
      </c>
      <c r="J631" t="str">
        <f>Data_preprocessing!Z631</f>
        <v>123-456-7890</v>
      </c>
      <c r="K631">
        <f t="shared" ca="1" si="27"/>
        <v>6</v>
      </c>
      <c r="L631" t="str">
        <f t="shared" si="28"/>
        <v>Low</v>
      </c>
      <c r="M631" t="str">
        <f t="shared" si="29"/>
        <v>Average</v>
      </c>
    </row>
    <row r="632" spans="1:13" x14ac:dyDescent="0.25">
      <c r="A632" t="str">
        <f>Data_preprocessing!M632</f>
        <v>Charlie</v>
      </c>
      <c r="B632">
        <f>Data_preprocessing!O632</f>
        <v>40</v>
      </c>
      <c r="C632">
        <f>Data_preprocessing!Q632</f>
        <v>55000</v>
      </c>
      <c r="D632" t="str">
        <f>Data_preprocessing!R632</f>
        <v>Female</v>
      </c>
      <c r="E632" t="str">
        <f>Data_preprocessing!S632</f>
        <v>Sales</v>
      </c>
      <c r="F632" t="str">
        <f>Data_preprocessing!T632</f>
        <v>Assistant</v>
      </c>
      <c r="G632" s="2">
        <f>Data_preprocessing!U632</f>
        <v>43845</v>
      </c>
      <c r="H632" t="str">
        <f>Data_preprocessing!V632</f>
        <v>C</v>
      </c>
      <c r="I632" t="str">
        <f>Data_preprocessing!Y632</f>
        <v>name@company.org</v>
      </c>
      <c r="J632" t="str">
        <f>Data_preprocessing!Z632</f>
        <v>123-456-7890</v>
      </c>
      <c r="K632">
        <f t="shared" ca="1" si="27"/>
        <v>6</v>
      </c>
      <c r="L632" t="str">
        <f t="shared" si="28"/>
        <v>Low</v>
      </c>
      <c r="M632" t="str">
        <f t="shared" si="29"/>
        <v>Average</v>
      </c>
    </row>
    <row r="633" spans="1:13" x14ac:dyDescent="0.25">
      <c r="A633" t="str">
        <f>Data_preprocessing!M633</f>
        <v>Eve</v>
      </c>
      <c r="B633">
        <f>Data_preprocessing!O633</f>
        <v>35</v>
      </c>
      <c r="C633">
        <f>Data_preprocessing!Q633</f>
        <v>70000</v>
      </c>
      <c r="D633" t="str">
        <f>Data_preprocessing!R633</f>
        <v>Other</v>
      </c>
      <c r="E633" t="str">
        <f>Data_preprocessing!S633</f>
        <v>Sales</v>
      </c>
      <c r="F633" t="str">
        <f>Data_preprocessing!T633</f>
        <v>Clerk</v>
      </c>
      <c r="G633" s="2">
        <f>Data_preprocessing!U633</f>
        <v>43800</v>
      </c>
      <c r="H633" t="str">
        <f>Data_preprocessing!V633</f>
        <v>D</v>
      </c>
      <c r="I633" t="str">
        <f>Data_preprocessing!Y633</f>
        <v>Email not provided</v>
      </c>
      <c r="J633" t="str">
        <f>Data_preprocessing!Z633</f>
        <v>098-765-4321</v>
      </c>
      <c r="K633">
        <f t="shared" ca="1" si="27"/>
        <v>6</v>
      </c>
      <c r="L633" t="str">
        <f t="shared" si="28"/>
        <v>High</v>
      </c>
      <c r="M633" t="str">
        <f t="shared" si="29"/>
        <v>Below Average</v>
      </c>
    </row>
    <row r="634" spans="1:13" x14ac:dyDescent="0.25">
      <c r="A634" t="str">
        <f>Data_preprocessing!M634</f>
        <v>Ivy</v>
      </c>
      <c r="B634">
        <f>Data_preprocessing!O634</f>
        <v>25</v>
      </c>
      <c r="C634">
        <f>Data_preprocessing!Q634</f>
        <v>70000</v>
      </c>
      <c r="D634" t="str">
        <f>Data_preprocessing!R634</f>
        <v>Other</v>
      </c>
      <c r="E634" t="str">
        <f>Data_preprocessing!S634</f>
        <v>Finance</v>
      </c>
      <c r="F634" t="str">
        <f>Data_preprocessing!T634</f>
        <v>Analyst</v>
      </c>
      <c r="G634" s="2">
        <f>Data_preprocessing!U634</f>
        <v>43195</v>
      </c>
      <c r="H634" t="str">
        <f>Data_preprocessing!V634</f>
        <v>A</v>
      </c>
      <c r="I634" t="str">
        <f>Data_preprocessing!Y634</f>
        <v>Email not provided</v>
      </c>
      <c r="J634" t="str">
        <f>Data_preprocessing!Z634</f>
        <v>098-765-4321</v>
      </c>
      <c r="K634">
        <f t="shared" ca="1" si="27"/>
        <v>7</v>
      </c>
      <c r="L634" t="str">
        <f t="shared" si="28"/>
        <v>High</v>
      </c>
      <c r="M634" t="str">
        <f t="shared" si="29"/>
        <v>Excellent</v>
      </c>
    </row>
    <row r="635" spans="1:13" x14ac:dyDescent="0.25">
      <c r="A635" t="str">
        <f>Data_preprocessing!M635</f>
        <v>Bob</v>
      </c>
      <c r="B635">
        <f>Data_preprocessing!O635</f>
        <v>35</v>
      </c>
      <c r="C635">
        <f>Data_preprocessing!Q635</f>
        <v>65000</v>
      </c>
      <c r="D635" t="str">
        <f>Data_preprocessing!R635</f>
        <v>Male</v>
      </c>
      <c r="E635" t="str">
        <f>Data_preprocessing!S635</f>
        <v>IT</v>
      </c>
      <c r="F635" t="str">
        <f>Data_preprocessing!T635</f>
        <v>Manager</v>
      </c>
      <c r="G635" s="2">
        <f>Data_preprocessing!U635</f>
        <v>43881</v>
      </c>
      <c r="H635" t="str">
        <f>Data_preprocessing!V635</f>
        <v>B</v>
      </c>
      <c r="I635" t="str">
        <f>Data_preprocessing!Y635</f>
        <v>Email not provided</v>
      </c>
      <c r="J635" t="str">
        <f>Data_preprocessing!Z635</f>
        <v>555-555-5555</v>
      </c>
      <c r="K635">
        <f t="shared" ca="1" si="27"/>
        <v>5</v>
      </c>
      <c r="L635" t="str">
        <f t="shared" si="28"/>
        <v>High</v>
      </c>
      <c r="M635" t="str">
        <f t="shared" si="29"/>
        <v>Good</v>
      </c>
    </row>
    <row r="636" spans="1:13" x14ac:dyDescent="0.25">
      <c r="A636" t="str">
        <f>Data_preprocessing!M636</f>
        <v>Jack</v>
      </c>
      <c r="B636">
        <f>Data_preprocessing!O636</f>
        <v>40</v>
      </c>
      <c r="C636">
        <f>Data_preprocessing!Q636</f>
        <v>60000</v>
      </c>
      <c r="D636" t="str">
        <f>Data_preprocessing!R636</f>
        <v>Male</v>
      </c>
      <c r="E636" t="str">
        <f>Data_preprocessing!S636</f>
        <v>Marketing</v>
      </c>
      <c r="F636" t="str">
        <f>Data_preprocessing!T636</f>
        <v>Analyst</v>
      </c>
      <c r="G636" s="2">
        <f>Data_preprocessing!U636</f>
        <v>43549</v>
      </c>
      <c r="H636" t="str">
        <f>Data_preprocessing!V636</f>
        <v>A</v>
      </c>
      <c r="I636" t="str">
        <f>Data_preprocessing!Y636</f>
        <v>email@example.com</v>
      </c>
      <c r="J636" t="str">
        <f>Data_preprocessing!Z636</f>
        <v>123-456-7890</v>
      </c>
      <c r="K636">
        <f t="shared" ca="1" si="27"/>
        <v>6</v>
      </c>
      <c r="L636" t="str">
        <f t="shared" si="28"/>
        <v>Medium</v>
      </c>
      <c r="M636" t="str">
        <f t="shared" si="29"/>
        <v>Excellent</v>
      </c>
    </row>
    <row r="637" spans="1:13" x14ac:dyDescent="0.25">
      <c r="A637" t="str">
        <f>Data_preprocessing!M637</f>
        <v>Hannah</v>
      </c>
      <c r="B637">
        <f>Data_preprocessing!O637</f>
        <v>25</v>
      </c>
      <c r="C637">
        <f>Data_preprocessing!Q637</f>
        <v>55000</v>
      </c>
      <c r="D637" t="str">
        <f>Data_preprocessing!R637</f>
        <v>Male</v>
      </c>
      <c r="E637" t="str">
        <f>Data_preprocessing!S637</f>
        <v>HR</v>
      </c>
      <c r="F637" t="str">
        <f>Data_preprocessing!T637</f>
        <v>Director</v>
      </c>
      <c r="G637" s="2">
        <f>Data_preprocessing!U637</f>
        <v>43195</v>
      </c>
      <c r="H637" t="str">
        <f>Data_preprocessing!V637</f>
        <v>F</v>
      </c>
      <c r="I637" t="str">
        <f>Data_preprocessing!Y637</f>
        <v>Email not provided</v>
      </c>
      <c r="J637" t="str">
        <f>Data_preprocessing!Z637</f>
        <v>555-555-5555</v>
      </c>
      <c r="K637">
        <f t="shared" ca="1" si="27"/>
        <v>7</v>
      </c>
      <c r="L637" t="str">
        <f t="shared" si="28"/>
        <v>Low</v>
      </c>
      <c r="M637" t="str">
        <f t="shared" si="29"/>
        <v>Poor</v>
      </c>
    </row>
    <row r="638" spans="1:13" x14ac:dyDescent="0.25">
      <c r="A638" t="str">
        <f>Data_preprocessing!M638</f>
        <v>Bob</v>
      </c>
      <c r="B638">
        <f>Data_preprocessing!O638</f>
        <v>40</v>
      </c>
      <c r="C638">
        <f>Data_preprocessing!Q638</f>
        <v>60000</v>
      </c>
      <c r="D638" t="str">
        <f>Data_preprocessing!R638</f>
        <v>Male</v>
      </c>
      <c r="E638" t="str">
        <f>Data_preprocessing!S638</f>
        <v>Marketing</v>
      </c>
      <c r="F638" t="str">
        <f>Data_preprocessing!T638</f>
        <v>Assistant</v>
      </c>
      <c r="G638" s="2">
        <f>Data_preprocessing!U638</f>
        <v>43549</v>
      </c>
      <c r="H638" t="str">
        <f>Data_preprocessing!V638</f>
        <v>B</v>
      </c>
      <c r="I638" t="str">
        <f>Data_preprocessing!Y638</f>
        <v>name@company.org</v>
      </c>
      <c r="J638" t="str">
        <f>Data_preprocessing!Z638</f>
        <v>Phone not provided</v>
      </c>
      <c r="K638">
        <f t="shared" ca="1" si="27"/>
        <v>6</v>
      </c>
      <c r="L638" t="str">
        <f t="shared" si="28"/>
        <v>Medium</v>
      </c>
      <c r="M638" t="str">
        <f t="shared" si="29"/>
        <v>Good</v>
      </c>
    </row>
    <row r="639" spans="1:13" x14ac:dyDescent="0.25">
      <c r="A639" t="str">
        <f>Data_preprocessing!M639</f>
        <v>Eve</v>
      </c>
      <c r="B639">
        <f>Data_preprocessing!O639</f>
        <v>40</v>
      </c>
      <c r="C639">
        <f>Data_preprocessing!Q639</f>
        <v>65000</v>
      </c>
      <c r="D639" t="str">
        <f>Data_preprocessing!R639</f>
        <v>Other</v>
      </c>
      <c r="E639" t="str">
        <f>Data_preprocessing!S639</f>
        <v>HR</v>
      </c>
      <c r="F639" t="str">
        <f>Data_preprocessing!T639</f>
        <v>Director</v>
      </c>
      <c r="G639" s="2">
        <f>Data_preprocessing!U639</f>
        <v>43195</v>
      </c>
      <c r="H639" t="str">
        <f>Data_preprocessing!V639</f>
        <v>A</v>
      </c>
      <c r="I639" t="str">
        <f>Data_preprocessing!Y639</f>
        <v>user@domain.com</v>
      </c>
      <c r="J639" t="str">
        <f>Data_preprocessing!Z639</f>
        <v>555-555-5555</v>
      </c>
      <c r="K639">
        <f t="shared" ca="1" si="27"/>
        <v>7</v>
      </c>
      <c r="L639" t="str">
        <f t="shared" si="28"/>
        <v>High</v>
      </c>
      <c r="M639" t="str">
        <f t="shared" si="29"/>
        <v>Excellent</v>
      </c>
    </row>
    <row r="640" spans="1:13" x14ac:dyDescent="0.25">
      <c r="A640" t="str">
        <f>Data_preprocessing!M640</f>
        <v>Grace</v>
      </c>
      <c r="B640">
        <f>Data_preprocessing!O640</f>
        <v>35</v>
      </c>
      <c r="C640">
        <f>Data_preprocessing!Q640</f>
        <v>70000</v>
      </c>
      <c r="D640" t="str">
        <f>Data_preprocessing!R640</f>
        <v>Male</v>
      </c>
      <c r="E640" t="str">
        <f>Data_preprocessing!S640</f>
        <v>HR</v>
      </c>
      <c r="F640" t="str">
        <f>Data_preprocessing!T640</f>
        <v>Assistant</v>
      </c>
      <c r="G640" s="2">
        <f>Data_preprocessing!U640</f>
        <v>43845</v>
      </c>
      <c r="H640" t="str">
        <f>Data_preprocessing!V640</f>
        <v>D</v>
      </c>
      <c r="I640" t="str">
        <f>Data_preprocessing!Y640</f>
        <v>Email not provided</v>
      </c>
      <c r="J640" t="str">
        <f>Data_preprocessing!Z640</f>
        <v>Phone not provided</v>
      </c>
      <c r="K640">
        <f t="shared" ca="1" si="27"/>
        <v>6</v>
      </c>
      <c r="L640" t="str">
        <f t="shared" si="28"/>
        <v>High</v>
      </c>
      <c r="M640" t="str">
        <f t="shared" si="29"/>
        <v>Below Average</v>
      </c>
    </row>
    <row r="641" spans="1:13" x14ac:dyDescent="0.25">
      <c r="A641" t="str">
        <f>Data_preprocessing!M641</f>
        <v>Hannah</v>
      </c>
      <c r="B641">
        <f>Data_preprocessing!O641</f>
        <v>35</v>
      </c>
      <c r="C641">
        <f>Data_preprocessing!Q641</f>
        <v>60000</v>
      </c>
      <c r="D641" t="str">
        <f>Data_preprocessing!R641</f>
        <v>Male</v>
      </c>
      <c r="E641" t="str">
        <f>Data_preprocessing!S641</f>
        <v>Sales</v>
      </c>
      <c r="F641" t="str">
        <f>Data_preprocessing!T641</f>
        <v>Assistant</v>
      </c>
      <c r="G641" s="2">
        <f>Data_preprocessing!U641</f>
        <v>43800</v>
      </c>
      <c r="H641" t="str">
        <f>Data_preprocessing!V641</f>
        <v>D</v>
      </c>
      <c r="I641" t="str">
        <f>Data_preprocessing!Y641</f>
        <v>email@example.com</v>
      </c>
      <c r="J641" t="str">
        <f>Data_preprocessing!Z641</f>
        <v>098-765-4321</v>
      </c>
      <c r="K641">
        <f t="shared" ca="1" si="27"/>
        <v>6</v>
      </c>
      <c r="L641" t="str">
        <f t="shared" si="28"/>
        <v>Medium</v>
      </c>
      <c r="M641" t="str">
        <f t="shared" si="29"/>
        <v>Below Average</v>
      </c>
    </row>
    <row r="642" spans="1:13" x14ac:dyDescent="0.25">
      <c r="A642" t="str">
        <f>Data_preprocessing!M642</f>
        <v>Alice</v>
      </c>
      <c r="B642">
        <f>Data_preprocessing!O642</f>
        <v>30</v>
      </c>
      <c r="C642">
        <f>Data_preprocessing!Q642</f>
        <v>60000</v>
      </c>
      <c r="D642" t="str">
        <f>Data_preprocessing!R642</f>
        <v>Male</v>
      </c>
      <c r="E642" t="str">
        <f>Data_preprocessing!S642</f>
        <v>HR</v>
      </c>
      <c r="F642" t="str">
        <f>Data_preprocessing!T642</f>
        <v>Director</v>
      </c>
      <c r="G642" s="2">
        <f>Data_preprocessing!U642</f>
        <v>43549</v>
      </c>
      <c r="H642" t="str">
        <f>Data_preprocessing!V642</f>
        <v>B</v>
      </c>
      <c r="I642" t="str">
        <f>Data_preprocessing!Y642</f>
        <v>Email not provided</v>
      </c>
      <c r="J642" t="str">
        <f>Data_preprocessing!Z642</f>
        <v>098-765-4321</v>
      </c>
      <c r="K642">
        <f t="shared" ref="K642:K705" ca="1" si="30">DATEDIF(G642,TODAY(),"Y")</f>
        <v>6</v>
      </c>
      <c r="L642" t="str">
        <f t="shared" ref="L642:L705" si="31">IF(C642&lt;60000,"Low",IF(C642&lt;65000,"Medium","High"))</f>
        <v>Medium</v>
      </c>
      <c r="M642" t="str">
        <f t="shared" si="29"/>
        <v>Good</v>
      </c>
    </row>
    <row r="643" spans="1:13" x14ac:dyDescent="0.25">
      <c r="A643" t="str">
        <f>Data_preprocessing!M643</f>
        <v>Frank</v>
      </c>
      <c r="B643">
        <f>Data_preprocessing!O643</f>
        <v>50</v>
      </c>
      <c r="C643">
        <f>Data_preprocessing!Q643</f>
        <v>70000</v>
      </c>
      <c r="D643" t="str">
        <f>Data_preprocessing!R643</f>
        <v>Male</v>
      </c>
      <c r="E643" t="str">
        <f>Data_preprocessing!S643</f>
        <v>HR</v>
      </c>
      <c r="F643" t="str">
        <f>Data_preprocessing!T643</f>
        <v>Director</v>
      </c>
      <c r="G643" s="2">
        <f>Data_preprocessing!U643</f>
        <v>43195</v>
      </c>
      <c r="H643" t="str">
        <f>Data_preprocessing!V643</f>
        <v>F</v>
      </c>
      <c r="I643" t="str">
        <f>Data_preprocessing!Y643</f>
        <v>user@domain.com</v>
      </c>
      <c r="J643" t="str">
        <f>Data_preprocessing!Z643</f>
        <v>123-456-7890</v>
      </c>
      <c r="K643">
        <f t="shared" ca="1" si="30"/>
        <v>7</v>
      </c>
      <c r="L643" t="str">
        <f t="shared" si="31"/>
        <v>High</v>
      </c>
      <c r="M643" t="str">
        <f t="shared" ref="M643:M706" si="32">IF(H643="A","Excellent",IF(H643="B","Good",IF(H643="C","Average",IF(H643="D","Below Average","Poor"))))</f>
        <v>Poor</v>
      </c>
    </row>
    <row r="644" spans="1:13" x14ac:dyDescent="0.25">
      <c r="A644" t="str">
        <f>Data_preprocessing!M644</f>
        <v>Alice</v>
      </c>
      <c r="B644">
        <f>Data_preprocessing!O644</f>
        <v>35</v>
      </c>
      <c r="C644">
        <f>Data_preprocessing!Q644</f>
        <v>70000</v>
      </c>
      <c r="D644" t="str">
        <f>Data_preprocessing!R644</f>
        <v>Other</v>
      </c>
      <c r="E644" t="str">
        <f>Data_preprocessing!S644</f>
        <v>Finance</v>
      </c>
      <c r="F644" t="str">
        <f>Data_preprocessing!T644</f>
        <v>Analyst</v>
      </c>
      <c r="G644" s="2">
        <f>Data_preprocessing!U644</f>
        <v>43800</v>
      </c>
      <c r="H644" t="str">
        <f>Data_preprocessing!V644</f>
        <v>D</v>
      </c>
      <c r="I644" t="str">
        <f>Data_preprocessing!Y644</f>
        <v>name@company.org</v>
      </c>
      <c r="J644" t="str">
        <f>Data_preprocessing!Z644</f>
        <v>123-456-7890</v>
      </c>
      <c r="K644">
        <f t="shared" ca="1" si="30"/>
        <v>6</v>
      </c>
      <c r="L644" t="str">
        <f t="shared" si="31"/>
        <v>High</v>
      </c>
      <c r="M644" t="str">
        <f t="shared" si="32"/>
        <v>Below Average</v>
      </c>
    </row>
    <row r="645" spans="1:13" x14ac:dyDescent="0.25">
      <c r="A645" t="str">
        <f>Data_preprocessing!M645</f>
        <v>Bob</v>
      </c>
      <c r="B645">
        <f>Data_preprocessing!O645</f>
        <v>50</v>
      </c>
      <c r="C645">
        <f>Data_preprocessing!Q645</f>
        <v>50000</v>
      </c>
      <c r="D645" t="str">
        <f>Data_preprocessing!R645</f>
        <v>Male</v>
      </c>
      <c r="E645" t="str">
        <f>Data_preprocessing!S645</f>
        <v>Marketing</v>
      </c>
      <c r="F645" t="str">
        <f>Data_preprocessing!T645</f>
        <v>Director</v>
      </c>
      <c r="G645" s="2">
        <f>Data_preprocessing!U645</f>
        <v>43549</v>
      </c>
      <c r="H645" t="str">
        <f>Data_preprocessing!V645</f>
        <v>D</v>
      </c>
      <c r="I645" t="str">
        <f>Data_preprocessing!Y645</f>
        <v>Email not provided</v>
      </c>
      <c r="J645" t="str">
        <f>Data_preprocessing!Z645</f>
        <v>Phone not provided</v>
      </c>
      <c r="K645">
        <f t="shared" ca="1" si="30"/>
        <v>6</v>
      </c>
      <c r="L645" t="str">
        <f t="shared" si="31"/>
        <v>Low</v>
      </c>
      <c r="M645" t="str">
        <f t="shared" si="32"/>
        <v>Below Average</v>
      </c>
    </row>
    <row r="646" spans="1:13" x14ac:dyDescent="0.25">
      <c r="A646" t="str">
        <f>Data_preprocessing!M646</f>
        <v>Alice</v>
      </c>
      <c r="B646">
        <f>Data_preprocessing!O646</f>
        <v>35</v>
      </c>
      <c r="C646">
        <f>Data_preprocessing!Q646</f>
        <v>60000</v>
      </c>
      <c r="D646" t="str">
        <f>Data_preprocessing!R646</f>
        <v>Other</v>
      </c>
      <c r="E646" t="str">
        <f>Data_preprocessing!S646</f>
        <v>Finance</v>
      </c>
      <c r="F646" t="str">
        <f>Data_preprocessing!T646</f>
        <v>Analyst</v>
      </c>
      <c r="G646" s="2">
        <f>Data_preprocessing!U646</f>
        <v>43881</v>
      </c>
      <c r="H646" t="str">
        <f>Data_preprocessing!V646</f>
        <v>F</v>
      </c>
      <c r="I646" t="str">
        <f>Data_preprocessing!Y646</f>
        <v>Email not provided</v>
      </c>
      <c r="J646" t="str">
        <f>Data_preprocessing!Z646</f>
        <v>Phone not provided</v>
      </c>
      <c r="K646">
        <f t="shared" ca="1" si="30"/>
        <v>5</v>
      </c>
      <c r="L646" t="str">
        <f t="shared" si="31"/>
        <v>Medium</v>
      </c>
      <c r="M646" t="str">
        <f t="shared" si="32"/>
        <v>Poor</v>
      </c>
    </row>
    <row r="647" spans="1:13" x14ac:dyDescent="0.25">
      <c r="A647" t="str">
        <f>Data_preprocessing!M647</f>
        <v>Eve</v>
      </c>
      <c r="B647">
        <f>Data_preprocessing!O647</f>
        <v>35</v>
      </c>
      <c r="C647">
        <f>Data_preprocessing!Q647</f>
        <v>60000</v>
      </c>
      <c r="D647" t="str">
        <f>Data_preprocessing!R647</f>
        <v>Female</v>
      </c>
      <c r="E647" t="str">
        <f>Data_preprocessing!S647</f>
        <v>HR</v>
      </c>
      <c r="F647" t="str">
        <f>Data_preprocessing!T647</f>
        <v>Analyst</v>
      </c>
      <c r="G647" s="2">
        <f>Data_preprocessing!U647</f>
        <v>43195</v>
      </c>
      <c r="H647" t="str">
        <f>Data_preprocessing!V647</f>
        <v>A</v>
      </c>
      <c r="I647" t="str">
        <f>Data_preprocessing!Y647</f>
        <v>user@domain.com</v>
      </c>
      <c r="J647" t="str">
        <f>Data_preprocessing!Z647</f>
        <v>Phone not provided</v>
      </c>
      <c r="K647">
        <f t="shared" ca="1" si="30"/>
        <v>7</v>
      </c>
      <c r="L647" t="str">
        <f t="shared" si="31"/>
        <v>Medium</v>
      </c>
      <c r="M647" t="str">
        <f t="shared" si="32"/>
        <v>Excellent</v>
      </c>
    </row>
    <row r="648" spans="1:13" x14ac:dyDescent="0.25">
      <c r="A648" t="str">
        <f>Data_preprocessing!M648</f>
        <v>Jack</v>
      </c>
      <c r="B648">
        <f>Data_preprocessing!O648</f>
        <v>35</v>
      </c>
      <c r="C648">
        <f>Data_preprocessing!Q648</f>
        <v>60000</v>
      </c>
      <c r="D648" t="str">
        <f>Data_preprocessing!R648</f>
        <v>Other</v>
      </c>
      <c r="E648" t="str">
        <f>Data_preprocessing!S648</f>
        <v>Sales</v>
      </c>
      <c r="F648" t="str">
        <f>Data_preprocessing!T648</f>
        <v>Analyst</v>
      </c>
      <c r="G648" s="2">
        <f>Data_preprocessing!U648</f>
        <v>43881</v>
      </c>
      <c r="H648" t="str">
        <f>Data_preprocessing!V648</f>
        <v>D</v>
      </c>
      <c r="I648" t="str">
        <f>Data_preprocessing!Y648</f>
        <v>email@example.com</v>
      </c>
      <c r="J648" t="str">
        <f>Data_preprocessing!Z648</f>
        <v>123-456-7890</v>
      </c>
      <c r="K648">
        <f t="shared" ca="1" si="30"/>
        <v>5</v>
      </c>
      <c r="L648" t="str">
        <f t="shared" si="31"/>
        <v>Medium</v>
      </c>
      <c r="M648" t="str">
        <f t="shared" si="32"/>
        <v>Below Average</v>
      </c>
    </row>
    <row r="649" spans="1:13" x14ac:dyDescent="0.25">
      <c r="A649" t="str">
        <f>Data_preprocessing!M649</f>
        <v>Ivy</v>
      </c>
      <c r="B649">
        <f>Data_preprocessing!O649</f>
        <v>25</v>
      </c>
      <c r="C649">
        <f>Data_preprocessing!Q649</f>
        <v>70000</v>
      </c>
      <c r="D649" t="str">
        <f>Data_preprocessing!R649</f>
        <v>Other</v>
      </c>
      <c r="E649" t="str">
        <f>Data_preprocessing!S649</f>
        <v>Finance</v>
      </c>
      <c r="F649" t="str">
        <f>Data_preprocessing!T649</f>
        <v>Assistant</v>
      </c>
      <c r="G649" s="2">
        <f>Data_preprocessing!U649</f>
        <v>43845</v>
      </c>
      <c r="H649" t="str">
        <f>Data_preprocessing!V649</f>
        <v>C</v>
      </c>
      <c r="I649" t="str">
        <f>Data_preprocessing!Y649</f>
        <v>name@company.org</v>
      </c>
      <c r="J649" t="str">
        <f>Data_preprocessing!Z649</f>
        <v>123-456-7890</v>
      </c>
      <c r="K649">
        <f t="shared" ca="1" si="30"/>
        <v>6</v>
      </c>
      <c r="L649" t="str">
        <f t="shared" si="31"/>
        <v>High</v>
      </c>
      <c r="M649" t="str">
        <f t="shared" si="32"/>
        <v>Average</v>
      </c>
    </row>
    <row r="650" spans="1:13" x14ac:dyDescent="0.25">
      <c r="A650" t="str">
        <f>Data_preprocessing!M650</f>
        <v>Frank</v>
      </c>
      <c r="B650">
        <f>Data_preprocessing!O650</f>
        <v>50</v>
      </c>
      <c r="C650">
        <f>Data_preprocessing!Q650</f>
        <v>60000</v>
      </c>
      <c r="D650" t="str">
        <f>Data_preprocessing!R650</f>
        <v>Male</v>
      </c>
      <c r="E650" t="str">
        <f>Data_preprocessing!S650</f>
        <v>Finance</v>
      </c>
      <c r="F650" t="str">
        <f>Data_preprocessing!T650</f>
        <v>Assistant</v>
      </c>
      <c r="G650" s="2">
        <f>Data_preprocessing!U650</f>
        <v>43881</v>
      </c>
      <c r="H650" t="str">
        <f>Data_preprocessing!V650</f>
        <v>D</v>
      </c>
      <c r="I650" t="str">
        <f>Data_preprocessing!Y650</f>
        <v>user@domain.com</v>
      </c>
      <c r="J650" t="str">
        <f>Data_preprocessing!Z650</f>
        <v>Phone not provided</v>
      </c>
      <c r="K650">
        <f t="shared" ca="1" si="30"/>
        <v>5</v>
      </c>
      <c r="L650" t="str">
        <f t="shared" si="31"/>
        <v>Medium</v>
      </c>
      <c r="M650" t="str">
        <f t="shared" si="32"/>
        <v>Below Average</v>
      </c>
    </row>
    <row r="651" spans="1:13" x14ac:dyDescent="0.25">
      <c r="A651" t="str">
        <f>Data_preprocessing!M651</f>
        <v>Alice</v>
      </c>
      <c r="B651">
        <f>Data_preprocessing!O651</f>
        <v>35</v>
      </c>
      <c r="C651">
        <f>Data_preprocessing!Q651</f>
        <v>65000</v>
      </c>
      <c r="D651" t="str">
        <f>Data_preprocessing!R651</f>
        <v>Female</v>
      </c>
      <c r="E651" t="str">
        <f>Data_preprocessing!S651</f>
        <v>IT</v>
      </c>
      <c r="F651" t="str">
        <f>Data_preprocessing!T651</f>
        <v>Director</v>
      </c>
      <c r="G651" s="2">
        <f>Data_preprocessing!U651</f>
        <v>43881</v>
      </c>
      <c r="H651" t="str">
        <f>Data_preprocessing!V651</f>
        <v>A</v>
      </c>
      <c r="I651" t="str">
        <f>Data_preprocessing!Y651</f>
        <v>Email not provided</v>
      </c>
      <c r="J651" t="str">
        <f>Data_preprocessing!Z651</f>
        <v>Phone not provided</v>
      </c>
      <c r="K651">
        <f t="shared" ca="1" si="30"/>
        <v>5</v>
      </c>
      <c r="L651" t="str">
        <f t="shared" si="31"/>
        <v>High</v>
      </c>
      <c r="M651" t="str">
        <f t="shared" si="32"/>
        <v>Excellent</v>
      </c>
    </row>
    <row r="652" spans="1:13" x14ac:dyDescent="0.25">
      <c r="A652" t="str">
        <f>Data_preprocessing!M652</f>
        <v>Alice</v>
      </c>
      <c r="B652">
        <f>Data_preprocessing!O652</f>
        <v>35</v>
      </c>
      <c r="C652">
        <f>Data_preprocessing!Q652</f>
        <v>50000</v>
      </c>
      <c r="D652" t="str">
        <f>Data_preprocessing!R652</f>
        <v>Female</v>
      </c>
      <c r="E652" t="str">
        <f>Data_preprocessing!S652</f>
        <v>HR</v>
      </c>
      <c r="F652" t="str">
        <f>Data_preprocessing!T652</f>
        <v>Assistant</v>
      </c>
      <c r="G652" s="2">
        <f>Data_preprocessing!U652</f>
        <v>43195</v>
      </c>
      <c r="H652" t="str">
        <f>Data_preprocessing!V652</f>
        <v>A</v>
      </c>
      <c r="I652" t="str">
        <f>Data_preprocessing!Y652</f>
        <v>name@company.org</v>
      </c>
      <c r="J652" t="str">
        <f>Data_preprocessing!Z652</f>
        <v>Phone not provided</v>
      </c>
      <c r="K652">
        <f t="shared" ca="1" si="30"/>
        <v>7</v>
      </c>
      <c r="L652" t="str">
        <f t="shared" si="31"/>
        <v>Low</v>
      </c>
      <c r="M652" t="str">
        <f t="shared" si="32"/>
        <v>Excellent</v>
      </c>
    </row>
    <row r="653" spans="1:13" x14ac:dyDescent="0.25">
      <c r="A653" t="str">
        <f>Data_preprocessing!M653</f>
        <v>Bob</v>
      </c>
      <c r="B653">
        <f>Data_preprocessing!O653</f>
        <v>40</v>
      </c>
      <c r="C653">
        <f>Data_preprocessing!Q653</f>
        <v>70000</v>
      </c>
      <c r="D653" t="str">
        <f>Data_preprocessing!R653</f>
        <v>Female</v>
      </c>
      <c r="E653" t="str">
        <f>Data_preprocessing!S653</f>
        <v>Sales</v>
      </c>
      <c r="F653" t="str">
        <f>Data_preprocessing!T653</f>
        <v>Director</v>
      </c>
      <c r="G653" s="2">
        <f>Data_preprocessing!U653</f>
        <v>43845</v>
      </c>
      <c r="H653" t="str">
        <f>Data_preprocessing!V653</f>
        <v>B</v>
      </c>
      <c r="I653" t="str">
        <f>Data_preprocessing!Y653</f>
        <v>Email not provided</v>
      </c>
      <c r="J653" t="str">
        <f>Data_preprocessing!Z653</f>
        <v>098-765-4321</v>
      </c>
      <c r="K653">
        <f t="shared" ca="1" si="30"/>
        <v>6</v>
      </c>
      <c r="L653" t="str">
        <f t="shared" si="31"/>
        <v>High</v>
      </c>
      <c r="M653" t="str">
        <f t="shared" si="32"/>
        <v>Good</v>
      </c>
    </row>
    <row r="654" spans="1:13" x14ac:dyDescent="0.25">
      <c r="A654" t="str">
        <f>Data_preprocessing!M654</f>
        <v>Ivy</v>
      </c>
      <c r="B654">
        <f>Data_preprocessing!O654</f>
        <v>40</v>
      </c>
      <c r="C654">
        <f>Data_preprocessing!Q654</f>
        <v>55000</v>
      </c>
      <c r="D654" t="str">
        <f>Data_preprocessing!R654</f>
        <v>Female</v>
      </c>
      <c r="E654" t="str">
        <f>Data_preprocessing!S654</f>
        <v>Finance</v>
      </c>
      <c r="F654" t="str">
        <f>Data_preprocessing!T654</f>
        <v>Assistant</v>
      </c>
      <c r="G654" s="2">
        <f>Data_preprocessing!U654</f>
        <v>43881</v>
      </c>
      <c r="H654" t="str">
        <f>Data_preprocessing!V654</f>
        <v>C</v>
      </c>
      <c r="I654" t="str">
        <f>Data_preprocessing!Y654</f>
        <v>user@domain.com</v>
      </c>
      <c r="J654" t="str">
        <f>Data_preprocessing!Z654</f>
        <v>555-555-5555</v>
      </c>
      <c r="K654">
        <f t="shared" ca="1" si="30"/>
        <v>5</v>
      </c>
      <c r="L654" t="str">
        <f t="shared" si="31"/>
        <v>Low</v>
      </c>
      <c r="M654" t="str">
        <f t="shared" si="32"/>
        <v>Average</v>
      </c>
    </row>
    <row r="655" spans="1:13" x14ac:dyDescent="0.25">
      <c r="A655" t="str">
        <f>Data_preprocessing!M655</f>
        <v>Charlie</v>
      </c>
      <c r="B655">
        <f>Data_preprocessing!O655</f>
        <v>40</v>
      </c>
      <c r="C655">
        <f>Data_preprocessing!Q655</f>
        <v>55000</v>
      </c>
      <c r="D655" t="str">
        <f>Data_preprocessing!R655</f>
        <v>Other</v>
      </c>
      <c r="E655" t="str">
        <f>Data_preprocessing!S655</f>
        <v>Finance</v>
      </c>
      <c r="F655" t="str">
        <f>Data_preprocessing!T655</f>
        <v>Manager</v>
      </c>
      <c r="G655" s="2">
        <f>Data_preprocessing!U655</f>
        <v>43800</v>
      </c>
      <c r="H655" t="str">
        <f>Data_preprocessing!V655</f>
        <v>A</v>
      </c>
      <c r="I655" t="str">
        <f>Data_preprocessing!Y655</f>
        <v>Email not provided</v>
      </c>
      <c r="J655" t="str">
        <f>Data_preprocessing!Z655</f>
        <v>555-555-5555</v>
      </c>
      <c r="K655">
        <f t="shared" ca="1" si="30"/>
        <v>6</v>
      </c>
      <c r="L655" t="str">
        <f t="shared" si="31"/>
        <v>Low</v>
      </c>
      <c r="M655" t="str">
        <f t="shared" si="32"/>
        <v>Excellent</v>
      </c>
    </row>
    <row r="656" spans="1:13" x14ac:dyDescent="0.25">
      <c r="A656" t="str">
        <f>Data_preprocessing!M656</f>
        <v>Alice</v>
      </c>
      <c r="B656">
        <f>Data_preprocessing!O656</f>
        <v>35</v>
      </c>
      <c r="C656">
        <f>Data_preprocessing!Q656</f>
        <v>50000</v>
      </c>
      <c r="D656" t="str">
        <f>Data_preprocessing!R656</f>
        <v>Female</v>
      </c>
      <c r="E656" t="str">
        <f>Data_preprocessing!S656</f>
        <v>Sales</v>
      </c>
      <c r="F656" t="str">
        <f>Data_preprocessing!T656</f>
        <v>Manager</v>
      </c>
      <c r="G656" s="2">
        <f>Data_preprocessing!U656</f>
        <v>43549</v>
      </c>
      <c r="H656" t="str">
        <f>Data_preprocessing!V656</f>
        <v>F</v>
      </c>
      <c r="I656" t="str">
        <f>Data_preprocessing!Y656</f>
        <v>Email not provided</v>
      </c>
      <c r="J656" t="str">
        <f>Data_preprocessing!Z656</f>
        <v>123-456-7890</v>
      </c>
      <c r="K656">
        <f t="shared" ca="1" si="30"/>
        <v>6</v>
      </c>
      <c r="L656" t="str">
        <f t="shared" si="31"/>
        <v>Low</v>
      </c>
      <c r="M656" t="str">
        <f t="shared" si="32"/>
        <v>Poor</v>
      </c>
    </row>
    <row r="657" spans="1:13" x14ac:dyDescent="0.25">
      <c r="A657" t="str">
        <f>Data_preprocessing!M657</f>
        <v>Eve</v>
      </c>
      <c r="B657">
        <f>Data_preprocessing!O657</f>
        <v>35</v>
      </c>
      <c r="C657">
        <f>Data_preprocessing!Q657</f>
        <v>65000</v>
      </c>
      <c r="D657" t="str">
        <f>Data_preprocessing!R657</f>
        <v>Other</v>
      </c>
      <c r="E657" t="str">
        <f>Data_preprocessing!S657</f>
        <v>HR</v>
      </c>
      <c r="F657" t="str">
        <f>Data_preprocessing!T657</f>
        <v>Director</v>
      </c>
      <c r="G657" s="2">
        <f>Data_preprocessing!U657</f>
        <v>43881</v>
      </c>
      <c r="H657" t="str">
        <f>Data_preprocessing!V657</f>
        <v>C</v>
      </c>
      <c r="I657" t="str">
        <f>Data_preprocessing!Y657</f>
        <v>Email not provided</v>
      </c>
      <c r="J657" t="str">
        <f>Data_preprocessing!Z657</f>
        <v>098-765-4321</v>
      </c>
      <c r="K657">
        <f t="shared" ca="1" si="30"/>
        <v>5</v>
      </c>
      <c r="L657" t="str">
        <f t="shared" si="31"/>
        <v>High</v>
      </c>
      <c r="M657" t="str">
        <f t="shared" si="32"/>
        <v>Average</v>
      </c>
    </row>
    <row r="658" spans="1:13" x14ac:dyDescent="0.25">
      <c r="A658" t="str">
        <f>Data_preprocessing!M658</f>
        <v>Grace</v>
      </c>
      <c r="B658">
        <f>Data_preprocessing!O658</f>
        <v>50</v>
      </c>
      <c r="C658">
        <f>Data_preprocessing!Q658</f>
        <v>70000</v>
      </c>
      <c r="D658" t="str">
        <f>Data_preprocessing!R658</f>
        <v>Other</v>
      </c>
      <c r="E658" t="str">
        <f>Data_preprocessing!S658</f>
        <v>IT</v>
      </c>
      <c r="F658" t="str">
        <f>Data_preprocessing!T658</f>
        <v>Assistant</v>
      </c>
      <c r="G658" s="2">
        <f>Data_preprocessing!U658</f>
        <v>43845</v>
      </c>
      <c r="H658" t="str">
        <f>Data_preprocessing!V658</f>
        <v>C</v>
      </c>
      <c r="I658" t="str">
        <f>Data_preprocessing!Y658</f>
        <v>email@example.com</v>
      </c>
      <c r="J658" t="str">
        <f>Data_preprocessing!Z658</f>
        <v>Phone not provided</v>
      </c>
      <c r="K658">
        <f t="shared" ca="1" si="30"/>
        <v>6</v>
      </c>
      <c r="L658" t="str">
        <f t="shared" si="31"/>
        <v>High</v>
      </c>
      <c r="M658" t="str">
        <f t="shared" si="32"/>
        <v>Average</v>
      </c>
    </row>
    <row r="659" spans="1:13" x14ac:dyDescent="0.25">
      <c r="A659" t="str">
        <f>Data_preprocessing!M659</f>
        <v>Frank</v>
      </c>
      <c r="B659">
        <f>Data_preprocessing!O659</f>
        <v>35</v>
      </c>
      <c r="C659">
        <f>Data_preprocessing!Q659</f>
        <v>60000</v>
      </c>
      <c r="D659" t="str">
        <f>Data_preprocessing!R659</f>
        <v>Other</v>
      </c>
      <c r="E659" t="str">
        <f>Data_preprocessing!S659</f>
        <v>Finance</v>
      </c>
      <c r="F659" t="str">
        <f>Data_preprocessing!T659</f>
        <v>Assistant</v>
      </c>
      <c r="G659" s="2">
        <f>Data_preprocessing!U659</f>
        <v>43881</v>
      </c>
      <c r="H659" t="str">
        <f>Data_preprocessing!V659</f>
        <v>F</v>
      </c>
      <c r="I659" t="str">
        <f>Data_preprocessing!Y659</f>
        <v>Email not provided</v>
      </c>
      <c r="J659" t="str">
        <f>Data_preprocessing!Z659</f>
        <v>123-456-7890</v>
      </c>
      <c r="K659">
        <f t="shared" ca="1" si="30"/>
        <v>5</v>
      </c>
      <c r="L659" t="str">
        <f t="shared" si="31"/>
        <v>Medium</v>
      </c>
      <c r="M659" t="str">
        <f t="shared" si="32"/>
        <v>Poor</v>
      </c>
    </row>
    <row r="660" spans="1:13" x14ac:dyDescent="0.25">
      <c r="A660" t="str">
        <f>Data_preprocessing!M660</f>
        <v>Alice</v>
      </c>
      <c r="B660">
        <f>Data_preprocessing!O660</f>
        <v>25</v>
      </c>
      <c r="C660">
        <f>Data_preprocessing!Q660</f>
        <v>50000</v>
      </c>
      <c r="D660" t="str">
        <f>Data_preprocessing!R660</f>
        <v>Female</v>
      </c>
      <c r="E660" t="str">
        <f>Data_preprocessing!S660</f>
        <v>IT</v>
      </c>
      <c r="F660" t="str">
        <f>Data_preprocessing!T660</f>
        <v>Analyst</v>
      </c>
      <c r="G660" s="2">
        <f>Data_preprocessing!U660</f>
        <v>43549</v>
      </c>
      <c r="H660" t="str">
        <f>Data_preprocessing!V660</f>
        <v>D</v>
      </c>
      <c r="I660" t="str">
        <f>Data_preprocessing!Y660</f>
        <v>Email not provided</v>
      </c>
      <c r="J660" t="str">
        <f>Data_preprocessing!Z660</f>
        <v>098-765-4321</v>
      </c>
      <c r="K660">
        <f t="shared" ca="1" si="30"/>
        <v>6</v>
      </c>
      <c r="L660" t="str">
        <f t="shared" si="31"/>
        <v>Low</v>
      </c>
      <c r="M660" t="str">
        <f t="shared" si="32"/>
        <v>Below Average</v>
      </c>
    </row>
    <row r="661" spans="1:13" x14ac:dyDescent="0.25">
      <c r="A661" t="str">
        <f>Data_preprocessing!M661</f>
        <v>Eve</v>
      </c>
      <c r="B661">
        <f>Data_preprocessing!O661</f>
        <v>40</v>
      </c>
      <c r="C661">
        <f>Data_preprocessing!Q661</f>
        <v>65000</v>
      </c>
      <c r="D661" t="str">
        <f>Data_preprocessing!R661</f>
        <v>Male</v>
      </c>
      <c r="E661" t="str">
        <f>Data_preprocessing!S661</f>
        <v>Marketing</v>
      </c>
      <c r="F661" t="str">
        <f>Data_preprocessing!T661</f>
        <v>Clerk</v>
      </c>
      <c r="G661" s="2">
        <f>Data_preprocessing!U661</f>
        <v>43845</v>
      </c>
      <c r="H661" t="str">
        <f>Data_preprocessing!V661</f>
        <v>F</v>
      </c>
      <c r="I661" t="str">
        <f>Data_preprocessing!Y661</f>
        <v>Email not provided</v>
      </c>
      <c r="J661" t="str">
        <f>Data_preprocessing!Z661</f>
        <v>Phone not provided</v>
      </c>
      <c r="K661">
        <f t="shared" ca="1" si="30"/>
        <v>6</v>
      </c>
      <c r="L661" t="str">
        <f t="shared" si="31"/>
        <v>High</v>
      </c>
      <c r="M661" t="str">
        <f t="shared" si="32"/>
        <v>Poor</v>
      </c>
    </row>
    <row r="662" spans="1:13" x14ac:dyDescent="0.25">
      <c r="A662" t="str">
        <f>Data_preprocessing!M662</f>
        <v>Eve</v>
      </c>
      <c r="B662">
        <f>Data_preprocessing!O662</f>
        <v>35</v>
      </c>
      <c r="C662">
        <f>Data_preprocessing!Q662</f>
        <v>60000</v>
      </c>
      <c r="D662" t="str">
        <f>Data_preprocessing!R662</f>
        <v>Male</v>
      </c>
      <c r="E662" t="str">
        <f>Data_preprocessing!S662</f>
        <v>HR</v>
      </c>
      <c r="F662" t="str">
        <f>Data_preprocessing!T662</f>
        <v>Director</v>
      </c>
      <c r="G662" s="2">
        <f>Data_preprocessing!U662</f>
        <v>43195</v>
      </c>
      <c r="H662" t="str">
        <f>Data_preprocessing!V662</f>
        <v>F</v>
      </c>
      <c r="I662" t="str">
        <f>Data_preprocessing!Y662</f>
        <v>name@company.org</v>
      </c>
      <c r="J662" t="str">
        <f>Data_preprocessing!Z662</f>
        <v>098-765-4321</v>
      </c>
      <c r="K662">
        <f t="shared" ca="1" si="30"/>
        <v>7</v>
      </c>
      <c r="L662" t="str">
        <f t="shared" si="31"/>
        <v>Medium</v>
      </c>
      <c r="M662" t="str">
        <f t="shared" si="32"/>
        <v>Poor</v>
      </c>
    </row>
    <row r="663" spans="1:13" x14ac:dyDescent="0.25">
      <c r="A663" t="str">
        <f>Data_preprocessing!M663</f>
        <v>Frank</v>
      </c>
      <c r="B663">
        <f>Data_preprocessing!O663</f>
        <v>35</v>
      </c>
      <c r="C663">
        <f>Data_preprocessing!Q663</f>
        <v>55000</v>
      </c>
      <c r="D663" t="str">
        <f>Data_preprocessing!R663</f>
        <v>Female</v>
      </c>
      <c r="E663" t="str">
        <f>Data_preprocessing!S663</f>
        <v>Marketing</v>
      </c>
      <c r="F663" t="str">
        <f>Data_preprocessing!T663</f>
        <v>Clerk</v>
      </c>
      <c r="G663" s="2">
        <f>Data_preprocessing!U663</f>
        <v>43845</v>
      </c>
      <c r="H663" t="str">
        <f>Data_preprocessing!V663</f>
        <v>D</v>
      </c>
      <c r="I663" t="str">
        <f>Data_preprocessing!Y663</f>
        <v>Email not provided</v>
      </c>
      <c r="J663" t="str">
        <f>Data_preprocessing!Z663</f>
        <v>123-456-7890</v>
      </c>
      <c r="K663">
        <f t="shared" ca="1" si="30"/>
        <v>6</v>
      </c>
      <c r="L663" t="str">
        <f t="shared" si="31"/>
        <v>Low</v>
      </c>
      <c r="M663" t="str">
        <f t="shared" si="32"/>
        <v>Below Average</v>
      </c>
    </row>
    <row r="664" spans="1:13" x14ac:dyDescent="0.25">
      <c r="A664" t="str">
        <f>Data_preprocessing!M664</f>
        <v>Charlie</v>
      </c>
      <c r="B664">
        <f>Data_preprocessing!O664</f>
        <v>25</v>
      </c>
      <c r="C664">
        <f>Data_preprocessing!Q664</f>
        <v>55000</v>
      </c>
      <c r="D664" t="str">
        <f>Data_preprocessing!R664</f>
        <v>Male</v>
      </c>
      <c r="E664" t="str">
        <f>Data_preprocessing!S664</f>
        <v>Marketing</v>
      </c>
      <c r="F664" t="str">
        <f>Data_preprocessing!T664</f>
        <v>Clerk</v>
      </c>
      <c r="G664" s="2">
        <f>Data_preprocessing!U664</f>
        <v>43195</v>
      </c>
      <c r="H664" t="str">
        <f>Data_preprocessing!V664</f>
        <v>D</v>
      </c>
      <c r="I664" t="str">
        <f>Data_preprocessing!Y664</f>
        <v>Email not provided</v>
      </c>
      <c r="J664" t="str">
        <f>Data_preprocessing!Z664</f>
        <v>555-555-5555</v>
      </c>
      <c r="K664">
        <f t="shared" ca="1" si="30"/>
        <v>7</v>
      </c>
      <c r="L664" t="str">
        <f t="shared" si="31"/>
        <v>Low</v>
      </c>
      <c r="M664" t="str">
        <f t="shared" si="32"/>
        <v>Below Average</v>
      </c>
    </row>
    <row r="665" spans="1:13" x14ac:dyDescent="0.25">
      <c r="A665" t="str">
        <f>Data_preprocessing!M665</f>
        <v>Eve</v>
      </c>
      <c r="B665">
        <f>Data_preprocessing!O665</f>
        <v>30</v>
      </c>
      <c r="C665">
        <f>Data_preprocessing!Q665</f>
        <v>60000</v>
      </c>
      <c r="D665" t="str">
        <f>Data_preprocessing!R665</f>
        <v>Male</v>
      </c>
      <c r="E665" t="str">
        <f>Data_preprocessing!S665</f>
        <v>Marketing</v>
      </c>
      <c r="F665" t="str">
        <f>Data_preprocessing!T665</f>
        <v>Director</v>
      </c>
      <c r="G665" s="2">
        <f>Data_preprocessing!U665</f>
        <v>43845</v>
      </c>
      <c r="H665" t="str">
        <f>Data_preprocessing!V665</f>
        <v>D</v>
      </c>
      <c r="I665" t="str">
        <f>Data_preprocessing!Y665</f>
        <v>user@domain.com</v>
      </c>
      <c r="J665" t="str">
        <f>Data_preprocessing!Z665</f>
        <v>Phone not provided</v>
      </c>
      <c r="K665">
        <f t="shared" ca="1" si="30"/>
        <v>6</v>
      </c>
      <c r="L665" t="str">
        <f t="shared" si="31"/>
        <v>Medium</v>
      </c>
      <c r="M665" t="str">
        <f t="shared" si="32"/>
        <v>Below Average</v>
      </c>
    </row>
    <row r="666" spans="1:13" x14ac:dyDescent="0.25">
      <c r="A666" t="str">
        <f>Data_preprocessing!M666</f>
        <v>Grace</v>
      </c>
      <c r="B666">
        <f>Data_preprocessing!O666</f>
        <v>35</v>
      </c>
      <c r="C666">
        <f>Data_preprocessing!Q666</f>
        <v>50000</v>
      </c>
      <c r="D666" t="str">
        <f>Data_preprocessing!R666</f>
        <v>Other</v>
      </c>
      <c r="E666" t="str">
        <f>Data_preprocessing!S666</f>
        <v>HR</v>
      </c>
      <c r="F666" t="str">
        <f>Data_preprocessing!T666</f>
        <v>Assistant</v>
      </c>
      <c r="G666" s="2">
        <f>Data_preprocessing!U666</f>
        <v>43549</v>
      </c>
      <c r="H666" t="str">
        <f>Data_preprocessing!V666</f>
        <v>D</v>
      </c>
      <c r="I666" t="str">
        <f>Data_preprocessing!Y666</f>
        <v>email@example.com</v>
      </c>
      <c r="J666" t="str">
        <f>Data_preprocessing!Z666</f>
        <v>Phone not provided</v>
      </c>
      <c r="K666">
        <f t="shared" ca="1" si="30"/>
        <v>6</v>
      </c>
      <c r="L666" t="str">
        <f t="shared" si="31"/>
        <v>Low</v>
      </c>
      <c r="M666" t="str">
        <f t="shared" si="32"/>
        <v>Below Average</v>
      </c>
    </row>
    <row r="667" spans="1:13" x14ac:dyDescent="0.25">
      <c r="A667" t="str">
        <f>Data_preprocessing!M667</f>
        <v>Eve</v>
      </c>
      <c r="B667">
        <f>Data_preprocessing!O667</f>
        <v>50</v>
      </c>
      <c r="C667">
        <f>Data_preprocessing!Q667</f>
        <v>55000</v>
      </c>
      <c r="D667" t="str">
        <f>Data_preprocessing!R667</f>
        <v>Other</v>
      </c>
      <c r="E667" t="str">
        <f>Data_preprocessing!S667</f>
        <v>HR</v>
      </c>
      <c r="F667" t="str">
        <f>Data_preprocessing!T667</f>
        <v>Director</v>
      </c>
      <c r="G667" s="2">
        <f>Data_preprocessing!U667</f>
        <v>43549</v>
      </c>
      <c r="H667" t="str">
        <f>Data_preprocessing!V667</f>
        <v>D</v>
      </c>
      <c r="I667" t="str">
        <f>Data_preprocessing!Y667</f>
        <v>name@company.org</v>
      </c>
      <c r="J667" t="str">
        <f>Data_preprocessing!Z667</f>
        <v>098-765-4321</v>
      </c>
      <c r="K667">
        <f t="shared" ca="1" si="30"/>
        <v>6</v>
      </c>
      <c r="L667" t="str">
        <f t="shared" si="31"/>
        <v>Low</v>
      </c>
      <c r="M667" t="str">
        <f t="shared" si="32"/>
        <v>Below Average</v>
      </c>
    </row>
    <row r="668" spans="1:13" x14ac:dyDescent="0.25">
      <c r="A668" t="str">
        <f>Data_preprocessing!M668</f>
        <v>Eve</v>
      </c>
      <c r="B668">
        <f>Data_preprocessing!O668</f>
        <v>30</v>
      </c>
      <c r="C668">
        <f>Data_preprocessing!Q668</f>
        <v>70000</v>
      </c>
      <c r="D668" t="str">
        <f>Data_preprocessing!R668</f>
        <v>Female</v>
      </c>
      <c r="E668" t="str">
        <f>Data_preprocessing!S668</f>
        <v>Sales</v>
      </c>
      <c r="F668" t="str">
        <f>Data_preprocessing!T668</f>
        <v>Clerk</v>
      </c>
      <c r="G668" s="2">
        <f>Data_preprocessing!U668</f>
        <v>43845</v>
      </c>
      <c r="H668" t="str">
        <f>Data_preprocessing!V668</f>
        <v>F</v>
      </c>
      <c r="I668" t="str">
        <f>Data_preprocessing!Y668</f>
        <v>Email not provided</v>
      </c>
      <c r="J668" t="str">
        <f>Data_preprocessing!Z668</f>
        <v>123-456-7890</v>
      </c>
      <c r="K668">
        <f t="shared" ca="1" si="30"/>
        <v>6</v>
      </c>
      <c r="L668" t="str">
        <f t="shared" si="31"/>
        <v>High</v>
      </c>
      <c r="M668" t="str">
        <f t="shared" si="32"/>
        <v>Poor</v>
      </c>
    </row>
    <row r="669" spans="1:13" x14ac:dyDescent="0.25">
      <c r="A669" t="str">
        <f>Data_preprocessing!M669</f>
        <v>Eve</v>
      </c>
      <c r="B669">
        <f>Data_preprocessing!O669</f>
        <v>40</v>
      </c>
      <c r="C669">
        <f>Data_preprocessing!Q669</f>
        <v>60000</v>
      </c>
      <c r="D669" t="str">
        <f>Data_preprocessing!R669</f>
        <v>Female</v>
      </c>
      <c r="E669" t="str">
        <f>Data_preprocessing!S669</f>
        <v>IT</v>
      </c>
      <c r="F669" t="str">
        <f>Data_preprocessing!T669</f>
        <v>Assistant</v>
      </c>
      <c r="G669" s="2">
        <f>Data_preprocessing!U669</f>
        <v>43881</v>
      </c>
      <c r="H669" t="str">
        <f>Data_preprocessing!V669</f>
        <v>B</v>
      </c>
      <c r="I669" t="str">
        <f>Data_preprocessing!Y669</f>
        <v>user@domain.com</v>
      </c>
      <c r="J669" t="str">
        <f>Data_preprocessing!Z669</f>
        <v>123-456-7890</v>
      </c>
      <c r="K669">
        <f t="shared" ca="1" si="30"/>
        <v>5</v>
      </c>
      <c r="L669" t="str">
        <f t="shared" si="31"/>
        <v>Medium</v>
      </c>
      <c r="M669" t="str">
        <f t="shared" si="32"/>
        <v>Good</v>
      </c>
    </row>
    <row r="670" spans="1:13" x14ac:dyDescent="0.25">
      <c r="A670" t="str">
        <f>Data_preprocessing!M670</f>
        <v>Jack</v>
      </c>
      <c r="B670">
        <f>Data_preprocessing!O670</f>
        <v>35</v>
      </c>
      <c r="C670">
        <f>Data_preprocessing!Q670</f>
        <v>60000</v>
      </c>
      <c r="D670" t="str">
        <f>Data_preprocessing!R670</f>
        <v>Male</v>
      </c>
      <c r="E670" t="str">
        <f>Data_preprocessing!S670</f>
        <v>IT</v>
      </c>
      <c r="F670" t="str">
        <f>Data_preprocessing!T670</f>
        <v>Manager</v>
      </c>
      <c r="G670" s="2">
        <f>Data_preprocessing!U670</f>
        <v>43549</v>
      </c>
      <c r="H670" t="str">
        <f>Data_preprocessing!V670</f>
        <v>B</v>
      </c>
      <c r="I670" t="str">
        <f>Data_preprocessing!Y670</f>
        <v>email@example.com</v>
      </c>
      <c r="J670" t="str">
        <f>Data_preprocessing!Z670</f>
        <v>Phone not provided</v>
      </c>
      <c r="K670">
        <f t="shared" ca="1" si="30"/>
        <v>6</v>
      </c>
      <c r="L670" t="str">
        <f t="shared" si="31"/>
        <v>Medium</v>
      </c>
      <c r="M670" t="str">
        <f t="shared" si="32"/>
        <v>Good</v>
      </c>
    </row>
    <row r="671" spans="1:13" x14ac:dyDescent="0.25">
      <c r="A671" t="str">
        <f>Data_preprocessing!M671</f>
        <v>Jack</v>
      </c>
      <c r="B671">
        <f>Data_preprocessing!O671</f>
        <v>25</v>
      </c>
      <c r="C671">
        <f>Data_preprocessing!Q671</f>
        <v>60000</v>
      </c>
      <c r="D671" t="str">
        <f>Data_preprocessing!R671</f>
        <v>Other</v>
      </c>
      <c r="E671" t="str">
        <f>Data_preprocessing!S671</f>
        <v>Sales</v>
      </c>
      <c r="F671" t="str">
        <f>Data_preprocessing!T671</f>
        <v>Director</v>
      </c>
      <c r="G671" s="2">
        <f>Data_preprocessing!U671</f>
        <v>43195</v>
      </c>
      <c r="H671" t="str">
        <f>Data_preprocessing!V671</f>
        <v>A</v>
      </c>
      <c r="I671" t="str">
        <f>Data_preprocessing!Y671</f>
        <v>name@company.org</v>
      </c>
      <c r="J671" t="str">
        <f>Data_preprocessing!Z671</f>
        <v>123-456-7890</v>
      </c>
      <c r="K671">
        <f t="shared" ca="1" si="30"/>
        <v>7</v>
      </c>
      <c r="L671" t="str">
        <f t="shared" si="31"/>
        <v>Medium</v>
      </c>
      <c r="M671" t="str">
        <f t="shared" si="32"/>
        <v>Excellent</v>
      </c>
    </row>
    <row r="672" spans="1:13" x14ac:dyDescent="0.25">
      <c r="A672" t="str">
        <f>Data_preprocessing!M672</f>
        <v>Charlie</v>
      </c>
      <c r="B672">
        <f>Data_preprocessing!O672</f>
        <v>25</v>
      </c>
      <c r="C672">
        <f>Data_preprocessing!Q672</f>
        <v>55000</v>
      </c>
      <c r="D672" t="str">
        <f>Data_preprocessing!R672</f>
        <v>Female</v>
      </c>
      <c r="E672" t="str">
        <f>Data_preprocessing!S672</f>
        <v>Sales</v>
      </c>
      <c r="F672" t="str">
        <f>Data_preprocessing!T672</f>
        <v>Director</v>
      </c>
      <c r="G672" s="2">
        <f>Data_preprocessing!U672</f>
        <v>43195</v>
      </c>
      <c r="H672" t="str">
        <f>Data_preprocessing!V672</f>
        <v>B</v>
      </c>
      <c r="I672" t="str">
        <f>Data_preprocessing!Y672</f>
        <v>name@company.org</v>
      </c>
      <c r="J672" t="str">
        <f>Data_preprocessing!Z672</f>
        <v>123-456-7890</v>
      </c>
      <c r="K672">
        <f t="shared" ca="1" si="30"/>
        <v>7</v>
      </c>
      <c r="L672" t="str">
        <f t="shared" si="31"/>
        <v>Low</v>
      </c>
      <c r="M672" t="str">
        <f t="shared" si="32"/>
        <v>Good</v>
      </c>
    </row>
    <row r="673" spans="1:13" x14ac:dyDescent="0.25">
      <c r="A673" t="str">
        <f>Data_preprocessing!M673</f>
        <v>Alice</v>
      </c>
      <c r="B673">
        <f>Data_preprocessing!O673</f>
        <v>35</v>
      </c>
      <c r="C673">
        <f>Data_preprocessing!Q673</f>
        <v>50000</v>
      </c>
      <c r="D673" t="str">
        <f>Data_preprocessing!R673</f>
        <v>Female</v>
      </c>
      <c r="E673" t="str">
        <f>Data_preprocessing!S673</f>
        <v>Marketing</v>
      </c>
      <c r="F673" t="str">
        <f>Data_preprocessing!T673</f>
        <v>Assistant</v>
      </c>
      <c r="G673" s="2">
        <f>Data_preprocessing!U673</f>
        <v>43800</v>
      </c>
      <c r="H673" t="str">
        <f>Data_preprocessing!V673</f>
        <v>B</v>
      </c>
      <c r="I673" t="str">
        <f>Data_preprocessing!Y673</f>
        <v>Email not provided</v>
      </c>
      <c r="J673" t="str">
        <f>Data_preprocessing!Z673</f>
        <v>Phone not provided</v>
      </c>
      <c r="K673">
        <f t="shared" ca="1" si="30"/>
        <v>6</v>
      </c>
      <c r="L673" t="str">
        <f t="shared" si="31"/>
        <v>Low</v>
      </c>
      <c r="M673" t="str">
        <f t="shared" si="32"/>
        <v>Good</v>
      </c>
    </row>
    <row r="674" spans="1:13" x14ac:dyDescent="0.25">
      <c r="A674" t="str">
        <f>Data_preprocessing!M674</f>
        <v>Eve</v>
      </c>
      <c r="B674">
        <f>Data_preprocessing!O674</f>
        <v>30</v>
      </c>
      <c r="C674">
        <f>Data_preprocessing!Q674</f>
        <v>70000</v>
      </c>
      <c r="D674" t="str">
        <f>Data_preprocessing!R674</f>
        <v>Female</v>
      </c>
      <c r="E674" t="str">
        <f>Data_preprocessing!S674</f>
        <v>Sales</v>
      </c>
      <c r="F674" t="str">
        <f>Data_preprocessing!T674</f>
        <v>Manager</v>
      </c>
      <c r="G674" s="2">
        <f>Data_preprocessing!U674</f>
        <v>43195</v>
      </c>
      <c r="H674" t="str">
        <f>Data_preprocessing!V674</f>
        <v>F</v>
      </c>
      <c r="I674" t="str">
        <f>Data_preprocessing!Y674</f>
        <v>name@company.org</v>
      </c>
      <c r="J674" t="str">
        <f>Data_preprocessing!Z674</f>
        <v>Phone not provided</v>
      </c>
      <c r="K674">
        <f t="shared" ca="1" si="30"/>
        <v>7</v>
      </c>
      <c r="L674" t="str">
        <f t="shared" si="31"/>
        <v>High</v>
      </c>
      <c r="M674" t="str">
        <f t="shared" si="32"/>
        <v>Poor</v>
      </c>
    </row>
    <row r="675" spans="1:13" x14ac:dyDescent="0.25">
      <c r="A675" t="str">
        <f>Data_preprocessing!M675</f>
        <v>Ivy</v>
      </c>
      <c r="B675">
        <f>Data_preprocessing!O675</f>
        <v>35</v>
      </c>
      <c r="C675">
        <f>Data_preprocessing!Q675</f>
        <v>50000</v>
      </c>
      <c r="D675" t="str">
        <f>Data_preprocessing!R675</f>
        <v>Female</v>
      </c>
      <c r="E675" t="str">
        <f>Data_preprocessing!S675</f>
        <v>Finance</v>
      </c>
      <c r="F675" t="str">
        <f>Data_preprocessing!T675</f>
        <v>Manager</v>
      </c>
      <c r="G675" s="2">
        <f>Data_preprocessing!U675</f>
        <v>43800</v>
      </c>
      <c r="H675" t="str">
        <f>Data_preprocessing!V675</f>
        <v>D</v>
      </c>
      <c r="I675" t="str">
        <f>Data_preprocessing!Y675</f>
        <v>user@domain.com</v>
      </c>
      <c r="J675" t="str">
        <f>Data_preprocessing!Z675</f>
        <v>555-555-5555</v>
      </c>
      <c r="K675">
        <f t="shared" ca="1" si="30"/>
        <v>6</v>
      </c>
      <c r="L675" t="str">
        <f t="shared" si="31"/>
        <v>Low</v>
      </c>
      <c r="M675" t="str">
        <f t="shared" si="32"/>
        <v>Below Average</v>
      </c>
    </row>
    <row r="676" spans="1:13" x14ac:dyDescent="0.25">
      <c r="A676" t="str">
        <f>Data_preprocessing!M676</f>
        <v>Alice</v>
      </c>
      <c r="B676">
        <f>Data_preprocessing!O676</f>
        <v>35</v>
      </c>
      <c r="C676">
        <f>Data_preprocessing!Q676</f>
        <v>65000</v>
      </c>
      <c r="D676" t="str">
        <f>Data_preprocessing!R676</f>
        <v>Female</v>
      </c>
      <c r="E676" t="str">
        <f>Data_preprocessing!S676</f>
        <v>IT</v>
      </c>
      <c r="F676" t="str">
        <f>Data_preprocessing!T676</f>
        <v>Assistant</v>
      </c>
      <c r="G676" s="2">
        <f>Data_preprocessing!U676</f>
        <v>43845</v>
      </c>
      <c r="H676" t="str">
        <f>Data_preprocessing!V676</f>
        <v>D</v>
      </c>
      <c r="I676" t="str">
        <f>Data_preprocessing!Y676</f>
        <v>name@company.org</v>
      </c>
      <c r="J676" t="str">
        <f>Data_preprocessing!Z676</f>
        <v>555-555-5555</v>
      </c>
      <c r="K676">
        <f t="shared" ca="1" si="30"/>
        <v>6</v>
      </c>
      <c r="L676" t="str">
        <f t="shared" si="31"/>
        <v>High</v>
      </c>
      <c r="M676" t="str">
        <f t="shared" si="32"/>
        <v>Below Average</v>
      </c>
    </row>
    <row r="677" spans="1:13" x14ac:dyDescent="0.25">
      <c r="A677" t="str">
        <f>Data_preprocessing!M677</f>
        <v>Charlie</v>
      </c>
      <c r="B677">
        <f>Data_preprocessing!O677</f>
        <v>35</v>
      </c>
      <c r="C677">
        <f>Data_preprocessing!Q677</f>
        <v>65000</v>
      </c>
      <c r="D677" t="str">
        <f>Data_preprocessing!R677</f>
        <v>Female</v>
      </c>
      <c r="E677" t="str">
        <f>Data_preprocessing!S677</f>
        <v>Sales</v>
      </c>
      <c r="F677" t="str">
        <f>Data_preprocessing!T677</f>
        <v>Analyst</v>
      </c>
      <c r="G677" s="2">
        <f>Data_preprocessing!U677</f>
        <v>43845</v>
      </c>
      <c r="H677" t="str">
        <f>Data_preprocessing!V677</f>
        <v>F</v>
      </c>
      <c r="I677" t="str">
        <f>Data_preprocessing!Y677</f>
        <v>Email not provided</v>
      </c>
      <c r="J677" t="str">
        <f>Data_preprocessing!Z677</f>
        <v>098-765-4321</v>
      </c>
      <c r="K677">
        <f t="shared" ca="1" si="30"/>
        <v>6</v>
      </c>
      <c r="L677" t="str">
        <f t="shared" si="31"/>
        <v>High</v>
      </c>
      <c r="M677" t="str">
        <f t="shared" si="32"/>
        <v>Poor</v>
      </c>
    </row>
    <row r="678" spans="1:13" x14ac:dyDescent="0.25">
      <c r="A678" t="str">
        <f>Data_preprocessing!M678</f>
        <v>David</v>
      </c>
      <c r="B678">
        <f>Data_preprocessing!O678</f>
        <v>50</v>
      </c>
      <c r="C678">
        <f>Data_preprocessing!Q678</f>
        <v>60000</v>
      </c>
      <c r="D678" t="str">
        <f>Data_preprocessing!R678</f>
        <v>Male</v>
      </c>
      <c r="E678" t="str">
        <f>Data_preprocessing!S678</f>
        <v>Finance</v>
      </c>
      <c r="F678" t="str">
        <f>Data_preprocessing!T678</f>
        <v>Director</v>
      </c>
      <c r="G678" s="2">
        <f>Data_preprocessing!U678</f>
        <v>43845</v>
      </c>
      <c r="H678" t="str">
        <f>Data_preprocessing!V678</f>
        <v>B</v>
      </c>
      <c r="I678" t="str">
        <f>Data_preprocessing!Y678</f>
        <v>user@domain.com</v>
      </c>
      <c r="J678" t="str">
        <f>Data_preprocessing!Z678</f>
        <v>Phone not provided</v>
      </c>
      <c r="K678">
        <f t="shared" ca="1" si="30"/>
        <v>6</v>
      </c>
      <c r="L678" t="str">
        <f t="shared" si="31"/>
        <v>Medium</v>
      </c>
      <c r="M678" t="str">
        <f t="shared" si="32"/>
        <v>Good</v>
      </c>
    </row>
    <row r="679" spans="1:13" x14ac:dyDescent="0.25">
      <c r="A679" t="str">
        <f>Data_preprocessing!M679</f>
        <v>Alice</v>
      </c>
      <c r="B679">
        <f>Data_preprocessing!O679</f>
        <v>25</v>
      </c>
      <c r="C679">
        <f>Data_preprocessing!Q679</f>
        <v>55000</v>
      </c>
      <c r="D679" t="str">
        <f>Data_preprocessing!R679</f>
        <v>Other</v>
      </c>
      <c r="E679" t="str">
        <f>Data_preprocessing!S679</f>
        <v>Finance</v>
      </c>
      <c r="F679" t="str">
        <f>Data_preprocessing!T679</f>
        <v>Director</v>
      </c>
      <c r="G679" s="2">
        <f>Data_preprocessing!U679</f>
        <v>43881</v>
      </c>
      <c r="H679" t="str">
        <f>Data_preprocessing!V679</f>
        <v>F</v>
      </c>
      <c r="I679" t="str">
        <f>Data_preprocessing!Y679</f>
        <v>email@example.com</v>
      </c>
      <c r="J679" t="str">
        <f>Data_preprocessing!Z679</f>
        <v>098-765-4321</v>
      </c>
      <c r="K679">
        <f t="shared" ca="1" si="30"/>
        <v>5</v>
      </c>
      <c r="L679" t="str">
        <f t="shared" si="31"/>
        <v>Low</v>
      </c>
      <c r="M679" t="str">
        <f t="shared" si="32"/>
        <v>Poor</v>
      </c>
    </row>
    <row r="680" spans="1:13" x14ac:dyDescent="0.25">
      <c r="A680" t="str">
        <f>Data_preprocessing!M680</f>
        <v>Alice</v>
      </c>
      <c r="B680">
        <f>Data_preprocessing!O680</f>
        <v>25</v>
      </c>
      <c r="C680">
        <f>Data_preprocessing!Q680</f>
        <v>55000</v>
      </c>
      <c r="D680" t="str">
        <f>Data_preprocessing!R680</f>
        <v>Other</v>
      </c>
      <c r="E680" t="str">
        <f>Data_preprocessing!S680</f>
        <v>Finance</v>
      </c>
      <c r="F680" t="str">
        <f>Data_preprocessing!T680</f>
        <v>Clerk</v>
      </c>
      <c r="G680" s="2">
        <f>Data_preprocessing!U680</f>
        <v>43881</v>
      </c>
      <c r="H680" t="str">
        <f>Data_preprocessing!V680</f>
        <v>A</v>
      </c>
      <c r="I680" t="str">
        <f>Data_preprocessing!Y680</f>
        <v>email@example.com</v>
      </c>
      <c r="J680" t="str">
        <f>Data_preprocessing!Z680</f>
        <v>555-555-5555</v>
      </c>
      <c r="K680">
        <f t="shared" ca="1" si="30"/>
        <v>5</v>
      </c>
      <c r="L680" t="str">
        <f t="shared" si="31"/>
        <v>Low</v>
      </c>
      <c r="M680" t="str">
        <f t="shared" si="32"/>
        <v>Excellent</v>
      </c>
    </row>
    <row r="681" spans="1:13" x14ac:dyDescent="0.25">
      <c r="A681" t="str">
        <f>Data_preprocessing!M681</f>
        <v>Hannah</v>
      </c>
      <c r="B681">
        <f>Data_preprocessing!O681</f>
        <v>40</v>
      </c>
      <c r="C681">
        <f>Data_preprocessing!Q681</f>
        <v>55000</v>
      </c>
      <c r="D681" t="str">
        <f>Data_preprocessing!R681</f>
        <v>Female</v>
      </c>
      <c r="E681" t="str">
        <f>Data_preprocessing!S681</f>
        <v>Finance</v>
      </c>
      <c r="F681" t="str">
        <f>Data_preprocessing!T681</f>
        <v>Assistant</v>
      </c>
      <c r="G681" s="2">
        <f>Data_preprocessing!U681</f>
        <v>43800</v>
      </c>
      <c r="H681" t="str">
        <f>Data_preprocessing!V681</f>
        <v>D</v>
      </c>
      <c r="I681" t="str">
        <f>Data_preprocessing!Y681</f>
        <v>Email not provided</v>
      </c>
      <c r="J681" t="str">
        <f>Data_preprocessing!Z681</f>
        <v>Phone not provided</v>
      </c>
      <c r="K681">
        <f t="shared" ca="1" si="30"/>
        <v>6</v>
      </c>
      <c r="L681" t="str">
        <f t="shared" si="31"/>
        <v>Low</v>
      </c>
      <c r="M681" t="str">
        <f t="shared" si="32"/>
        <v>Below Average</v>
      </c>
    </row>
    <row r="682" spans="1:13" x14ac:dyDescent="0.25">
      <c r="A682" t="str">
        <f>Data_preprocessing!M682</f>
        <v>Bob</v>
      </c>
      <c r="B682">
        <f>Data_preprocessing!O682</f>
        <v>40</v>
      </c>
      <c r="C682">
        <f>Data_preprocessing!Q682</f>
        <v>60000</v>
      </c>
      <c r="D682" t="str">
        <f>Data_preprocessing!R682</f>
        <v>Other</v>
      </c>
      <c r="E682" t="str">
        <f>Data_preprocessing!S682</f>
        <v>Marketing</v>
      </c>
      <c r="F682" t="str">
        <f>Data_preprocessing!T682</f>
        <v>Clerk</v>
      </c>
      <c r="G682" s="2">
        <f>Data_preprocessing!U682</f>
        <v>43195</v>
      </c>
      <c r="H682" t="str">
        <f>Data_preprocessing!V682</f>
        <v>C</v>
      </c>
      <c r="I682" t="str">
        <f>Data_preprocessing!Y682</f>
        <v>Email not provided</v>
      </c>
      <c r="J682" t="str">
        <f>Data_preprocessing!Z682</f>
        <v>123-456-7890</v>
      </c>
      <c r="K682">
        <f t="shared" ca="1" si="30"/>
        <v>7</v>
      </c>
      <c r="L682" t="str">
        <f t="shared" si="31"/>
        <v>Medium</v>
      </c>
      <c r="M682" t="str">
        <f t="shared" si="32"/>
        <v>Average</v>
      </c>
    </row>
    <row r="683" spans="1:13" x14ac:dyDescent="0.25">
      <c r="A683" t="str">
        <f>Data_preprocessing!M683</f>
        <v>Hannah</v>
      </c>
      <c r="B683">
        <f>Data_preprocessing!O683</f>
        <v>35</v>
      </c>
      <c r="C683">
        <f>Data_preprocessing!Q683</f>
        <v>65000</v>
      </c>
      <c r="D683" t="str">
        <f>Data_preprocessing!R683</f>
        <v>Other</v>
      </c>
      <c r="E683" t="str">
        <f>Data_preprocessing!S683</f>
        <v>Finance</v>
      </c>
      <c r="F683" t="str">
        <f>Data_preprocessing!T683</f>
        <v>Clerk</v>
      </c>
      <c r="G683" s="2">
        <f>Data_preprocessing!U683</f>
        <v>43195</v>
      </c>
      <c r="H683" t="str">
        <f>Data_preprocessing!V683</f>
        <v>A</v>
      </c>
      <c r="I683" t="str">
        <f>Data_preprocessing!Y683</f>
        <v>Email not provided</v>
      </c>
      <c r="J683" t="str">
        <f>Data_preprocessing!Z683</f>
        <v>555-555-5555</v>
      </c>
      <c r="K683">
        <f t="shared" ca="1" si="30"/>
        <v>7</v>
      </c>
      <c r="L683" t="str">
        <f t="shared" si="31"/>
        <v>High</v>
      </c>
      <c r="M683" t="str">
        <f t="shared" si="32"/>
        <v>Excellent</v>
      </c>
    </row>
    <row r="684" spans="1:13" x14ac:dyDescent="0.25">
      <c r="A684" t="str">
        <f>Data_preprocessing!M684</f>
        <v>Grace</v>
      </c>
      <c r="B684">
        <f>Data_preprocessing!O684</f>
        <v>50</v>
      </c>
      <c r="C684">
        <f>Data_preprocessing!Q684</f>
        <v>50000</v>
      </c>
      <c r="D684" t="str">
        <f>Data_preprocessing!R684</f>
        <v>Other</v>
      </c>
      <c r="E684" t="str">
        <f>Data_preprocessing!S684</f>
        <v>Marketing</v>
      </c>
      <c r="F684" t="str">
        <f>Data_preprocessing!T684</f>
        <v>Manager</v>
      </c>
      <c r="G684" s="2">
        <f>Data_preprocessing!U684</f>
        <v>43845</v>
      </c>
      <c r="H684" t="str">
        <f>Data_preprocessing!V684</f>
        <v>A</v>
      </c>
      <c r="I684" t="str">
        <f>Data_preprocessing!Y684</f>
        <v>email@example.com</v>
      </c>
      <c r="J684" t="str">
        <f>Data_preprocessing!Z684</f>
        <v>Phone not provided</v>
      </c>
      <c r="K684">
        <f t="shared" ca="1" si="30"/>
        <v>6</v>
      </c>
      <c r="L684" t="str">
        <f t="shared" si="31"/>
        <v>Low</v>
      </c>
      <c r="M684" t="str">
        <f t="shared" si="32"/>
        <v>Excellent</v>
      </c>
    </row>
    <row r="685" spans="1:13" x14ac:dyDescent="0.25">
      <c r="A685" t="str">
        <f>Data_preprocessing!M685</f>
        <v>Jack</v>
      </c>
      <c r="B685">
        <f>Data_preprocessing!O685</f>
        <v>30</v>
      </c>
      <c r="C685">
        <f>Data_preprocessing!Q685</f>
        <v>60000</v>
      </c>
      <c r="D685" t="str">
        <f>Data_preprocessing!R685</f>
        <v>Female</v>
      </c>
      <c r="E685" t="str">
        <f>Data_preprocessing!S685</f>
        <v>Marketing</v>
      </c>
      <c r="F685" t="str">
        <f>Data_preprocessing!T685</f>
        <v>Director</v>
      </c>
      <c r="G685" s="2">
        <f>Data_preprocessing!U685</f>
        <v>43549</v>
      </c>
      <c r="H685" t="str">
        <f>Data_preprocessing!V685</f>
        <v>F</v>
      </c>
      <c r="I685" t="str">
        <f>Data_preprocessing!Y685</f>
        <v>email@example.com</v>
      </c>
      <c r="J685" t="str">
        <f>Data_preprocessing!Z685</f>
        <v>555-555-5555</v>
      </c>
      <c r="K685">
        <f t="shared" ca="1" si="30"/>
        <v>6</v>
      </c>
      <c r="L685" t="str">
        <f t="shared" si="31"/>
        <v>Medium</v>
      </c>
      <c r="M685" t="str">
        <f t="shared" si="32"/>
        <v>Poor</v>
      </c>
    </row>
    <row r="686" spans="1:13" x14ac:dyDescent="0.25">
      <c r="A686" t="str">
        <f>Data_preprocessing!M686</f>
        <v>Jack</v>
      </c>
      <c r="B686">
        <f>Data_preprocessing!O686</f>
        <v>35</v>
      </c>
      <c r="C686">
        <f>Data_preprocessing!Q686</f>
        <v>60000</v>
      </c>
      <c r="D686" t="str">
        <f>Data_preprocessing!R686</f>
        <v>Female</v>
      </c>
      <c r="E686" t="str">
        <f>Data_preprocessing!S686</f>
        <v>Finance</v>
      </c>
      <c r="F686" t="str">
        <f>Data_preprocessing!T686</f>
        <v>Clerk</v>
      </c>
      <c r="G686" s="2">
        <f>Data_preprocessing!U686</f>
        <v>43881</v>
      </c>
      <c r="H686" t="str">
        <f>Data_preprocessing!V686</f>
        <v>B</v>
      </c>
      <c r="I686" t="str">
        <f>Data_preprocessing!Y686</f>
        <v>email@example.com</v>
      </c>
      <c r="J686" t="str">
        <f>Data_preprocessing!Z686</f>
        <v>Phone not provided</v>
      </c>
      <c r="K686">
        <f t="shared" ca="1" si="30"/>
        <v>5</v>
      </c>
      <c r="L686" t="str">
        <f t="shared" si="31"/>
        <v>Medium</v>
      </c>
      <c r="M686" t="str">
        <f t="shared" si="32"/>
        <v>Good</v>
      </c>
    </row>
    <row r="687" spans="1:13" x14ac:dyDescent="0.25">
      <c r="A687" t="str">
        <f>Data_preprocessing!M687</f>
        <v>Bob</v>
      </c>
      <c r="B687">
        <f>Data_preprocessing!O687</f>
        <v>35</v>
      </c>
      <c r="C687">
        <f>Data_preprocessing!Q687</f>
        <v>50000</v>
      </c>
      <c r="D687" t="str">
        <f>Data_preprocessing!R687</f>
        <v>Other</v>
      </c>
      <c r="E687" t="str">
        <f>Data_preprocessing!S687</f>
        <v>IT</v>
      </c>
      <c r="F687" t="str">
        <f>Data_preprocessing!T687</f>
        <v>Manager</v>
      </c>
      <c r="G687" s="2">
        <f>Data_preprocessing!U687</f>
        <v>43881</v>
      </c>
      <c r="H687" t="str">
        <f>Data_preprocessing!V687</f>
        <v>D</v>
      </c>
      <c r="I687" t="str">
        <f>Data_preprocessing!Y687</f>
        <v>email@example.com</v>
      </c>
      <c r="J687" t="str">
        <f>Data_preprocessing!Z687</f>
        <v>Phone not provided</v>
      </c>
      <c r="K687">
        <f t="shared" ca="1" si="30"/>
        <v>5</v>
      </c>
      <c r="L687" t="str">
        <f t="shared" si="31"/>
        <v>Low</v>
      </c>
      <c r="M687" t="str">
        <f t="shared" si="32"/>
        <v>Below Average</v>
      </c>
    </row>
    <row r="688" spans="1:13" x14ac:dyDescent="0.25">
      <c r="A688" t="str">
        <f>Data_preprocessing!M688</f>
        <v>Frank</v>
      </c>
      <c r="B688">
        <f>Data_preprocessing!O688</f>
        <v>40</v>
      </c>
      <c r="C688">
        <f>Data_preprocessing!Q688</f>
        <v>55000</v>
      </c>
      <c r="D688" t="str">
        <f>Data_preprocessing!R688</f>
        <v>Other</v>
      </c>
      <c r="E688" t="str">
        <f>Data_preprocessing!S688</f>
        <v>Finance</v>
      </c>
      <c r="F688" t="str">
        <f>Data_preprocessing!T688</f>
        <v>Assistant</v>
      </c>
      <c r="G688" s="2">
        <f>Data_preprocessing!U688</f>
        <v>43845</v>
      </c>
      <c r="H688" t="str">
        <f>Data_preprocessing!V688</f>
        <v>C</v>
      </c>
      <c r="I688" t="str">
        <f>Data_preprocessing!Y688</f>
        <v>name@company.org</v>
      </c>
      <c r="J688" t="str">
        <f>Data_preprocessing!Z688</f>
        <v>Phone not provided</v>
      </c>
      <c r="K688">
        <f t="shared" ca="1" si="30"/>
        <v>6</v>
      </c>
      <c r="L688" t="str">
        <f t="shared" si="31"/>
        <v>Low</v>
      </c>
      <c r="M688" t="str">
        <f t="shared" si="32"/>
        <v>Average</v>
      </c>
    </row>
    <row r="689" spans="1:13" x14ac:dyDescent="0.25">
      <c r="A689" t="str">
        <f>Data_preprocessing!M689</f>
        <v>Frank</v>
      </c>
      <c r="B689">
        <f>Data_preprocessing!O689</f>
        <v>35</v>
      </c>
      <c r="C689">
        <f>Data_preprocessing!Q689</f>
        <v>70000</v>
      </c>
      <c r="D689" t="str">
        <f>Data_preprocessing!R689</f>
        <v>Female</v>
      </c>
      <c r="E689" t="str">
        <f>Data_preprocessing!S689</f>
        <v>Finance</v>
      </c>
      <c r="F689" t="str">
        <f>Data_preprocessing!T689</f>
        <v>Clerk</v>
      </c>
      <c r="G689" s="2">
        <f>Data_preprocessing!U689</f>
        <v>43881</v>
      </c>
      <c r="H689" t="str">
        <f>Data_preprocessing!V689</f>
        <v>A</v>
      </c>
      <c r="I689" t="str">
        <f>Data_preprocessing!Y689</f>
        <v>user@domain.com</v>
      </c>
      <c r="J689" t="str">
        <f>Data_preprocessing!Z689</f>
        <v>098-765-4321</v>
      </c>
      <c r="K689">
        <f t="shared" ca="1" si="30"/>
        <v>5</v>
      </c>
      <c r="L689" t="str">
        <f t="shared" si="31"/>
        <v>High</v>
      </c>
      <c r="M689" t="str">
        <f t="shared" si="32"/>
        <v>Excellent</v>
      </c>
    </row>
    <row r="690" spans="1:13" x14ac:dyDescent="0.25">
      <c r="A690" t="str">
        <f>Data_preprocessing!M690</f>
        <v>Charlie</v>
      </c>
      <c r="B690">
        <f>Data_preprocessing!O690</f>
        <v>40</v>
      </c>
      <c r="C690">
        <f>Data_preprocessing!Q690</f>
        <v>50000</v>
      </c>
      <c r="D690" t="str">
        <f>Data_preprocessing!R690</f>
        <v>Male</v>
      </c>
      <c r="E690" t="str">
        <f>Data_preprocessing!S690</f>
        <v>Finance</v>
      </c>
      <c r="F690" t="str">
        <f>Data_preprocessing!T690</f>
        <v>Director</v>
      </c>
      <c r="G690" s="2">
        <f>Data_preprocessing!U690</f>
        <v>43845</v>
      </c>
      <c r="H690" t="str">
        <f>Data_preprocessing!V690</f>
        <v>C</v>
      </c>
      <c r="I690" t="str">
        <f>Data_preprocessing!Y690</f>
        <v>user@domain.com</v>
      </c>
      <c r="J690" t="str">
        <f>Data_preprocessing!Z690</f>
        <v>Phone not provided</v>
      </c>
      <c r="K690">
        <f t="shared" ca="1" si="30"/>
        <v>6</v>
      </c>
      <c r="L690" t="str">
        <f t="shared" si="31"/>
        <v>Low</v>
      </c>
      <c r="M690" t="str">
        <f t="shared" si="32"/>
        <v>Average</v>
      </c>
    </row>
    <row r="691" spans="1:13" x14ac:dyDescent="0.25">
      <c r="A691" t="str">
        <f>Data_preprocessing!M691</f>
        <v>Bob</v>
      </c>
      <c r="B691">
        <f>Data_preprocessing!O691</f>
        <v>35</v>
      </c>
      <c r="C691">
        <f>Data_preprocessing!Q691</f>
        <v>65000</v>
      </c>
      <c r="D691" t="str">
        <f>Data_preprocessing!R691</f>
        <v>Other</v>
      </c>
      <c r="E691" t="str">
        <f>Data_preprocessing!S691</f>
        <v>IT</v>
      </c>
      <c r="F691" t="str">
        <f>Data_preprocessing!T691</f>
        <v>Clerk</v>
      </c>
      <c r="G691" s="2">
        <f>Data_preprocessing!U691</f>
        <v>43800</v>
      </c>
      <c r="H691" t="str">
        <f>Data_preprocessing!V691</f>
        <v>B</v>
      </c>
      <c r="I691" t="str">
        <f>Data_preprocessing!Y691</f>
        <v>Email not provided</v>
      </c>
      <c r="J691" t="str">
        <f>Data_preprocessing!Z691</f>
        <v>555-555-5555</v>
      </c>
      <c r="K691">
        <f t="shared" ca="1" si="30"/>
        <v>6</v>
      </c>
      <c r="L691" t="str">
        <f t="shared" si="31"/>
        <v>High</v>
      </c>
      <c r="M691" t="str">
        <f t="shared" si="32"/>
        <v>Good</v>
      </c>
    </row>
    <row r="692" spans="1:13" x14ac:dyDescent="0.25">
      <c r="A692" t="str">
        <f>Data_preprocessing!M692</f>
        <v>Alice</v>
      </c>
      <c r="B692">
        <f>Data_preprocessing!O692</f>
        <v>30</v>
      </c>
      <c r="C692">
        <f>Data_preprocessing!Q692</f>
        <v>60000</v>
      </c>
      <c r="D692" t="str">
        <f>Data_preprocessing!R692</f>
        <v>Male</v>
      </c>
      <c r="E692" t="str">
        <f>Data_preprocessing!S692</f>
        <v>HR</v>
      </c>
      <c r="F692" t="str">
        <f>Data_preprocessing!T692</f>
        <v>Assistant</v>
      </c>
      <c r="G692" s="2">
        <f>Data_preprocessing!U692</f>
        <v>43195</v>
      </c>
      <c r="H692" t="str">
        <f>Data_preprocessing!V692</f>
        <v>B</v>
      </c>
      <c r="I692" t="str">
        <f>Data_preprocessing!Y692</f>
        <v>name@company.org</v>
      </c>
      <c r="J692" t="str">
        <f>Data_preprocessing!Z692</f>
        <v>Phone not provided</v>
      </c>
      <c r="K692">
        <f t="shared" ca="1" si="30"/>
        <v>7</v>
      </c>
      <c r="L692" t="str">
        <f t="shared" si="31"/>
        <v>Medium</v>
      </c>
      <c r="M692" t="str">
        <f t="shared" si="32"/>
        <v>Good</v>
      </c>
    </row>
    <row r="693" spans="1:13" x14ac:dyDescent="0.25">
      <c r="A693" t="str">
        <f>Data_preprocessing!M693</f>
        <v>Frank</v>
      </c>
      <c r="B693">
        <f>Data_preprocessing!O693</f>
        <v>35</v>
      </c>
      <c r="C693">
        <f>Data_preprocessing!Q693</f>
        <v>60000</v>
      </c>
      <c r="D693" t="str">
        <f>Data_preprocessing!R693</f>
        <v>Other</v>
      </c>
      <c r="E693" t="str">
        <f>Data_preprocessing!S693</f>
        <v>HR</v>
      </c>
      <c r="F693" t="str">
        <f>Data_preprocessing!T693</f>
        <v>Clerk</v>
      </c>
      <c r="G693" s="2">
        <f>Data_preprocessing!U693</f>
        <v>43549</v>
      </c>
      <c r="H693" t="str">
        <f>Data_preprocessing!V693</f>
        <v>C</v>
      </c>
      <c r="I693" t="str">
        <f>Data_preprocessing!Y693</f>
        <v>email@example.com</v>
      </c>
      <c r="J693" t="str">
        <f>Data_preprocessing!Z693</f>
        <v>123-456-7890</v>
      </c>
      <c r="K693">
        <f t="shared" ca="1" si="30"/>
        <v>6</v>
      </c>
      <c r="L693" t="str">
        <f t="shared" si="31"/>
        <v>Medium</v>
      </c>
      <c r="M693" t="str">
        <f t="shared" si="32"/>
        <v>Average</v>
      </c>
    </row>
    <row r="694" spans="1:13" x14ac:dyDescent="0.25">
      <c r="A694" t="str">
        <f>Data_preprocessing!M694</f>
        <v>Eve</v>
      </c>
      <c r="B694">
        <f>Data_preprocessing!O694</f>
        <v>35</v>
      </c>
      <c r="C694">
        <f>Data_preprocessing!Q694</f>
        <v>60000</v>
      </c>
      <c r="D694" t="str">
        <f>Data_preprocessing!R694</f>
        <v>Male</v>
      </c>
      <c r="E694" t="str">
        <f>Data_preprocessing!S694</f>
        <v>Marketing</v>
      </c>
      <c r="F694" t="str">
        <f>Data_preprocessing!T694</f>
        <v>Director</v>
      </c>
      <c r="G694" s="2">
        <f>Data_preprocessing!U694</f>
        <v>43195</v>
      </c>
      <c r="H694" t="str">
        <f>Data_preprocessing!V694</f>
        <v>D</v>
      </c>
      <c r="I694" t="str">
        <f>Data_preprocessing!Y694</f>
        <v>email@example.com</v>
      </c>
      <c r="J694" t="str">
        <f>Data_preprocessing!Z694</f>
        <v>555-555-5555</v>
      </c>
      <c r="K694">
        <f t="shared" ca="1" si="30"/>
        <v>7</v>
      </c>
      <c r="L694" t="str">
        <f t="shared" si="31"/>
        <v>Medium</v>
      </c>
      <c r="M694" t="str">
        <f t="shared" si="32"/>
        <v>Below Average</v>
      </c>
    </row>
    <row r="695" spans="1:13" x14ac:dyDescent="0.25">
      <c r="A695" t="str">
        <f>Data_preprocessing!M695</f>
        <v>Ivy</v>
      </c>
      <c r="B695">
        <f>Data_preprocessing!O695</f>
        <v>50</v>
      </c>
      <c r="C695">
        <f>Data_preprocessing!Q695</f>
        <v>60000</v>
      </c>
      <c r="D695" t="str">
        <f>Data_preprocessing!R695</f>
        <v>Male</v>
      </c>
      <c r="E695" t="str">
        <f>Data_preprocessing!S695</f>
        <v>Marketing</v>
      </c>
      <c r="F695" t="str">
        <f>Data_preprocessing!T695</f>
        <v>Manager</v>
      </c>
      <c r="G695" s="2">
        <f>Data_preprocessing!U695</f>
        <v>43195</v>
      </c>
      <c r="H695" t="str">
        <f>Data_preprocessing!V695</f>
        <v>B</v>
      </c>
      <c r="I695" t="str">
        <f>Data_preprocessing!Y695</f>
        <v>Email not provided</v>
      </c>
      <c r="J695" t="str">
        <f>Data_preprocessing!Z695</f>
        <v>Phone not provided</v>
      </c>
      <c r="K695">
        <f t="shared" ca="1" si="30"/>
        <v>7</v>
      </c>
      <c r="L695" t="str">
        <f t="shared" si="31"/>
        <v>Medium</v>
      </c>
      <c r="M695" t="str">
        <f t="shared" si="32"/>
        <v>Good</v>
      </c>
    </row>
    <row r="696" spans="1:13" x14ac:dyDescent="0.25">
      <c r="A696" t="str">
        <f>Data_preprocessing!M696</f>
        <v>Alice</v>
      </c>
      <c r="B696">
        <f>Data_preprocessing!O696</f>
        <v>25</v>
      </c>
      <c r="C696">
        <f>Data_preprocessing!Q696</f>
        <v>70000</v>
      </c>
      <c r="D696" t="str">
        <f>Data_preprocessing!R696</f>
        <v>Male</v>
      </c>
      <c r="E696" t="str">
        <f>Data_preprocessing!S696</f>
        <v>IT</v>
      </c>
      <c r="F696" t="str">
        <f>Data_preprocessing!T696</f>
        <v>Director</v>
      </c>
      <c r="G696" s="2">
        <f>Data_preprocessing!U696</f>
        <v>43800</v>
      </c>
      <c r="H696" t="str">
        <f>Data_preprocessing!V696</f>
        <v>C</v>
      </c>
      <c r="I696" t="str">
        <f>Data_preprocessing!Y696</f>
        <v>Email not provided</v>
      </c>
      <c r="J696" t="str">
        <f>Data_preprocessing!Z696</f>
        <v>Phone not provided</v>
      </c>
      <c r="K696">
        <f t="shared" ca="1" si="30"/>
        <v>6</v>
      </c>
      <c r="L696" t="str">
        <f t="shared" si="31"/>
        <v>High</v>
      </c>
      <c r="M696" t="str">
        <f t="shared" si="32"/>
        <v>Average</v>
      </c>
    </row>
    <row r="697" spans="1:13" x14ac:dyDescent="0.25">
      <c r="A697" t="str">
        <f>Data_preprocessing!M697</f>
        <v>Grace</v>
      </c>
      <c r="B697">
        <f>Data_preprocessing!O697</f>
        <v>50</v>
      </c>
      <c r="C697">
        <f>Data_preprocessing!Q697</f>
        <v>55000</v>
      </c>
      <c r="D697" t="str">
        <f>Data_preprocessing!R697</f>
        <v>Female</v>
      </c>
      <c r="E697" t="str">
        <f>Data_preprocessing!S697</f>
        <v>Sales</v>
      </c>
      <c r="F697" t="str">
        <f>Data_preprocessing!T697</f>
        <v>Manager</v>
      </c>
      <c r="G697" s="2">
        <f>Data_preprocessing!U697</f>
        <v>43881</v>
      </c>
      <c r="H697" t="str">
        <f>Data_preprocessing!V697</f>
        <v>A</v>
      </c>
      <c r="I697" t="str">
        <f>Data_preprocessing!Y697</f>
        <v>Email not provided</v>
      </c>
      <c r="J697" t="str">
        <f>Data_preprocessing!Z697</f>
        <v>123-456-7890</v>
      </c>
      <c r="K697">
        <f t="shared" ca="1" si="30"/>
        <v>5</v>
      </c>
      <c r="L697" t="str">
        <f t="shared" si="31"/>
        <v>Low</v>
      </c>
      <c r="M697" t="str">
        <f t="shared" si="32"/>
        <v>Excellent</v>
      </c>
    </row>
    <row r="698" spans="1:13" x14ac:dyDescent="0.25">
      <c r="A698" t="str">
        <f>Data_preprocessing!M698</f>
        <v>Eve</v>
      </c>
      <c r="B698">
        <f>Data_preprocessing!O698</f>
        <v>50</v>
      </c>
      <c r="C698">
        <f>Data_preprocessing!Q698</f>
        <v>65000</v>
      </c>
      <c r="D698" t="str">
        <f>Data_preprocessing!R698</f>
        <v>Male</v>
      </c>
      <c r="E698" t="str">
        <f>Data_preprocessing!S698</f>
        <v>HR</v>
      </c>
      <c r="F698" t="str">
        <f>Data_preprocessing!T698</f>
        <v>Analyst</v>
      </c>
      <c r="G698" s="2">
        <f>Data_preprocessing!U698</f>
        <v>43549</v>
      </c>
      <c r="H698" t="str">
        <f>Data_preprocessing!V698</f>
        <v>C</v>
      </c>
      <c r="I698" t="str">
        <f>Data_preprocessing!Y698</f>
        <v>email@example.com</v>
      </c>
      <c r="J698" t="str">
        <f>Data_preprocessing!Z698</f>
        <v>Phone not provided</v>
      </c>
      <c r="K698">
        <f t="shared" ca="1" si="30"/>
        <v>6</v>
      </c>
      <c r="L698" t="str">
        <f t="shared" si="31"/>
        <v>High</v>
      </c>
      <c r="M698" t="str">
        <f t="shared" si="32"/>
        <v>Average</v>
      </c>
    </row>
    <row r="699" spans="1:13" x14ac:dyDescent="0.25">
      <c r="A699" t="str">
        <f>Data_preprocessing!M699</f>
        <v>Eve</v>
      </c>
      <c r="B699">
        <f>Data_preprocessing!O699</f>
        <v>25</v>
      </c>
      <c r="C699">
        <f>Data_preprocessing!Q699</f>
        <v>70000</v>
      </c>
      <c r="D699" t="str">
        <f>Data_preprocessing!R699</f>
        <v>Male</v>
      </c>
      <c r="E699" t="str">
        <f>Data_preprocessing!S699</f>
        <v>Marketing</v>
      </c>
      <c r="F699" t="str">
        <f>Data_preprocessing!T699</f>
        <v>Director</v>
      </c>
      <c r="G699" s="2">
        <f>Data_preprocessing!U699</f>
        <v>43881</v>
      </c>
      <c r="H699" t="str">
        <f>Data_preprocessing!V699</f>
        <v>C</v>
      </c>
      <c r="I699" t="str">
        <f>Data_preprocessing!Y699</f>
        <v>Email not provided</v>
      </c>
      <c r="J699" t="str">
        <f>Data_preprocessing!Z699</f>
        <v>555-555-5555</v>
      </c>
      <c r="K699">
        <f t="shared" ca="1" si="30"/>
        <v>5</v>
      </c>
      <c r="L699" t="str">
        <f t="shared" si="31"/>
        <v>High</v>
      </c>
      <c r="M699" t="str">
        <f t="shared" si="32"/>
        <v>Average</v>
      </c>
    </row>
    <row r="700" spans="1:13" x14ac:dyDescent="0.25">
      <c r="A700" t="str">
        <f>Data_preprocessing!M700</f>
        <v>Bob</v>
      </c>
      <c r="B700">
        <f>Data_preprocessing!O700</f>
        <v>50</v>
      </c>
      <c r="C700">
        <f>Data_preprocessing!Q700</f>
        <v>65000</v>
      </c>
      <c r="D700" t="str">
        <f>Data_preprocessing!R700</f>
        <v>Male</v>
      </c>
      <c r="E700" t="str">
        <f>Data_preprocessing!S700</f>
        <v>HR</v>
      </c>
      <c r="F700" t="str">
        <f>Data_preprocessing!T700</f>
        <v>Director</v>
      </c>
      <c r="G700" s="2">
        <f>Data_preprocessing!U700</f>
        <v>43195</v>
      </c>
      <c r="H700" t="str">
        <f>Data_preprocessing!V700</f>
        <v>F</v>
      </c>
      <c r="I700" t="str">
        <f>Data_preprocessing!Y700</f>
        <v>name@company.org</v>
      </c>
      <c r="J700" t="str">
        <f>Data_preprocessing!Z700</f>
        <v>555-555-5555</v>
      </c>
      <c r="K700">
        <f t="shared" ca="1" si="30"/>
        <v>7</v>
      </c>
      <c r="L700" t="str">
        <f t="shared" si="31"/>
        <v>High</v>
      </c>
      <c r="M700" t="str">
        <f t="shared" si="32"/>
        <v>Poor</v>
      </c>
    </row>
    <row r="701" spans="1:13" x14ac:dyDescent="0.25">
      <c r="A701" t="str">
        <f>Data_preprocessing!M701</f>
        <v>Charlie</v>
      </c>
      <c r="B701">
        <f>Data_preprocessing!O701</f>
        <v>35</v>
      </c>
      <c r="C701">
        <f>Data_preprocessing!Q701</f>
        <v>65000</v>
      </c>
      <c r="D701" t="str">
        <f>Data_preprocessing!R701</f>
        <v>Other</v>
      </c>
      <c r="E701" t="str">
        <f>Data_preprocessing!S701</f>
        <v>IT</v>
      </c>
      <c r="F701" t="str">
        <f>Data_preprocessing!T701</f>
        <v>Assistant</v>
      </c>
      <c r="G701" s="2">
        <f>Data_preprocessing!U701</f>
        <v>43845</v>
      </c>
      <c r="H701" t="str">
        <f>Data_preprocessing!V701</f>
        <v>B</v>
      </c>
      <c r="I701" t="str">
        <f>Data_preprocessing!Y701</f>
        <v>user@domain.com</v>
      </c>
      <c r="J701" t="str">
        <f>Data_preprocessing!Z701</f>
        <v>123-456-7890</v>
      </c>
      <c r="K701">
        <f t="shared" ca="1" si="30"/>
        <v>6</v>
      </c>
      <c r="L701" t="str">
        <f t="shared" si="31"/>
        <v>High</v>
      </c>
      <c r="M701" t="str">
        <f t="shared" si="32"/>
        <v>Good</v>
      </c>
    </row>
    <row r="702" spans="1:13" x14ac:dyDescent="0.25">
      <c r="A702" t="str">
        <f>Data_preprocessing!M702</f>
        <v>Grace</v>
      </c>
      <c r="B702">
        <f>Data_preprocessing!O702</f>
        <v>35</v>
      </c>
      <c r="C702">
        <f>Data_preprocessing!Q702</f>
        <v>55000</v>
      </c>
      <c r="D702" t="str">
        <f>Data_preprocessing!R702</f>
        <v>Male</v>
      </c>
      <c r="E702" t="str">
        <f>Data_preprocessing!S702</f>
        <v>IT</v>
      </c>
      <c r="F702" t="str">
        <f>Data_preprocessing!T702</f>
        <v>Clerk</v>
      </c>
      <c r="G702" s="2">
        <f>Data_preprocessing!U702</f>
        <v>43195</v>
      </c>
      <c r="H702" t="str">
        <f>Data_preprocessing!V702</f>
        <v>D</v>
      </c>
      <c r="I702" t="str">
        <f>Data_preprocessing!Y702</f>
        <v>email@example.com</v>
      </c>
      <c r="J702" t="str">
        <f>Data_preprocessing!Z702</f>
        <v>Phone not provided</v>
      </c>
      <c r="K702">
        <f t="shared" ca="1" si="30"/>
        <v>7</v>
      </c>
      <c r="L702" t="str">
        <f t="shared" si="31"/>
        <v>Low</v>
      </c>
      <c r="M702" t="str">
        <f t="shared" si="32"/>
        <v>Below Average</v>
      </c>
    </row>
    <row r="703" spans="1:13" x14ac:dyDescent="0.25">
      <c r="A703" t="str">
        <f>Data_preprocessing!M703</f>
        <v>Frank</v>
      </c>
      <c r="B703">
        <f>Data_preprocessing!O703</f>
        <v>35</v>
      </c>
      <c r="C703">
        <f>Data_preprocessing!Q703</f>
        <v>60000</v>
      </c>
      <c r="D703" t="str">
        <f>Data_preprocessing!R703</f>
        <v>Other</v>
      </c>
      <c r="E703" t="str">
        <f>Data_preprocessing!S703</f>
        <v>Sales</v>
      </c>
      <c r="F703" t="str">
        <f>Data_preprocessing!T703</f>
        <v>Manager</v>
      </c>
      <c r="G703" s="2">
        <f>Data_preprocessing!U703</f>
        <v>43881</v>
      </c>
      <c r="H703" t="str">
        <f>Data_preprocessing!V703</f>
        <v>D</v>
      </c>
      <c r="I703" t="str">
        <f>Data_preprocessing!Y703</f>
        <v>name@company.org</v>
      </c>
      <c r="J703" t="str">
        <f>Data_preprocessing!Z703</f>
        <v>555-555-5555</v>
      </c>
      <c r="K703">
        <f t="shared" ca="1" si="30"/>
        <v>5</v>
      </c>
      <c r="L703" t="str">
        <f t="shared" si="31"/>
        <v>Medium</v>
      </c>
      <c r="M703" t="str">
        <f t="shared" si="32"/>
        <v>Below Average</v>
      </c>
    </row>
    <row r="704" spans="1:13" x14ac:dyDescent="0.25">
      <c r="A704" t="str">
        <f>Data_preprocessing!M704</f>
        <v>Bob</v>
      </c>
      <c r="B704">
        <f>Data_preprocessing!O704</f>
        <v>25</v>
      </c>
      <c r="C704">
        <f>Data_preprocessing!Q704</f>
        <v>60000</v>
      </c>
      <c r="D704" t="str">
        <f>Data_preprocessing!R704</f>
        <v>Male</v>
      </c>
      <c r="E704" t="str">
        <f>Data_preprocessing!S704</f>
        <v>Sales</v>
      </c>
      <c r="F704" t="str">
        <f>Data_preprocessing!T704</f>
        <v>Manager</v>
      </c>
      <c r="G704" s="2">
        <f>Data_preprocessing!U704</f>
        <v>43195</v>
      </c>
      <c r="H704" t="str">
        <f>Data_preprocessing!V704</f>
        <v>F</v>
      </c>
      <c r="I704" t="str">
        <f>Data_preprocessing!Y704</f>
        <v>email@example.com</v>
      </c>
      <c r="J704" t="str">
        <f>Data_preprocessing!Z704</f>
        <v>555-555-5555</v>
      </c>
      <c r="K704">
        <f t="shared" ca="1" si="30"/>
        <v>7</v>
      </c>
      <c r="L704" t="str">
        <f t="shared" si="31"/>
        <v>Medium</v>
      </c>
      <c r="M704" t="str">
        <f t="shared" si="32"/>
        <v>Poor</v>
      </c>
    </row>
    <row r="705" spans="1:13" x14ac:dyDescent="0.25">
      <c r="A705" t="str">
        <f>Data_preprocessing!M705</f>
        <v>Frank</v>
      </c>
      <c r="B705">
        <f>Data_preprocessing!O705</f>
        <v>50</v>
      </c>
      <c r="C705">
        <f>Data_preprocessing!Q705</f>
        <v>55000</v>
      </c>
      <c r="D705" t="str">
        <f>Data_preprocessing!R705</f>
        <v>Male</v>
      </c>
      <c r="E705" t="str">
        <f>Data_preprocessing!S705</f>
        <v>IT</v>
      </c>
      <c r="F705" t="str">
        <f>Data_preprocessing!T705</f>
        <v>Assistant</v>
      </c>
      <c r="G705" s="2">
        <f>Data_preprocessing!U705</f>
        <v>43845</v>
      </c>
      <c r="H705" t="str">
        <f>Data_preprocessing!V705</f>
        <v>D</v>
      </c>
      <c r="I705" t="str">
        <f>Data_preprocessing!Y705</f>
        <v>Email not provided</v>
      </c>
      <c r="J705" t="str">
        <f>Data_preprocessing!Z705</f>
        <v>555-555-5555</v>
      </c>
      <c r="K705">
        <f t="shared" ca="1" si="30"/>
        <v>6</v>
      </c>
      <c r="L705" t="str">
        <f t="shared" si="31"/>
        <v>Low</v>
      </c>
      <c r="M705" t="str">
        <f t="shared" si="32"/>
        <v>Below Average</v>
      </c>
    </row>
    <row r="706" spans="1:13" x14ac:dyDescent="0.25">
      <c r="A706" t="str">
        <f>Data_preprocessing!M706</f>
        <v>Bob</v>
      </c>
      <c r="B706">
        <f>Data_preprocessing!O706</f>
        <v>25</v>
      </c>
      <c r="C706">
        <f>Data_preprocessing!Q706</f>
        <v>70000</v>
      </c>
      <c r="D706" t="str">
        <f>Data_preprocessing!R706</f>
        <v>Female</v>
      </c>
      <c r="E706" t="str">
        <f>Data_preprocessing!S706</f>
        <v>Marketing</v>
      </c>
      <c r="F706" t="str">
        <f>Data_preprocessing!T706</f>
        <v>Assistant</v>
      </c>
      <c r="G706" s="2">
        <f>Data_preprocessing!U706</f>
        <v>43800</v>
      </c>
      <c r="H706" t="str">
        <f>Data_preprocessing!V706</f>
        <v>C</v>
      </c>
      <c r="I706" t="str">
        <f>Data_preprocessing!Y706</f>
        <v>Email not provided</v>
      </c>
      <c r="J706" t="str">
        <f>Data_preprocessing!Z706</f>
        <v>Phone not provided</v>
      </c>
      <c r="K706">
        <f t="shared" ref="K706:K769" ca="1" si="33">DATEDIF(G706,TODAY(),"Y")</f>
        <v>6</v>
      </c>
      <c r="L706" t="str">
        <f t="shared" ref="L706:L769" si="34">IF(C706&lt;60000,"Low",IF(C706&lt;65000,"Medium","High"))</f>
        <v>High</v>
      </c>
      <c r="M706" t="str">
        <f t="shared" si="32"/>
        <v>Average</v>
      </c>
    </row>
    <row r="707" spans="1:13" x14ac:dyDescent="0.25">
      <c r="A707" t="str">
        <f>Data_preprocessing!M707</f>
        <v>Bob</v>
      </c>
      <c r="B707">
        <f>Data_preprocessing!O707</f>
        <v>35</v>
      </c>
      <c r="C707">
        <f>Data_preprocessing!Q707</f>
        <v>60000</v>
      </c>
      <c r="D707" t="str">
        <f>Data_preprocessing!R707</f>
        <v>Other</v>
      </c>
      <c r="E707" t="str">
        <f>Data_preprocessing!S707</f>
        <v>HR</v>
      </c>
      <c r="F707" t="str">
        <f>Data_preprocessing!T707</f>
        <v>Clerk</v>
      </c>
      <c r="G707" s="2">
        <f>Data_preprocessing!U707</f>
        <v>43881</v>
      </c>
      <c r="H707" t="str">
        <f>Data_preprocessing!V707</f>
        <v>F</v>
      </c>
      <c r="I707" t="str">
        <f>Data_preprocessing!Y707</f>
        <v>Email not provided</v>
      </c>
      <c r="J707" t="str">
        <f>Data_preprocessing!Z707</f>
        <v>123-456-7890</v>
      </c>
      <c r="K707">
        <f t="shared" ca="1" si="33"/>
        <v>5</v>
      </c>
      <c r="L707" t="str">
        <f t="shared" si="34"/>
        <v>Medium</v>
      </c>
      <c r="M707" t="str">
        <f t="shared" ref="M707:M770" si="35">IF(H707="A","Excellent",IF(H707="B","Good",IF(H707="C","Average",IF(H707="D","Below Average","Poor"))))</f>
        <v>Poor</v>
      </c>
    </row>
    <row r="708" spans="1:13" x14ac:dyDescent="0.25">
      <c r="A708" t="str">
        <f>Data_preprocessing!M708</f>
        <v>Bob</v>
      </c>
      <c r="B708">
        <f>Data_preprocessing!O708</f>
        <v>50</v>
      </c>
      <c r="C708">
        <f>Data_preprocessing!Q708</f>
        <v>70000</v>
      </c>
      <c r="D708" t="str">
        <f>Data_preprocessing!R708</f>
        <v>Male</v>
      </c>
      <c r="E708" t="str">
        <f>Data_preprocessing!S708</f>
        <v>Finance</v>
      </c>
      <c r="F708" t="str">
        <f>Data_preprocessing!T708</f>
        <v>Clerk</v>
      </c>
      <c r="G708" s="2">
        <f>Data_preprocessing!U708</f>
        <v>43195</v>
      </c>
      <c r="H708" t="str">
        <f>Data_preprocessing!V708</f>
        <v>A</v>
      </c>
      <c r="I708" t="str">
        <f>Data_preprocessing!Y708</f>
        <v>user@domain.com</v>
      </c>
      <c r="J708" t="str">
        <f>Data_preprocessing!Z708</f>
        <v>555-555-5555</v>
      </c>
      <c r="K708">
        <f t="shared" ca="1" si="33"/>
        <v>7</v>
      </c>
      <c r="L708" t="str">
        <f t="shared" si="34"/>
        <v>High</v>
      </c>
      <c r="M708" t="str">
        <f t="shared" si="35"/>
        <v>Excellent</v>
      </c>
    </row>
    <row r="709" spans="1:13" x14ac:dyDescent="0.25">
      <c r="A709" t="str">
        <f>Data_preprocessing!M709</f>
        <v>Charlie</v>
      </c>
      <c r="B709">
        <f>Data_preprocessing!O709</f>
        <v>50</v>
      </c>
      <c r="C709">
        <f>Data_preprocessing!Q709</f>
        <v>60000</v>
      </c>
      <c r="D709" t="str">
        <f>Data_preprocessing!R709</f>
        <v>Other</v>
      </c>
      <c r="E709" t="str">
        <f>Data_preprocessing!S709</f>
        <v>Sales</v>
      </c>
      <c r="F709" t="str">
        <f>Data_preprocessing!T709</f>
        <v>Director</v>
      </c>
      <c r="G709" s="2">
        <f>Data_preprocessing!U709</f>
        <v>43881</v>
      </c>
      <c r="H709" t="str">
        <f>Data_preprocessing!V709</f>
        <v>B</v>
      </c>
      <c r="I709" t="str">
        <f>Data_preprocessing!Y709</f>
        <v>Email not provided</v>
      </c>
      <c r="J709" t="str">
        <f>Data_preprocessing!Z709</f>
        <v>Phone not provided</v>
      </c>
      <c r="K709">
        <f t="shared" ca="1" si="33"/>
        <v>5</v>
      </c>
      <c r="L709" t="str">
        <f t="shared" si="34"/>
        <v>Medium</v>
      </c>
      <c r="M709" t="str">
        <f t="shared" si="35"/>
        <v>Good</v>
      </c>
    </row>
    <row r="710" spans="1:13" x14ac:dyDescent="0.25">
      <c r="A710" t="str">
        <f>Data_preprocessing!M710</f>
        <v>Bob</v>
      </c>
      <c r="B710">
        <f>Data_preprocessing!O710</f>
        <v>40</v>
      </c>
      <c r="C710">
        <f>Data_preprocessing!Q710</f>
        <v>70000</v>
      </c>
      <c r="D710" t="str">
        <f>Data_preprocessing!R710</f>
        <v>Other</v>
      </c>
      <c r="E710" t="str">
        <f>Data_preprocessing!S710</f>
        <v>Finance</v>
      </c>
      <c r="F710" t="str">
        <f>Data_preprocessing!T710</f>
        <v>Analyst</v>
      </c>
      <c r="G710" s="2">
        <f>Data_preprocessing!U710</f>
        <v>43800</v>
      </c>
      <c r="H710" t="str">
        <f>Data_preprocessing!V710</f>
        <v>B</v>
      </c>
      <c r="I710" t="str">
        <f>Data_preprocessing!Y710</f>
        <v>email@example.com</v>
      </c>
      <c r="J710" t="str">
        <f>Data_preprocessing!Z710</f>
        <v>Phone not provided</v>
      </c>
      <c r="K710">
        <f t="shared" ca="1" si="33"/>
        <v>6</v>
      </c>
      <c r="L710" t="str">
        <f t="shared" si="34"/>
        <v>High</v>
      </c>
      <c r="M710" t="str">
        <f t="shared" si="35"/>
        <v>Good</v>
      </c>
    </row>
    <row r="711" spans="1:13" x14ac:dyDescent="0.25">
      <c r="A711" t="str">
        <f>Data_preprocessing!M711</f>
        <v>David</v>
      </c>
      <c r="B711">
        <f>Data_preprocessing!O711</f>
        <v>40</v>
      </c>
      <c r="C711">
        <f>Data_preprocessing!Q711</f>
        <v>55000</v>
      </c>
      <c r="D711" t="str">
        <f>Data_preprocessing!R711</f>
        <v>Female</v>
      </c>
      <c r="E711" t="str">
        <f>Data_preprocessing!S711</f>
        <v>Marketing</v>
      </c>
      <c r="F711" t="str">
        <f>Data_preprocessing!T711</f>
        <v>Clerk</v>
      </c>
      <c r="G711" s="2">
        <f>Data_preprocessing!U711</f>
        <v>43195</v>
      </c>
      <c r="H711" t="str">
        <f>Data_preprocessing!V711</f>
        <v>B</v>
      </c>
      <c r="I711" t="str">
        <f>Data_preprocessing!Y711</f>
        <v>Email not provided</v>
      </c>
      <c r="J711" t="str">
        <f>Data_preprocessing!Z711</f>
        <v>098-765-4321</v>
      </c>
      <c r="K711">
        <f t="shared" ca="1" si="33"/>
        <v>7</v>
      </c>
      <c r="L711" t="str">
        <f t="shared" si="34"/>
        <v>Low</v>
      </c>
      <c r="M711" t="str">
        <f t="shared" si="35"/>
        <v>Good</v>
      </c>
    </row>
    <row r="712" spans="1:13" x14ac:dyDescent="0.25">
      <c r="A712" t="str">
        <f>Data_preprocessing!M712</f>
        <v>Ivy</v>
      </c>
      <c r="B712">
        <f>Data_preprocessing!O712</f>
        <v>30</v>
      </c>
      <c r="C712">
        <f>Data_preprocessing!Q712</f>
        <v>60000</v>
      </c>
      <c r="D712" t="str">
        <f>Data_preprocessing!R712</f>
        <v>Female</v>
      </c>
      <c r="E712" t="str">
        <f>Data_preprocessing!S712</f>
        <v>Sales</v>
      </c>
      <c r="F712" t="str">
        <f>Data_preprocessing!T712</f>
        <v>Assistant</v>
      </c>
      <c r="G712" s="2">
        <f>Data_preprocessing!U712</f>
        <v>43195</v>
      </c>
      <c r="H712" t="str">
        <f>Data_preprocessing!V712</f>
        <v>C</v>
      </c>
      <c r="I712" t="str">
        <f>Data_preprocessing!Y712</f>
        <v>email@example.com</v>
      </c>
      <c r="J712" t="str">
        <f>Data_preprocessing!Z712</f>
        <v>123-456-7890</v>
      </c>
      <c r="K712">
        <f t="shared" ca="1" si="33"/>
        <v>7</v>
      </c>
      <c r="L712" t="str">
        <f t="shared" si="34"/>
        <v>Medium</v>
      </c>
      <c r="M712" t="str">
        <f t="shared" si="35"/>
        <v>Average</v>
      </c>
    </row>
    <row r="713" spans="1:13" x14ac:dyDescent="0.25">
      <c r="A713" t="str">
        <f>Data_preprocessing!M713</f>
        <v>Frank</v>
      </c>
      <c r="B713">
        <f>Data_preprocessing!O713</f>
        <v>35</v>
      </c>
      <c r="C713">
        <f>Data_preprocessing!Q713</f>
        <v>60000</v>
      </c>
      <c r="D713" t="str">
        <f>Data_preprocessing!R713</f>
        <v>Female</v>
      </c>
      <c r="E713" t="str">
        <f>Data_preprocessing!S713</f>
        <v>Finance</v>
      </c>
      <c r="F713" t="str">
        <f>Data_preprocessing!T713</f>
        <v>Clerk</v>
      </c>
      <c r="G713" s="2">
        <f>Data_preprocessing!U713</f>
        <v>43881</v>
      </c>
      <c r="H713" t="str">
        <f>Data_preprocessing!V713</f>
        <v>A</v>
      </c>
      <c r="I713" t="str">
        <f>Data_preprocessing!Y713</f>
        <v>user@domain.com</v>
      </c>
      <c r="J713" t="str">
        <f>Data_preprocessing!Z713</f>
        <v>Phone not provided</v>
      </c>
      <c r="K713">
        <f t="shared" ca="1" si="33"/>
        <v>5</v>
      </c>
      <c r="L713" t="str">
        <f t="shared" si="34"/>
        <v>Medium</v>
      </c>
      <c r="M713" t="str">
        <f t="shared" si="35"/>
        <v>Excellent</v>
      </c>
    </row>
    <row r="714" spans="1:13" x14ac:dyDescent="0.25">
      <c r="A714" t="str">
        <f>Data_preprocessing!M714</f>
        <v>Alice</v>
      </c>
      <c r="B714">
        <f>Data_preprocessing!O714</f>
        <v>40</v>
      </c>
      <c r="C714">
        <f>Data_preprocessing!Q714</f>
        <v>65000</v>
      </c>
      <c r="D714" t="str">
        <f>Data_preprocessing!R714</f>
        <v>Female</v>
      </c>
      <c r="E714" t="str">
        <f>Data_preprocessing!S714</f>
        <v>Marketing</v>
      </c>
      <c r="F714" t="str">
        <f>Data_preprocessing!T714</f>
        <v>Manager</v>
      </c>
      <c r="G714" s="2">
        <f>Data_preprocessing!U714</f>
        <v>43881</v>
      </c>
      <c r="H714" t="str">
        <f>Data_preprocessing!V714</f>
        <v>F</v>
      </c>
      <c r="I714" t="str">
        <f>Data_preprocessing!Y714</f>
        <v>Email not provided</v>
      </c>
      <c r="J714" t="str">
        <f>Data_preprocessing!Z714</f>
        <v>555-555-5555</v>
      </c>
      <c r="K714">
        <f t="shared" ca="1" si="33"/>
        <v>5</v>
      </c>
      <c r="L714" t="str">
        <f t="shared" si="34"/>
        <v>High</v>
      </c>
      <c r="M714" t="str">
        <f t="shared" si="35"/>
        <v>Poor</v>
      </c>
    </row>
    <row r="715" spans="1:13" x14ac:dyDescent="0.25">
      <c r="A715" t="str">
        <f>Data_preprocessing!M715</f>
        <v>Hannah</v>
      </c>
      <c r="B715">
        <f>Data_preprocessing!O715</f>
        <v>25</v>
      </c>
      <c r="C715">
        <f>Data_preprocessing!Q715</f>
        <v>65000</v>
      </c>
      <c r="D715" t="str">
        <f>Data_preprocessing!R715</f>
        <v>Female</v>
      </c>
      <c r="E715" t="str">
        <f>Data_preprocessing!S715</f>
        <v>HR</v>
      </c>
      <c r="F715" t="str">
        <f>Data_preprocessing!T715</f>
        <v>Analyst</v>
      </c>
      <c r="G715" s="2">
        <f>Data_preprocessing!U715</f>
        <v>43845</v>
      </c>
      <c r="H715" t="str">
        <f>Data_preprocessing!V715</f>
        <v>F</v>
      </c>
      <c r="I715" t="str">
        <f>Data_preprocessing!Y715</f>
        <v>Email not provided</v>
      </c>
      <c r="J715" t="str">
        <f>Data_preprocessing!Z715</f>
        <v>098-765-4321</v>
      </c>
      <c r="K715">
        <f t="shared" ca="1" si="33"/>
        <v>6</v>
      </c>
      <c r="L715" t="str">
        <f t="shared" si="34"/>
        <v>High</v>
      </c>
      <c r="M715" t="str">
        <f t="shared" si="35"/>
        <v>Poor</v>
      </c>
    </row>
    <row r="716" spans="1:13" x14ac:dyDescent="0.25">
      <c r="A716" t="str">
        <f>Data_preprocessing!M716</f>
        <v>Grace</v>
      </c>
      <c r="B716">
        <f>Data_preprocessing!O716</f>
        <v>40</v>
      </c>
      <c r="C716">
        <f>Data_preprocessing!Q716</f>
        <v>50000</v>
      </c>
      <c r="D716" t="str">
        <f>Data_preprocessing!R716</f>
        <v>Female</v>
      </c>
      <c r="E716" t="str">
        <f>Data_preprocessing!S716</f>
        <v>Marketing</v>
      </c>
      <c r="F716" t="str">
        <f>Data_preprocessing!T716</f>
        <v>Director</v>
      </c>
      <c r="G716" s="2">
        <f>Data_preprocessing!U716</f>
        <v>43800</v>
      </c>
      <c r="H716" t="str">
        <f>Data_preprocessing!V716</f>
        <v>B</v>
      </c>
      <c r="I716" t="str">
        <f>Data_preprocessing!Y716</f>
        <v>Email not provided</v>
      </c>
      <c r="J716" t="str">
        <f>Data_preprocessing!Z716</f>
        <v>123-456-7890</v>
      </c>
      <c r="K716">
        <f t="shared" ca="1" si="33"/>
        <v>6</v>
      </c>
      <c r="L716" t="str">
        <f t="shared" si="34"/>
        <v>Low</v>
      </c>
      <c r="M716" t="str">
        <f t="shared" si="35"/>
        <v>Good</v>
      </c>
    </row>
    <row r="717" spans="1:13" x14ac:dyDescent="0.25">
      <c r="A717" t="str">
        <f>Data_preprocessing!M717</f>
        <v>Jack</v>
      </c>
      <c r="B717">
        <f>Data_preprocessing!O717</f>
        <v>30</v>
      </c>
      <c r="C717">
        <f>Data_preprocessing!Q717</f>
        <v>70000</v>
      </c>
      <c r="D717" t="str">
        <f>Data_preprocessing!R717</f>
        <v>Female</v>
      </c>
      <c r="E717" t="str">
        <f>Data_preprocessing!S717</f>
        <v>Sales</v>
      </c>
      <c r="F717" t="str">
        <f>Data_preprocessing!T717</f>
        <v>Manager</v>
      </c>
      <c r="G717" s="2">
        <f>Data_preprocessing!U717</f>
        <v>43845</v>
      </c>
      <c r="H717" t="str">
        <f>Data_preprocessing!V717</f>
        <v>A</v>
      </c>
      <c r="I717" t="str">
        <f>Data_preprocessing!Y717</f>
        <v>Email not provided</v>
      </c>
      <c r="J717" t="str">
        <f>Data_preprocessing!Z717</f>
        <v>Phone not provided</v>
      </c>
      <c r="K717">
        <f t="shared" ca="1" si="33"/>
        <v>6</v>
      </c>
      <c r="L717" t="str">
        <f t="shared" si="34"/>
        <v>High</v>
      </c>
      <c r="M717" t="str">
        <f t="shared" si="35"/>
        <v>Excellent</v>
      </c>
    </row>
    <row r="718" spans="1:13" x14ac:dyDescent="0.25">
      <c r="A718" t="str">
        <f>Data_preprocessing!M718</f>
        <v>Charlie</v>
      </c>
      <c r="B718">
        <f>Data_preprocessing!O718</f>
        <v>50</v>
      </c>
      <c r="C718">
        <f>Data_preprocessing!Q718</f>
        <v>65000</v>
      </c>
      <c r="D718" t="str">
        <f>Data_preprocessing!R718</f>
        <v>Female</v>
      </c>
      <c r="E718" t="str">
        <f>Data_preprocessing!S718</f>
        <v>IT</v>
      </c>
      <c r="F718" t="str">
        <f>Data_preprocessing!T718</f>
        <v>Manager</v>
      </c>
      <c r="G718" s="2">
        <f>Data_preprocessing!U718</f>
        <v>43195</v>
      </c>
      <c r="H718" t="str">
        <f>Data_preprocessing!V718</f>
        <v>A</v>
      </c>
      <c r="I718" t="str">
        <f>Data_preprocessing!Y718</f>
        <v>Email not provided</v>
      </c>
      <c r="J718" t="str">
        <f>Data_preprocessing!Z718</f>
        <v>098-765-4321</v>
      </c>
      <c r="K718">
        <f t="shared" ca="1" si="33"/>
        <v>7</v>
      </c>
      <c r="L718" t="str">
        <f t="shared" si="34"/>
        <v>High</v>
      </c>
      <c r="M718" t="str">
        <f t="shared" si="35"/>
        <v>Excellent</v>
      </c>
    </row>
    <row r="719" spans="1:13" x14ac:dyDescent="0.25">
      <c r="A719" t="str">
        <f>Data_preprocessing!M719</f>
        <v>Alice</v>
      </c>
      <c r="B719">
        <f>Data_preprocessing!O719</f>
        <v>30</v>
      </c>
      <c r="C719">
        <f>Data_preprocessing!Q719</f>
        <v>50000</v>
      </c>
      <c r="D719" t="str">
        <f>Data_preprocessing!R719</f>
        <v>Male</v>
      </c>
      <c r="E719" t="str">
        <f>Data_preprocessing!S719</f>
        <v>HR</v>
      </c>
      <c r="F719" t="str">
        <f>Data_preprocessing!T719</f>
        <v>Analyst</v>
      </c>
      <c r="G719" s="2">
        <f>Data_preprocessing!U719</f>
        <v>43881</v>
      </c>
      <c r="H719" t="str">
        <f>Data_preprocessing!V719</f>
        <v>A</v>
      </c>
      <c r="I719" t="str">
        <f>Data_preprocessing!Y719</f>
        <v>Email not provided</v>
      </c>
      <c r="J719" t="str">
        <f>Data_preprocessing!Z719</f>
        <v>098-765-4321</v>
      </c>
      <c r="K719">
        <f t="shared" ca="1" si="33"/>
        <v>5</v>
      </c>
      <c r="L719" t="str">
        <f t="shared" si="34"/>
        <v>Low</v>
      </c>
      <c r="M719" t="str">
        <f t="shared" si="35"/>
        <v>Excellent</v>
      </c>
    </row>
    <row r="720" spans="1:13" x14ac:dyDescent="0.25">
      <c r="A720" t="str">
        <f>Data_preprocessing!M720</f>
        <v>Eve</v>
      </c>
      <c r="B720">
        <f>Data_preprocessing!O720</f>
        <v>50</v>
      </c>
      <c r="C720">
        <f>Data_preprocessing!Q720</f>
        <v>65000</v>
      </c>
      <c r="D720" t="str">
        <f>Data_preprocessing!R720</f>
        <v>Other</v>
      </c>
      <c r="E720" t="str">
        <f>Data_preprocessing!S720</f>
        <v>Finance</v>
      </c>
      <c r="F720" t="str">
        <f>Data_preprocessing!T720</f>
        <v>Director</v>
      </c>
      <c r="G720" s="2">
        <f>Data_preprocessing!U720</f>
        <v>43195</v>
      </c>
      <c r="H720" t="str">
        <f>Data_preprocessing!V720</f>
        <v>D</v>
      </c>
      <c r="I720" t="str">
        <f>Data_preprocessing!Y720</f>
        <v>Email not provided</v>
      </c>
      <c r="J720" t="str">
        <f>Data_preprocessing!Z720</f>
        <v>Phone not provided</v>
      </c>
      <c r="K720">
        <f t="shared" ca="1" si="33"/>
        <v>7</v>
      </c>
      <c r="L720" t="str">
        <f t="shared" si="34"/>
        <v>High</v>
      </c>
      <c r="M720" t="str">
        <f t="shared" si="35"/>
        <v>Below Average</v>
      </c>
    </row>
    <row r="721" spans="1:13" x14ac:dyDescent="0.25">
      <c r="A721" t="str">
        <f>Data_preprocessing!M721</f>
        <v>David</v>
      </c>
      <c r="B721">
        <f>Data_preprocessing!O721</f>
        <v>50</v>
      </c>
      <c r="C721">
        <f>Data_preprocessing!Q721</f>
        <v>70000</v>
      </c>
      <c r="D721" t="str">
        <f>Data_preprocessing!R721</f>
        <v>Female</v>
      </c>
      <c r="E721" t="str">
        <f>Data_preprocessing!S721</f>
        <v>Sales</v>
      </c>
      <c r="F721" t="str">
        <f>Data_preprocessing!T721</f>
        <v>Assistant</v>
      </c>
      <c r="G721" s="2">
        <f>Data_preprocessing!U721</f>
        <v>43195</v>
      </c>
      <c r="H721" t="str">
        <f>Data_preprocessing!V721</f>
        <v>D</v>
      </c>
      <c r="I721" t="str">
        <f>Data_preprocessing!Y721</f>
        <v>email@example.com</v>
      </c>
      <c r="J721" t="str">
        <f>Data_preprocessing!Z721</f>
        <v>123-456-7890</v>
      </c>
      <c r="K721">
        <f t="shared" ca="1" si="33"/>
        <v>7</v>
      </c>
      <c r="L721" t="str">
        <f t="shared" si="34"/>
        <v>High</v>
      </c>
      <c r="M721" t="str">
        <f t="shared" si="35"/>
        <v>Below Average</v>
      </c>
    </row>
    <row r="722" spans="1:13" x14ac:dyDescent="0.25">
      <c r="A722" t="str">
        <f>Data_preprocessing!M722</f>
        <v>Jack</v>
      </c>
      <c r="B722">
        <f>Data_preprocessing!O722</f>
        <v>35</v>
      </c>
      <c r="C722">
        <f>Data_preprocessing!Q722</f>
        <v>60000</v>
      </c>
      <c r="D722" t="str">
        <f>Data_preprocessing!R722</f>
        <v>Female</v>
      </c>
      <c r="E722" t="str">
        <f>Data_preprocessing!S722</f>
        <v>IT</v>
      </c>
      <c r="F722" t="str">
        <f>Data_preprocessing!T722</f>
        <v>Director</v>
      </c>
      <c r="G722" s="2">
        <f>Data_preprocessing!U722</f>
        <v>43549</v>
      </c>
      <c r="H722" t="str">
        <f>Data_preprocessing!V722</f>
        <v>B</v>
      </c>
      <c r="I722" t="str">
        <f>Data_preprocessing!Y722</f>
        <v>user@domain.com</v>
      </c>
      <c r="J722" t="str">
        <f>Data_preprocessing!Z722</f>
        <v>Phone not provided</v>
      </c>
      <c r="K722">
        <f t="shared" ca="1" si="33"/>
        <v>6</v>
      </c>
      <c r="L722" t="str">
        <f t="shared" si="34"/>
        <v>Medium</v>
      </c>
      <c r="M722" t="str">
        <f t="shared" si="35"/>
        <v>Good</v>
      </c>
    </row>
    <row r="723" spans="1:13" x14ac:dyDescent="0.25">
      <c r="A723" t="str">
        <f>Data_preprocessing!M723</f>
        <v>Hannah</v>
      </c>
      <c r="B723">
        <f>Data_preprocessing!O723</f>
        <v>40</v>
      </c>
      <c r="C723">
        <f>Data_preprocessing!Q723</f>
        <v>60000</v>
      </c>
      <c r="D723" t="str">
        <f>Data_preprocessing!R723</f>
        <v>Other</v>
      </c>
      <c r="E723" t="str">
        <f>Data_preprocessing!S723</f>
        <v>Marketing</v>
      </c>
      <c r="F723" t="str">
        <f>Data_preprocessing!T723</f>
        <v>Clerk</v>
      </c>
      <c r="G723" s="2">
        <f>Data_preprocessing!U723</f>
        <v>43549</v>
      </c>
      <c r="H723" t="str">
        <f>Data_preprocessing!V723</f>
        <v>A</v>
      </c>
      <c r="I723" t="str">
        <f>Data_preprocessing!Y723</f>
        <v>Email not provided</v>
      </c>
      <c r="J723" t="str">
        <f>Data_preprocessing!Z723</f>
        <v>Phone not provided</v>
      </c>
      <c r="K723">
        <f t="shared" ca="1" si="33"/>
        <v>6</v>
      </c>
      <c r="L723" t="str">
        <f t="shared" si="34"/>
        <v>Medium</v>
      </c>
      <c r="M723" t="str">
        <f t="shared" si="35"/>
        <v>Excellent</v>
      </c>
    </row>
    <row r="724" spans="1:13" x14ac:dyDescent="0.25">
      <c r="A724" t="str">
        <f>Data_preprocessing!M724</f>
        <v>Alice</v>
      </c>
      <c r="B724">
        <f>Data_preprocessing!O724</f>
        <v>25</v>
      </c>
      <c r="C724">
        <f>Data_preprocessing!Q724</f>
        <v>70000</v>
      </c>
      <c r="D724" t="str">
        <f>Data_preprocessing!R724</f>
        <v>Male</v>
      </c>
      <c r="E724" t="str">
        <f>Data_preprocessing!S724</f>
        <v>IT</v>
      </c>
      <c r="F724" t="str">
        <f>Data_preprocessing!T724</f>
        <v>Manager</v>
      </c>
      <c r="G724" s="2">
        <f>Data_preprocessing!U724</f>
        <v>43195</v>
      </c>
      <c r="H724" t="str">
        <f>Data_preprocessing!V724</f>
        <v>A</v>
      </c>
      <c r="I724" t="str">
        <f>Data_preprocessing!Y724</f>
        <v>email@example.com</v>
      </c>
      <c r="J724" t="str">
        <f>Data_preprocessing!Z724</f>
        <v>555-555-5555</v>
      </c>
      <c r="K724">
        <f t="shared" ca="1" si="33"/>
        <v>7</v>
      </c>
      <c r="L724" t="str">
        <f t="shared" si="34"/>
        <v>High</v>
      </c>
      <c r="M724" t="str">
        <f t="shared" si="35"/>
        <v>Excellent</v>
      </c>
    </row>
    <row r="725" spans="1:13" x14ac:dyDescent="0.25">
      <c r="A725" t="str">
        <f>Data_preprocessing!M725</f>
        <v>Jack</v>
      </c>
      <c r="B725">
        <f>Data_preprocessing!O725</f>
        <v>25</v>
      </c>
      <c r="C725">
        <f>Data_preprocessing!Q725</f>
        <v>55000</v>
      </c>
      <c r="D725" t="str">
        <f>Data_preprocessing!R725</f>
        <v>Other</v>
      </c>
      <c r="E725" t="str">
        <f>Data_preprocessing!S725</f>
        <v>Sales</v>
      </c>
      <c r="F725" t="str">
        <f>Data_preprocessing!T725</f>
        <v>Clerk</v>
      </c>
      <c r="G725" s="2">
        <f>Data_preprocessing!U725</f>
        <v>43881</v>
      </c>
      <c r="H725" t="str">
        <f>Data_preprocessing!V725</f>
        <v>F</v>
      </c>
      <c r="I725" t="str">
        <f>Data_preprocessing!Y725</f>
        <v>Email not provided</v>
      </c>
      <c r="J725" t="str">
        <f>Data_preprocessing!Z725</f>
        <v>Phone not provided</v>
      </c>
      <c r="K725">
        <f t="shared" ca="1" si="33"/>
        <v>5</v>
      </c>
      <c r="L725" t="str">
        <f t="shared" si="34"/>
        <v>Low</v>
      </c>
      <c r="M725" t="str">
        <f t="shared" si="35"/>
        <v>Poor</v>
      </c>
    </row>
    <row r="726" spans="1:13" x14ac:dyDescent="0.25">
      <c r="A726" t="str">
        <f>Data_preprocessing!M726</f>
        <v>Alice</v>
      </c>
      <c r="B726">
        <f>Data_preprocessing!O726</f>
        <v>35</v>
      </c>
      <c r="C726">
        <f>Data_preprocessing!Q726</f>
        <v>65000</v>
      </c>
      <c r="D726" t="str">
        <f>Data_preprocessing!R726</f>
        <v>Other</v>
      </c>
      <c r="E726" t="str">
        <f>Data_preprocessing!S726</f>
        <v>Sales</v>
      </c>
      <c r="F726" t="str">
        <f>Data_preprocessing!T726</f>
        <v>Assistant</v>
      </c>
      <c r="G726" s="2">
        <f>Data_preprocessing!U726</f>
        <v>43195</v>
      </c>
      <c r="H726" t="str">
        <f>Data_preprocessing!V726</f>
        <v>F</v>
      </c>
      <c r="I726" t="str">
        <f>Data_preprocessing!Y726</f>
        <v>email@example.com</v>
      </c>
      <c r="J726" t="str">
        <f>Data_preprocessing!Z726</f>
        <v>098-765-4321</v>
      </c>
      <c r="K726">
        <f t="shared" ca="1" si="33"/>
        <v>7</v>
      </c>
      <c r="L726" t="str">
        <f t="shared" si="34"/>
        <v>High</v>
      </c>
      <c r="M726" t="str">
        <f t="shared" si="35"/>
        <v>Poor</v>
      </c>
    </row>
    <row r="727" spans="1:13" x14ac:dyDescent="0.25">
      <c r="A727" t="str">
        <f>Data_preprocessing!M727</f>
        <v>David</v>
      </c>
      <c r="B727">
        <f>Data_preprocessing!O727</f>
        <v>50</v>
      </c>
      <c r="C727">
        <f>Data_preprocessing!Q727</f>
        <v>65000</v>
      </c>
      <c r="D727" t="str">
        <f>Data_preprocessing!R727</f>
        <v>Female</v>
      </c>
      <c r="E727" t="str">
        <f>Data_preprocessing!S727</f>
        <v>IT</v>
      </c>
      <c r="F727" t="str">
        <f>Data_preprocessing!T727</f>
        <v>Clerk</v>
      </c>
      <c r="G727" s="2">
        <f>Data_preprocessing!U727</f>
        <v>43549</v>
      </c>
      <c r="H727" t="str">
        <f>Data_preprocessing!V727</f>
        <v>B</v>
      </c>
      <c r="I727" t="str">
        <f>Data_preprocessing!Y727</f>
        <v>Email not provided</v>
      </c>
      <c r="J727" t="str">
        <f>Data_preprocessing!Z727</f>
        <v>123-456-7890</v>
      </c>
      <c r="K727">
        <f t="shared" ca="1" si="33"/>
        <v>6</v>
      </c>
      <c r="L727" t="str">
        <f t="shared" si="34"/>
        <v>High</v>
      </c>
      <c r="M727" t="str">
        <f t="shared" si="35"/>
        <v>Good</v>
      </c>
    </row>
    <row r="728" spans="1:13" x14ac:dyDescent="0.25">
      <c r="A728" t="str">
        <f>Data_preprocessing!M728</f>
        <v>Hannah</v>
      </c>
      <c r="B728">
        <f>Data_preprocessing!O728</f>
        <v>25</v>
      </c>
      <c r="C728">
        <f>Data_preprocessing!Q728</f>
        <v>60000</v>
      </c>
      <c r="D728" t="str">
        <f>Data_preprocessing!R728</f>
        <v>Other</v>
      </c>
      <c r="E728" t="str">
        <f>Data_preprocessing!S728</f>
        <v>Marketing</v>
      </c>
      <c r="F728" t="str">
        <f>Data_preprocessing!T728</f>
        <v>Director</v>
      </c>
      <c r="G728" s="2">
        <f>Data_preprocessing!U728</f>
        <v>43881</v>
      </c>
      <c r="H728" t="str">
        <f>Data_preprocessing!V728</f>
        <v>A</v>
      </c>
      <c r="I728" t="str">
        <f>Data_preprocessing!Y728</f>
        <v>Email not provided</v>
      </c>
      <c r="J728" t="str">
        <f>Data_preprocessing!Z728</f>
        <v>Phone not provided</v>
      </c>
      <c r="K728">
        <f t="shared" ca="1" si="33"/>
        <v>5</v>
      </c>
      <c r="L728" t="str">
        <f t="shared" si="34"/>
        <v>Medium</v>
      </c>
      <c r="M728" t="str">
        <f t="shared" si="35"/>
        <v>Excellent</v>
      </c>
    </row>
    <row r="729" spans="1:13" x14ac:dyDescent="0.25">
      <c r="A729" t="str">
        <f>Data_preprocessing!M729</f>
        <v>Eve</v>
      </c>
      <c r="B729">
        <f>Data_preprocessing!O729</f>
        <v>35</v>
      </c>
      <c r="C729">
        <f>Data_preprocessing!Q729</f>
        <v>55000</v>
      </c>
      <c r="D729" t="str">
        <f>Data_preprocessing!R729</f>
        <v>Other</v>
      </c>
      <c r="E729" t="str">
        <f>Data_preprocessing!S729</f>
        <v>IT</v>
      </c>
      <c r="F729" t="str">
        <f>Data_preprocessing!T729</f>
        <v>Clerk</v>
      </c>
      <c r="G729" s="2">
        <f>Data_preprocessing!U729</f>
        <v>43195</v>
      </c>
      <c r="H729" t="str">
        <f>Data_preprocessing!V729</f>
        <v>B</v>
      </c>
      <c r="I729" t="str">
        <f>Data_preprocessing!Y729</f>
        <v>Email not provided</v>
      </c>
      <c r="J729" t="str">
        <f>Data_preprocessing!Z729</f>
        <v>Phone not provided</v>
      </c>
      <c r="K729">
        <f t="shared" ca="1" si="33"/>
        <v>7</v>
      </c>
      <c r="L729" t="str">
        <f t="shared" si="34"/>
        <v>Low</v>
      </c>
      <c r="M729" t="str">
        <f t="shared" si="35"/>
        <v>Good</v>
      </c>
    </row>
    <row r="730" spans="1:13" x14ac:dyDescent="0.25">
      <c r="A730" t="str">
        <f>Data_preprocessing!M730</f>
        <v>Bob</v>
      </c>
      <c r="B730">
        <f>Data_preprocessing!O730</f>
        <v>50</v>
      </c>
      <c r="C730">
        <f>Data_preprocessing!Q730</f>
        <v>60000</v>
      </c>
      <c r="D730" t="str">
        <f>Data_preprocessing!R730</f>
        <v>Female</v>
      </c>
      <c r="E730" t="str">
        <f>Data_preprocessing!S730</f>
        <v>Sales</v>
      </c>
      <c r="F730" t="str">
        <f>Data_preprocessing!T730</f>
        <v>Assistant</v>
      </c>
      <c r="G730" s="2">
        <f>Data_preprocessing!U730</f>
        <v>43800</v>
      </c>
      <c r="H730" t="str">
        <f>Data_preprocessing!V730</f>
        <v>F</v>
      </c>
      <c r="I730" t="str">
        <f>Data_preprocessing!Y730</f>
        <v>Email not provided</v>
      </c>
      <c r="J730" t="str">
        <f>Data_preprocessing!Z730</f>
        <v>123-456-7890</v>
      </c>
      <c r="K730">
        <f t="shared" ca="1" si="33"/>
        <v>6</v>
      </c>
      <c r="L730" t="str">
        <f t="shared" si="34"/>
        <v>Medium</v>
      </c>
      <c r="M730" t="str">
        <f t="shared" si="35"/>
        <v>Poor</v>
      </c>
    </row>
    <row r="731" spans="1:13" x14ac:dyDescent="0.25">
      <c r="A731" t="str">
        <f>Data_preprocessing!M731</f>
        <v>Frank</v>
      </c>
      <c r="B731">
        <f>Data_preprocessing!O731</f>
        <v>35</v>
      </c>
      <c r="C731">
        <f>Data_preprocessing!Q731</f>
        <v>55000</v>
      </c>
      <c r="D731" t="str">
        <f>Data_preprocessing!R731</f>
        <v>Female</v>
      </c>
      <c r="E731" t="str">
        <f>Data_preprocessing!S731</f>
        <v>Sales</v>
      </c>
      <c r="F731" t="str">
        <f>Data_preprocessing!T731</f>
        <v>Assistant</v>
      </c>
      <c r="G731" s="2">
        <f>Data_preprocessing!U731</f>
        <v>43800</v>
      </c>
      <c r="H731" t="str">
        <f>Data_preprocessing!V731</f>
        <v>F</v>
      </c>
      <c r="I731" t="str">
        <f>Data_preprocessing!Y731</f>
        <v>name@company.org</v>
      </c>
      <c r="J731" t="str">
        <f>Data_preprocessing!Z731</f>
        <v>Phone not provided</v>
      </c>
      <c r="K731">
        <f t="shared" ca="1" si="33"/>
        <v>6</v>
      </c>
      <c r="L731" t="str">
        <f t="shared" si="34"/>
        <v>Low</v>
      </c>
      <c r="M731" t="str">
        <f t="shared" si="35"/>
        <v>Poor</v>
      </c>
    </row>
    <row r="732" spans="1:13" x14ac:dyDescent="0.25">
      <c r="A732" t="str">
        <f>Data_preprocessing!M732</f>
        <v>Eve</v>
      </c>
      <c r="B732">
        <f>Data_preprocessing!O732</f>
        <v>25</v>
      </c>
      <c r="C732">
        <f>Data_preprocessing!Q732</f>
        <v>60000</v>
      </c>
      <c r="D732" t="str">
        <f>Data_preprocessing!R732</f>
        <v>Female</v>
      </c>
      <c r="E732" t="str">
        <f>Data_preprocessing!S732</f>
        <v>Finance</v>
      </c>
      <c r="F732" t="str">
        <f>Data_preprocessing!T732</f>
        <v>Assistant</v>
      </c>
      <c r="G732" s="2">
        <f>Data_preprocessing!U732</f>
        <v>43195</v>
      </c>
      <c r="H732" t="str">
        <f>Data_preprocessing!V732</f>
        <v>D</v>
      </c>
      <c r="I732" t="str">
        <f>Data_preprocessing!Y732</f>
        <v>email@example.com</v>
      </c>
      <c r="J732" t="str">
        <f>Data_preprocessing!Z732</f>
        <v>555-555-5555</v>
      </c>
      <c r="K732">
        <f t="shared" ca="1" si="33"/>
        <v>7</v>
      </c>
      <c r="L732" t="str">
        <f t="shared" si="34"/>
        <v>Medium</v>
      </c>
      <c r="M732" t="str">
        <f t="shared" si="35"/>
        <v>Below Average</v>
      </c>
    </row>
    <row r="733" spans="1:13" x14ac:dyDescent="0.25">
      <c r="A733" t="str">
        <f>Data_preprocessing!M733</f>
        <v>Bob</v>
      </c>
      <c r="B733">
        <f>Data_preprocessing!O733</f>
        <v>25</v>
      </c>
      <c r="C733">
        <f>Data_preprocessing!Q733</f>
        <v>65000</v>
      </c>
      <c r="D733" t="str">
        <f>Data_preprocessing!R733</f>
        <v>Female</v>
      </c>
      <c r="E733" t="str">
        <f>Data_preprocessing!S733</f>
        <v>Finance</v>
      </c>
      <c r="F733" t="str">
        <f>Data_preprocessing!T733</f>
        <v>Director</v>
      </c>
      <c r="G733" s="2">
        <f>Data_preprocessing!U733</f>
        <v>43881</v>
      </c>
      <c r="H733" t="str">
        <f>Data_preprocessing!V733</f>
        <v>B</v>
      </c>
      <c r="I733" t="str">
        <f>Data_preprocessing!Y733</f>
        <v>name@company.org</v>
      </c>
      <c r="J733" t="str">
        <f>Data_preprocessing!Z733</f>
        <v>Phone not provided</v>
      </c>
      <c r="K733">
        <f t="shared" ca="1" si="33"/>
        <v>5</v>
      </c>
      <c r="L733" t="str">
        <f t="shared" si="34"/>
        <v>High</v>
      </c>
      <c r="M733" t="str">
        <f t="shared" si="35"/>
        <v>Good</v>
      </c>
    </row>
    <row r="734" spans="1:13" x14ac:dyDescent="0.25">
      <c r="A734" t="str">
        <f>Data_preprocessing!M734</f>
        <v>Charlie</v>
      </c>
      <c r="B734">
        <f>Data_preprocessing!O734</f>
        <v>35</v>
      </c>
      <c r="C734">
        <f>Data_preprocessing!Q734</f>
        <v>65000</v>
      </c>
      <c r="D734" t="str">
        <f>Data_preprocessing!R734</f>
        <v>Other</v>
      </c>
      <c r="E734" t="str">
        <f>Data_preprocessing!S734</f>
        <v>HR</v>
      </c>
      <c r="F734" t="str">
        <f>Data_preprocessing!T734</f>
        <v>Assistant</v>
      </c>
      <c r="G734" s="2">
        <f>Data_preprocessing!U734</f>
        <v>43195</v>
      </c>
      <c r="H734" t="str">
        <f>Data_preprocessing!V734</f>
        <v>B</v>
      </c>
      <c r="I734" t="str">
        <f>Data_preprocessing!Y734</f>
        <v>email@example.com</v>
      </c>
      <c r="J734" t="str">
        <f>Data_preprocessing!Z734</f>
        <v>555-555-5555</v>
      </c>
      <c r="K734">
        <f t="shared" ca="1" si="33"/>
        <v>7</v>
      </c>
      <c r="L734" t="str">
        <f t="shared" si="34"/>
        <v>High</v>
      </c>
      <c r="M734" t="str">
        <f t="shared" si="35"/>
        <v>Good</v>
      </c>
    </row>
    <row r="735" spans="1:13" x14ac:dyDescent="0.25">
      <c r="A735" t="str">
        <f>Data_preprocessing!M735</f>
        <v>Ivy</v>
      </c>
      <c r="B735">
        <f>Data_preprocessing!O735</f>
        <v>25</v>
      </c>
      <c r="C735">
        <f>Data_preprocessing!Q735</f>
        <v>60000</v>
      </c>
      <c r="D735" t="str">
        <f>Data_preprocessing!R735</f>
        <v>Other</v>
      </c>
      <c r="E735" t="str">
        <f>Data_preprocessing!S735</f>
        <v>Sales</v>
      </c>
      <c r="F735" t="str">
        <f>Data_preprocessing!T735</f>
        <v>Manager</v>
      </c>
      <c r="G735" s="2">
        <f>Data_preprocessing!U735</f>
        <v>43195</v>
      </c>
      <c r="H735" t="str">
        <f>Data_preprocessing!V735</f>
        <v>A</v>
      </c>
      <c r="I735" t="str">
        <f>Data_preprocessing!Y735</f>
        <v>user@domain.com</v>
      </c>
      <c r="J735" t="str">
        <f>Data_preprocessing!Z735</f>
        <v>098-765-4321</v>
      </c>
      <c r="K735">
        <f t="shared" ca="1" si="33"/>
        <v>7</v>
      </c>
      <c r="L735" t="str">
        <f t="shared" si="34"/>
        <v>Medium</v>
      </c>
      <c r="M735" t="str">
        <f t="shared" si="35"/>
        <v>Excellent</v>
      </c>
    </row>
    <row r="736" spans="1:13" x14ac:dyDescent="0.25">
      <c r="A736" t="str">
        <f>Data_preprocessing!M736</f>
        <v>Grace</v>
      </c>
      <c r="B736">
        <f>Data_preprocessing!O736</f>
        <v>50</v>
      </c>
      <c r="C736">
        <f>Data_preprocessing!Q736</f>
        <v>50000</v>
      </c>
      <c r="D736" t="str">
        <f>Data_preprocessing!R736</f>
        <v>Male</v>
      </c>
      <c r="E736" t="str">
        <f>Data_preprocessing!S736</f>
        <v>Finance</v>
      </c>
      <c r="F736" t="str">
        <f>Data_preprocessing!T736</f>
        <v>Assistant</v>
      </c>
      <c r="G736" s="2">
        <f>Data_preprocessing!U736</f>
        <v>43549</v>
      </c>
      <c r="H736" t="str">
        <f>Data_preprocessing!V736</f>
        <v>A</v>
      </c>
      <c r="I736" t="str">
        <f>Data_preprocessing!Y736</f>
        <v>Email not provided</v>
      </c>
      <c r="J736" t="str">
        <f>Data_preprocessing!Z736</f>
        <v>098-765-4321</v>
      </c>
      <c r="K736">
        <f t="shared" ca="1" si="33"/>
        <v>6</v>
      </c>
      <c r="L736" t="str">
        <f t="shared" si="34"/>
        <v>Low</v>
      </c>
      <c r="M736" t="str">
        <f t="shared" si="35"/>
        <v>Excellent</v>
      </c>
    </row>
    <row r="737" spans="1:13" x14ac:dyDescent="0.25">
      <c r="A737" t="str">
        <f>Data_preprocessing!M737</f>
        <v>Grace</v>
      </c>
      <c r="B737">
        <f>Data_preprocessing!O737</f>
        <v>50</v>
      </c>
      <c r="C737">
        <f>Data_preprocessing!Q737</f>
        <v>60000</v>
      </c>
      <c r="D737" t="str">
        <f>Data_preprocessing!R737</f>
        <v>Male</v>
      </c>
      <c r="E737" t="str">
        <f>Data_preprocessing!S737</f>
        <v>IT</v>
      </c>
      <c r="F737" t="str">
        <f>Data_preprocessing!T737</f>
        <v>Clerk</v>
      </c>
      <c r="G737" s="2">
        <f>Data_preprocessing!U737</f>
        <v>43800</v>
      </c>
      <c r="H737" t="str">
        <f>Data_preprocessing!V737</f>
        <v>D</v>
      </c>
      <c r="I737" t="str">
        <f>Data_preprocessing!Y737</f>
        <v>user@domain.com</v>
      </c>
      <c r="J737" t="str">
        <f>Data_preprocessing!Z737</f>
        <v>Phone not provided</v>
      </c>
      <c r="K737">
        <f t="shared" ca="1" si="33"/>
        <v>6</v>
      </c>
      <c r="L737" t="str">
        <f t="shared" si="34"/>
        <v>Medium</v>
      </c>
      <c r="M737" t="str">
        <f t="shared" si="35"/>
        <v>Below Average</v>
      </c>
    </row>
    <row r="738" spans="1:13" x14ac:dyDescent="0.25">
      <c r="A738" t="str">
        <f>Data_preprocessing!M738</f>
        <v>Frank</v>
      </c>
      <c r="B738">
        <f>Data_preprocessing!O738</f>
        <v>50</v>
      </c>
      <c r="C738">
        <f>Data_preprocessing!Q738</f>
        <v>60000</v>
      </c>
      <c r="D738" t="str">
        <f>Data_preprocessing!R738</f>
        <v>Other</v>
      </c>
      <c r="E738" t="str">
        <f>Data_preprocessing!S738</f>
        <v>Marketing</v>
      </c>
      <c r="F738" t="str">
        <f>Data_preprocessing!T738</f>
        <v>Clerk</v>
      </c>
      <c r="G738" s="2">
        <f>Data_preprocessing!U738</f>
        <v>43549</v>
      </c>
      <c r="H738" t="str">
        <f>Data_preprocessing!V738</f>
        <v>C</v>
      </c>
      <c r="I738" t="str">
        <f>Data_preprocessing!Y738</f>
        <v>user@domain.com</v>
      </c>
      <c r="J738" t="str">
        <f>Data_preprocessing!Z738</f>
        <v>555-555-5555</v>
      </c>
      <c r="K738">
        <f t="shared" ca="1" si="33"/>
        <v>6</v>
      </c>
      <c r="L738" t="str">
        <f t="shared" si="34"/>
        <v>Medium</v>
      </c>
      <c r="M738" t="str">
        <f t="shared" si="35"/>
        <v>Average</v>
      </c>
    </row>
    <row r="739" spans="1:13" x14ac:dyDescent="0.25">
      <c r="A739" t="str">
        <f>Data_preprocessing!M739</f>
        <v>Hannah</v>
      </c>
      <c r="B739">
        <f>Data_preprocessing!O739</f>
        <v>35</v>
      </c>
      <c r="C739">
        <f>Data_preprocessing!Q739</f>
        <v>60000</v>
      </c>
      <c r="D739" t="str">
        <f>Data_preprocessing!R739</f>
        <v>Male</v>
      </c>
      <c r="E739" t="str">
        <f>Data_preprocessing!S739</f>
        <v>IT</v>
      </c>
      <c r="F739" t="str">
        <f>Data_preprocessing!T739</f>
        <v>Clerk</v>
      </c>
      <c r="G739" s="2">
        <f>Data_preprocessing!U739</f>
        <v>43549</v>
      </c>
      <c r="H739" t="str">
        <f>Data_preprocessing!V739</f>
        <v>C</v>
      </c>
      <c r="I739" t="str">
        <f>Data_preprocessing!Y739</f>
        <v>email@example.com</v>
      </c>
      <c r="J739" t="str">
        <f>Data_preprocessing!Z739</f>
        <v>098-765-4321</v>
      </c>
      <c r="K739">
        <f t="shared" ca="1" si="33"/>
        <v>6</v>
      </c>
      <c r="L739" t="str">
        <f t="shared" si="34"/>
        <v>Medium</v>
      </c>
      <c r="M739" t="str">
        <f t="shared" si="35"/>
        <v>Average</v>
      </c>
    </row>
    <row r="740" spans="1:13" x14ac:dyDescent="0.25">
      <c r="A740" t="str">
        <f>Data_preprocessing!M740</f>
        <v>David</v>
      </c>
      <c r="B740">
        <f>Data_preprocessing!O740</f>
        <v>35</v>
      </c>
      <c r="C740">
        <f>Data_preprocessing!Q740</f>
        <v>70000</v>
      </c>
      <c r="D740" t="str">
        <f>Data_preprocessing!R740</f>
        <v>Other</v>
      </c>
      <c r="E740" t="str">
        <f>Data_preprocessing!S740</f>
        <v>Marketing</v>
      </c>
      <c r="F740" t="str">
        <f>Data_preprocessing!T740</f>
        <v>Director</v>
      </c>
      <c r="G740" s="2">
        <f>Data_preprocessing!U740</f>
        <v>43195</v>
      </c>
      <c r="H740" t="str">
        <f>Data_preprocessing!V740</f>
        <v>C</v>
      </c>
      <c r="I740" t="str">
        <f>Data_preprocessing!Y740</f>
        <v>name@company.org</v>
      </c>
      <c r="J740" t="str">
        <f>Data_preprocessing!Z740</f>
        <v>Phone not provided</v>
      </c>
      <c r="K740">
        <f t="shared" ca="1" si="33"/>
        <v>7</v>
      </c>
      <c r="L740" t="str">
        <f t="shared" si="34"/>
        <v>High</v>
      </c>
      <c r="M740" t="str">
        <f t="shared" si="35"/>
        <v>Average</v>
      </c>
    </row>
    <row r="741" spans="1:13" x14ac:dyDescent="0.25">
      <c r="A741" t="str">
        <f>Data_preprocessing!M741</f>
        <v>Hannah</v>
      </c>
      <c r="B741">
        <f>Data_preprocessing!O741</f>
        <v>25</v>
      </c>
      <c r="C741">
        <f>Data_preprocessing!Q741</f>
        <v>65000</v>
      </c>
      <c r="D741" t="str">
        <f>Data_preprocessing!R741</f>
        <v>Male</v>
      </c>
      <c r="E741" t="str">
        <f>Data_preprocessing!S741</f>
        <v>Finance</v>
      </c>
      <c r="F741" t="str">
        <f>Data_preprocessing!T741</f>
        <v>Clerk</v>
      </c>
      <c r="G741" s="2">
        <f>Data_preprocessing!U741</f>
        <v>43549</v>
      </c>
      <c r="H741" t="str">
        <f>Data_preprocessing!V741</f>
        <v>B</v>
      </c>
      <c r="I741" t="str">
        <f>Data_preprocessing!Y741</f>
        <v>Email not provided</v>
      </c>
      <c r="J741" t="str">
        <f>Data_preprocessing!Z741</f>
        <v>123-456-7890</v>
      </c>
      <c r="K741">
        <f t="shared" ca="1" si="33"/>
        <v>6</v>
      </c>
      <c r="L741" t="str">
        <f t="shared" si="34"/>
        <v>High</v>
      </c>
      <c r="M741" t="str">
        <f t="shared" si="35"/>
        <v>Good</v>
      </c>
    </row>
    <row r="742" spans="1:13" x14ac:dyDescent="0.25">
      <c r="A742" t="str">
        <f>Data_preprocessing!M742</f>
        <v>David</v>
      </c>
      <c r="B742">
        <f>Data_preprocessing!O742</f>
        <v>30</v>
      </c>
      <c r="C742">
        <f>Data_preprocessing!Q742</f>
        <v>60000</v>
      </c>
      <c r="D742" t="str">
        <f>Data_preprocessing!R742</f>
        <v>Female</v>
      </c>
      <c r="E742" t="str">
        <f>Data_preprocessing!S742</f>
        <v>HR</v>
      </c>
      <c r="F742" t="str">
        <f>Data_preprocessing!T742</f>
        <v>Director</v>
      </c>
      <c r="G742" s="2">
        <f>Data_preprocessing!U742</f>
        <v>43800</v>
      </c>
      <c r="H742" t="str">
        <f>Data_preprocessing!V742</f>
        <v>B</v>
      </c>
      <c r="I742" t="str">
        <f>Data_preprocessing!Y742</f>
        <v>email@example.com</v>
      </c>
      <c r="J742" t="str">
        <f>Data_preprocessing!Z742</f>
        <v>123-456-7890</v>
      </c>
      <c r="K742">
        <f t="shared" ca="1" si="33"/>
        <v>6</v>
      </c>
      <c r="L742" t="str">
        <f t="shared" si="34"/>
        <v>Medium</v>
      </c>
      <c r="M742" t="str">
        <f t="shared" si="35"/>
        <v>Good</v>
      </c>
    </row>
    <row r="743" spans="1:13" x14ac:dyDescent="0.25">
      <c r="A743" t="str">
        <f>Data_preprocessing!M743</f>
        <v>Hannah</v>
      </c>
      <c r="B743">
        <f>Data_preprocessing!O743</f>
        <v>30</v>
      </c>
      <c r="C743">
        <f>Data_preprocessing!Q743</f>
        <v>55000</v>
      </c>
      <c r="D743" t="str">
        <f>Data_preprocessing!R743</f>
        <v>Male</v>
      </c>
      <c r="E743" t="str">
        <f>Data_preprocessing!S743</f>
        <v>IT</v>
      </c>
      <c r="F743" t="str">
        <f>Data_preprocessing!T743</f>
        <v>Director</v>
      </c>
      <c r="G743" s="2">
        <f>Data_preprocessing!U743</f>
        <v>43549</v>
      </c>
      <c r="H743" t="str">
        <f>Data_preprocessing!V743</f>
        <v>F</v>
      </c>
      <c r="I743" t="str">
        <f>Data_preprocessing!Y743</f>
        <v>Email not provided</v>
      </c>
      <c r="J743" t="str">
        <f>Data_preprocessing!Z743</f>
        <v>555-555-5555</v>
      </c>
      <c r="K743">
        <f t="shared" ca="1" si="33"/>
        <v>6</v>
      </c>
      <c r="L743" t="str">
        <f t="shared" si="34"/>
        <v>Low</v>
      </c>
      <c r="M743" t="str">
        <f t="shared" si="35"/>
        <v>Poor</v>
      </c>
    </row>
    <row r="744" spans="1:13" x14ac:dyDescent="0.25">
      <c r="A744" t="str">
        <f>Data_preprocessing!M744</f>
        <v>Ivy</v>
      </c>
      <c r="B744">
        <f>Data_preprocessing!O744</f>
        <v>35</v>
      </c>
      <c r="C744">
        <f>Data_preprocessing!Q744</f>
        <v>60000</v>
      </c>
      <c r="D744" t="str">
        <f>Data_preprocessing!R744</f>
        <v>Female</v>
      </c>
      <c r="E744" t="str">
        <f>Data_preprocessing!S744</f>
        <v>IT</v>
      </c>
      <c r="F744" t="str">
        <f>Data_preprocessing!T744</f>
        <v>Assistant</v>
      </c>
      <c r="G744" s="2">
        <f>Data_preprocessing!U744</f>
        <v>43800</v>
      </c>
      <c r="H744" t="str">
        <f>Data_preprocessing!V744</f>
        <v>B</v>
      </c>
      <c r="I744" t="str">
        <f>Data_preprocessing!Y744</f>
        <v>user@domain.com</v>
      </c>
      <c r="J744" t="str">
        <f>Data_preprocessing!Z744</f>
        <v>Phone not provided</v>
      </c>
      <c r="K744">
        <f t="shared" ca="1" si="33"/>
        <v>6</v>
      </c>
      <c r="L744" t="str">
        <f t="shared" si="34"/>
        <v>Medium</v>
      </c>
      <c r="M744" t="str">
        <f t="shared" si="35"/>
        <v>Good</v>
      </c>
    </row>
    <row r="745" spans="1:13" x14ac:dyDescent="0.25">
      <c r="A745" t="str">
        <f>Data_preprocessing!M745</f>
        <v>Charlie</v>
      </c>
      <c r="B745">
        <f>Data_preprocessing!O745</f>
        <v>25</v>
      </c>
      <c r="C745">
        <f>Data_preprocessing!Q745</f>
        <v>70000</v>
      </c>
      <c r="D745" t="str">
        <f>Data_preprocessing!R745</f>
        <v>Female</v>
      </c>
      <c r="E745" t="str">
        <f>Data_preprocessing!S745</f>
        <v>IT</v>
      </c>
      <c r="F745" t="str">
        <f>Data_preprocessing!T745</f>
        <v>Manager</v>
      </c>
      <c r="G745" s="2">
        <f>Data_preprocessing!U745</f>
        <v>43549</v>
      </c>
      <c r="H745" t="str">
        <f>Data_preprocessing!V745</f>
        <v>B</v>
      </c>
      <c r="I745" t="str">
        <f>Data_preprocessing!Y745</f>
        <v>Email not provided</v>
      </c>
      <c r="J745" t="str">
        <f>Data_preprocessing!Z745</f>
        <v>Phone not provided</v>
      </c>
      <c r="K745">
        <f t="shared" ca="1" si="33"/>
        <v>6</v>
      </c>
      <c r="L745" t="str">
        <f t="shared" si="34"/>
        <v>High</v>
      </c>
      <c r="M745" t="str">
        <f t="shared" si="35"/>
        <v>Good</v>
      </c>
    </row>
    <row r="746" spans="1:13" x14ac:dyDescent="0.25">
      <c r="A746" t="str">
        <f>Data_preprocessing!M746</f>
        <v>Charlie</v>
      </c>
      <c r="B746">
        <f>Data_preprocessing!O746</f>
        <v>30</v>
      </c>
      <c r="C746">
        <f>Data_preprocessing!Q746</f>
        <v>65000</v>
      </c>
      <c r="D746" t="str">
        <f>Data_preprocessing!R746</f>
        <v>Female</v>
      </c>
      <c r="E746" t="str">
        <f>Data_preprocessing!S746</f>
        <v>Marketing</v>
      </c>
      <c r="F746" t="str">
        <f>Data_preprocessing!T746</f>
        <v>Assistant</v>
      </c>
      <c r="G746" s="2">
        <f>Data_preprocessing!U746</f>
        <v>43800</v>
      </c>
      <c r="H746" t="str">
        <f>Data_preprocessing!V746</f>
        <v>B</v>
      </c>
      <c r="I746" t="str">
        <f>Data_preprocessing!Y746</f>
        <v>name@company.org</v>
      </c>
      <c r="J746" t="str">
        <f>Data_preprocessing!Z746</f>
        <v>555-555-5555</v>
      </c>
      <c r="K746">
        <f t="shared" ca="1" si="33"/>
        <v>6</v>
      </c>
      <c r="L746" t="str">
        <f t="shared" si="34"/>
        <v>High</v>
      </c>
      <c r="M746" t="str">
        <f t="shared" si="35"/>
        <v>Good</v>
      </c>
    </row>
    <row r="747" spans="1:13" x14ac:dyDescent="0.25">
      <c r="A747" t="str">
        <f>Data_preprocessing!M747</f>
        <v>Bob</v>
      </c>
      <c r="B747">
        <f>Data_preprocessing!O747</f>
        <v>25</v>
      </c>
      <c r="C747">
        <f>Data_preprocessing!Q747</f>
        <v>60000</v>
      </c>
      <c r="D747" t="str">
        <f>Data_preprocessing!R747</f>
        <v>Female</v>
      </c>
      <c r="E747" t="str">
        <f>Data_preprocessing!S747</f>
        <v>Finance</v>
      </c>
      <c r="F747" t="str">
        <f>Data_preprocessing!T747</f>
        <v>Assistant</v>
      </c>
      <c r="G747" s="2">
        <f>Data_preprocessing!U747</f>
        <v>43549</v>
      </c>
      <c r="H747" t="str">
        <f>Data_preprocessing!V747</f>
        <v>D</v>
      </c>
      <c r="I747" t="str">
        <f>Data_preprocessing!Y747</f>
        <v>email@example.com</v>
      </c>
      <c r="J747" t="str">
        <f>Data_preprocessing!Z747</f>
        <v>123-456-7890</v>
      </c>
      <c r="K747">
        <f t="shared" ca="1" si="33"/>
        <v>6</v>
      </c>
      <c r="L747" t="str">
        <f t="shared" si="34"/>
        <v>Medium</v>
      </c>
      <c r="M747" t="str">
        <f t="shared" si="35"/>
        <v>Below Average</v>
      </c>
    </row>
    <row r="748" spans="1:13" x14ac:dyDescent="0.25">
      <c r="A748" t="str">
        <f>Data_preprocessing!M748</f>
        <v>Jack</v>
      </c>
      <c r="B748">
        <f>Data_preprocessing!O748</f>
        <v>25</v>
      </c>
      <c r="C748">
        <f>Data_preprocessing!Q748</f>
        <v>70000</v>
      </c>
      <c r="D748" t="str">
        <f>Data_preprocessing!R748</f>
        <v>Male</v>
      </c>
      <c r="E748" t="str">
        <f>Data_preprocessing!S748</f>
        <v>IT</v>
      </c>
      <c r="F748" t="str">
        <f>Data_preprocessing!T748</f>
        <v>Director</v>
      </c>
      <c r="G748" s="2">
        <f>Data_preprocessing!U748</f>
        <v>43549</v>
      </c>
      <c r="H748" t="str">
        <f>Data_preprocessing!V748</f>
        <v>B</v>
      </c>
      <c r="I748" t="str">
        <f>Data_preprocessing!Y748</f>
        <v>name@company.org</v>
      </c>
      <c r="J748" t="str">
        <f>Data_preprocessing!Z748</f>
        <v>555-555-5555</v>
      </c>
      <c r="K748">
        <f t="shared" ca="1" si="33"/>
        <v>6</v>
      </c>
      <c r="L748" t="str">
        <f t="shared" si="34"/>
        <v>High</v>
      </c>
      <c r="M748" t="str">
        <f t="shared" si="35"/>
        <v>Good</v>
      </c>
    </row>
    <row r="749" spans="1:13" x14ac:dyDescent="0.25">
      <c r="A749" t="str">
        <f>Data_preprocessing!M749</f>
        <v>Charlie</v>
      </c>
      <c r="B749">
        <f>Data_preprocessing!O749</f>
        <v>25</v>
      </c>
      <c r="C749">
        <f>Data_preprocessing!Q749</f>
        <v>65000</v>
      </c>
      <c r="D749" t="str">
        <f>Data_preprocessing!R749</f>
        <v>Other</v>
      </c>
      <c r="E749" t="str">
        <f>Data_preprocessing!S749</f>
        <v>IT</v>
      </c>
      <c r="F749" t="str">
        <f>Data_preprocessing!T749</f>
        <v>Director</v>
      </c>
      <c r="G749" s="2">
        <f>Data_preprocessing!U749</f>
        <v>43881</v>
      </c>
      <c r="H749" t="str">
        <f>Data_preprocessing!V749</f>
        <v>A</v>
      </c>
      <c r="I749" t="str">
        <f>Data_preprocessing!Y749</f>
        <v>name@company.org</v>
      </c>
      <c r="J749" t="str">
        <f>Data_preprocessing!Z749</f>
        <v>Phone not provided</v>
      </c>
      <c r="K749">
        <f t="shared" ca="1" si="33"/>
        <v>5</v>
      </c>
      <c r="L749" t="str">
        <f t="shared" si="34"/>
        <v>High</v>
      </c>
      <c r="M749" t="str">
        <f t="shared" si="35"/>
        <v>Excellent</v>
      </c>
    </row>
    <row r="750" spans="1:13" x14ac:dyDescent="0.25">
      <c r="A750" t="str">
        <f>Data_preprocessing!M750</f>
        <v>Charlie</v>
      </c>
      <c r="B750">
        <f>Data_preprocessing!O750</f>
        <v>40</v>
      </c>
      <c r="C750">
        <f>Data_preprocessing!Q750</f>
        <v>60000</v>
      </c>
      <c r="D750" t="str">
        <f>Data_preprocessing!R750</f>
        <v>Female</v>
      </c>
      <c r="E750" t="str">
        <f>Data_preprocessing!S750</f>
        <v>HR</v>
      </c>
      <c r="F750" t="str">
        <f>Data_preprocessing!T750</f>
        <v>Clerk</v>
      </c>
      <c r="G750" s="2">
        <f>Data_preprocessing!U750</f>
        <v>43800</v>
      </c>
      <c r="H750" t="str">
        <f>Data_preprocessing!V750</f>
        <v>A</v>
      </c>
      <c r="I750" t="str">
        <f>Data_preprocessing!Y750</f>
        <v>email@example.com</v>
      </c>
      <c r="J750" t="str">
        <f>Data_preprocessing!Z750</f>
        <v>098-765-4321</v>
      </c>
      <c r="K750">
        <f t="shared" ca="1" si="33"/>
        <v>6</v>
      </c>
      <c r="L750" t="str">
        <f t="shared" si="34"/>
        <v>Medium</v>
      </c>
      <c r="M750" t="str">
        <f t="shared" si="35"/>
        <v>Excellent</v>
      </c>
    </row>
    <row r="751" spans="1:13" x14ac:dyDescent="0.25">
      <c r="A751" t="str">
        <f>Data_preprocessing!M751</f>
        <v>Eve</v>
      </c>
      <c r="B751">
        <f>Data_preprocessing!O751</f>
        <v>50</v>
      </c>
      <c r="C751">
        <f>Data_preprocessing!Q751</f>
        <v>50000</v>
      </c>
      <c r="D751" t="str">
        <f>Data_preprocessing!R751</f>
        <v>Male</v>
      </c>
      <c r="E751" t="str">
        <f>Data_preprocessing!S751</f>
        <v>HR</v>
      </c>
      <c r="F751" t="str">
        <f>Data_preprocessing!T751</f>
        <v>Clerk</v>
      </c>
      <c r="G751" s="2">
        <f>Data_preprocessing!U751</f>
        <v>43800</v>
      </c>
      <c r="H751" t="str">
        <f>Data_preprocessing!V751</f>
        <v>F</v>
      </c>
      <c r="I751" t="str">
        <f>Data_preprocessing!Y751</f>
        <v>name@company.org</v>
      </c>
      <c r="J751" t="str">
        <f>Data_preprocessing!Z751</f>
        <v>Phone not provided</v>
      </c>
      <c r="K751">
        <f t="shared" ca="1" si="33"/>
        <v>6</v>
      </c>
      <c r="L751" t="str">
        <f t="shared" si="34"/>
        <v>Low</v>
      </c>
      <c r="M751" t="str">
        <f t="shared" si="35"/>
        <v>Poor</v>
      </c>
    </row>
    <row r="752" spans="1:13" x14ac:dyDescent="0.25">
      <c r="A752" t="str">
        <f>Data_preprocessing!M752</f>
        <v>Eve</v>
      </c>
      <c r="B752">
        <f>Data_preprocessing!O752</f>
        <v>25</v>
      </c>
      <c r="C752">
        <f>Data_preprocessing!Q752</f>
        <v>50000</v>
      </c>
      <c r="D752" t="str">
        <f>Data_preprocessing!R752</f>
        <v>Female</v>
      </c>
      <c r="E752" t="str">
        <f>Data_preprocessing!S752</f>
        <v>Finance</v>
      </c>
      <c r="F752" t="str">
        <f>Data_preprocessing!T752</f>
        <v>Assistant</v>
      </c>
      <c r="G752" s="2">
        <f>Data_preprocessing!U752</f>
        <v>43800</v>
      </c>
      <c r="H752" t="str">
        <f>Data_preprocessing!V752</f>
        <v>D</v>
      </c>
      <c r="I752" t="str">
        <f>Data_preprocessing!Y752</f>
        <v>Email not provided</v>
      </c>
      <c r="J752" t="str">
        <f>Data_preprocessing!Z752</f>
        <v>098-765-4321</v>
      </c>
      <c r="K752">
        <f t="shared" ca="1" si="33"/>
        <v>6</v>
      </c>
      <c r="L752" t="str">
        <f t="shared" si="34"/>
        <v>Low</v>
      </c>
      <c r="M752" t="str">
        <f t="shared" si="35"/>
        <v>Below Average</v>
      </c>
    </row>
    <row r="753" spans="1:13" x14ac:dyDescent="0.25">
      <c r="A753" t="str">
        <f>Data_preprocessing!M753</f>
        <v>Bob</v>
      </c>
      <c r="B753">
        <f>Data_preprocessing!O753</f>
        <v>40</v>
      </c>
      <c r="C753">
        <f>Data_preprocessing!Q753</f>
        <v>55000</v>
      </c>
      <c r="D753" t="str">
        <f>Data_preprocessing!R753</f>
        <v>Male</v>
      </c>
      <c r="E753" t="str">
        <f>Data_preprocessing!S753</f>
        <v>Finance</v>
      </c>
      <c r="F753" t="str">
        <f>Data_preprocessing!T753</f>
        <v>Analyst</v>
      </c>
      <c r="G753" s="2">
        <f>Data_preprocessing!U753</f>
        <v>43845</v>
      </c>
      <c r="H753" t="str">
        <f>Data_preprocessing!V753</f>
        <v>A</v>
      </c>
      <c r="I753" t="str">
        <f>Data_preprocessing!Y753</f>
        <v>Email not provided</v>
      </c>
      <c r="J753" t="str">
        <f>Data_preprocessing!Z753</f>
        <v>098-765-4321</v>
      </c>
      <c r="K753">
        <f t="shared" ca="1" si="33"/>
        <v>6</v>
      </c>
      <c r="L753" t="str">
        <f t="shared" si="34"/>
        <v>Low</v>
      </c>
      <c r="M753" t="str">
        <f t="shared" si="35"/>
        <v>Excellent</v>
      </c>
    </row>
    <row r="754" spans="1:13" x14ac:dyDescent="0.25">
      <c r="A754" t="str">
        <f>Data_preprocessing!M754</f>
        <v>Jack</v>
      </c>
      <c r="B754">
        <f>Data_preprocessing!O754</f>
        <v>35</v>
      </c>
      <c r="C754">
        <f>Data_preprocessing!Q754</f>
        <v>65000</v>
      </c>
      <c r="D754" t="str">
        <f>Data_preprocessing!R754</f>
        <v>Male</v>
      </c>
      <c r="E754" t="str">
        <f>Data_preprocessing!S754</f>
        <v>Sales</v>
      </c>
      <c r="F754" t="str">
        <f>Data_preprocessing!T754</f>
        <v>Analyst</v>
      </c>
      <c r="G754" s="2">
        <f>Data_preprocessing!U754</f>
        <v>43549</v>
      </c>
      <c r="H754" t="str">
        <f>Data_preprocessing!V754</f>
        <v>D</v>
      </c>
      <c r="I754" t="str">
        <f>Data_preprocessing!Y754</f>
        <v>Email not provided</v>
      </c>
      <c r="J754" t="str">
        <f>Data_preprocessing!Z754</f>
        <v>098-765-4321</v>
      </c>
      <c r="K754">
        <f t="shared" ca="1" si="33"/>
        <v>6</v>
      </c>
      <c r="L754" t="str">
        <f t="shared" si="34"/>
        <v>High</v>
      </c>
      <c r="M754" t="str">
        <f t="shared" si="35"/>
        <v>Below Average</v>
      </c>
    </row>
    <row r="755" spans="1:13" x14ac:dyDescent="0.25">
      <c r="A755" t="str">
        <f>Data_preprocessing!M755</f>
        <v>Frank</v>
      </c>
      <c r="B755">
        <f>Data_preprocessing!O755</f>
        <v>30</v>
      </c>
      <c r="C755">
        <f>Data_preprocessing!Q755</f>
        <v>50000</v>
      </c>
      <c r="D755" t="str">
        <f>Data_preprocessing!R755</f>
        <v>Male</v>
      </c>
      <c r="E755" t="str">
        <f>Data_preprocessing!S755</f>
        <v>HR</v>
      </c>
      <c r="F755" t="str">
        <f>Data_preprocessing!T755</f>
        <v>Clerk</v>
      </c>
      <c r="G755" s="2">
        <f>Data_preprocessing!U755</f>
        <v>43800</v>
      </c>
      <c r="H755" t="str">
        <f>Data_preprocessing!V755</f>
        <v>D</v>
      </c>
      <c r="I755" t="str">
        <f>Data_preprocessing!Y755</f>
        <v>Email not provided</v>
      </c>
      <c r="J755" t="str">
        <f>Data_preprocessing!Z755</f>
        <v>555-555-5555</v>
      </c>
      <c r="K755">
        <f t="shared" ca="1" si="33"/>
        <v>6</v>
      </c>
      <c r="L755" t="str">
        <f t="shared" si="34"/>
        <v>Low</v>
      </c>
      <c r="M755" t="str">
        <f t="shared" si="35"/>
        <v>Below Average</v>
      </c>
    </row>
    <row r="756" spans="1:13" x14ac:dyDescent="0.25">
      <c r="A756" t="str">
        <f>Data_preprocessing!M756</f>
        <v>Eve</v>
      </c>
      <c r="B756">
        <f>Data_preprocessing!O756</f>
        <v>50</v>
      </c>
      <c r="C756">
        <f>Data_preprocessing!Q756</f>
        <v>60000</v>
      </c>
      <c r="D756" t="str">
        <f>Data_preprocessing!R756</f>
        <v>Other</v>
      </c>
      <c r="E756" t="str">
        <f>Data_preprocessing!S756</f>
        <v>Sales</v>
      </c>
      <c r="F756" t="str">
        <f>Data_preprocessing!T756</f>
        <v>Analyst</v>
      </c>
      <c r="G756" s="2">
        <f>Data_preprocessing!U756</f>
        <v>43845</v>
      </c>
      <c r="H756" t="str">
        <f>Data_preprocessing!V756</f>
        <v>F</v>
      </c>
      <c r="I756" t="str">
        <f>Data_preprocessing!Y756</f>
        <v>name@company.org</v>
      </c>
      <c r="J756" t="str">
        <f>Data_preprocessing!Z756</f>
        <v>123-456-7890</v>
      </c>
      <c r="K756">
        <f t="shared" ca="1" si="33"/>
        <v>6</v>
      </c>
      <c r="L756" t="str">
        <f t="shared" si="34"/>
        <v>Medium</v>
      </c>
      <c r="M756" t="str">
        <f t="shared" si="35"/>
        <v>Poor</v>
      </c>
    </row>
    <row r="757" spans="1:13" x14ac:dyDescent="0.25">
      <c r="A757" t="str">
        <f>Data_preprocessing!M757</f>
        <v>Frank</v>
      </c>
      <c r="B757">
        <f>Data_preprocessing!O757</f>
        <v>30</v>
      </c>
      <c r="C757">
        <f>Data_preprocessing!Q757</f>
        <v>65000</v>
      </c>
      <c r="D757" t="str">
        <f>Data_preprocessing!R757</f>
        <v>Male</v>
      </c>
      <c r="E757" t="str">
        <f>Data_preprocessing!S757</f>
        <v>Marketing</v>
      </c>
      <c r="F757" t="str">
        <f>Data_preprocessing!T757</f>
        <v>Clerk</v>
      </c>
      <c r="G757" s="2">
        <f>Data_preprocessing!U757</f>
        <v>43881</v>
      </c>
      <c r="H757" t="str">
        <f>Data_preprocessing!V757</f>
        <v>D</v>
      </c>
      <c r="I757" t="str">
        <f>Data_preprocessing!Y757</f>
        <v>email@example.com</v>
      </c>
      <c r="J757" t="str">
        <f>Data_preprocessing!Z757</f>
        <v>555-555-5555</v>
      </c>
      <c r="K757">
        <f t="shared" ca="1" si="33"/>
        <v>5</v>
      </c>
      <c r="L757" t="str">
        <f t="shared" si="34"/>
        <v>High</v>
      </c>
      <c r="M757" t="str">
        <f t="shared" si="35"/>
        <v>Below Average</v>
      </c>
    </row>
    <row r="758" spans="1:13" x14ac:dyDescent="0.25">
      <c r="A758" t="str">
        <f>Data_preprocessing!M758</f>
        <v>Alice</v>
      </c>
      <c r="B758">
        <f>Data_preprocessing!O758</f>
        <v>50</v>
      </c>
      <c r="C758">
        <f>Data_preprocessing!Q758</f>
        <v>60000</v>
      </c>
      <c r="D758" t="str">
        <f>Data_preprocessing!R758</f>
        <v>Male</v>
      </c>
      <c r="E758" t="str">
        <f>Data_preprocessing!S758</f>
        <v>Sales</v>
      </c>
      <c r="F758" t="str">
        <f>Data_preprocessing!T758</f>
        <v>Director</v>
      </c>
      <c r="G758" s="2">
        <f>Data_preprocessing!U758</f>
        <v>43800</v>
      </c>
      <c r="H758" t="str">
        <f>Data_preprocessing!V758</f>
        <v>B</v>
      </c>
      <c r="I758" t="str">
        <f>Data_preprocessing!Y758</f>
        <v>email@example.com</v>
      </c>
      <c r="J758" t="str">
        <f>Data_preprocessing!Z758</f>
        <v>123-456-7890</v>
      </c>
      <c r="K758">
        <f t="shared" ca="1" si="33"/>
        <v>6</v>
      </c>
      <c r="L758" t="str">
        <f t="shared" si="34"/>
        <v>Medium</v>
      </c>
      <c r="M758" t="str">
        <f t="shared" si="35"/>
        <v>Good</v>
      </c>
    </row>
    <row r="759" spans="1:13" x14ac:dyDescent="0.25">
      <c r="A759" t="str">
        <f>Data_preprocessing!M759</f>
        <v>Eve</v>
      </c>
      <c r="B759">
        <f>Data_preprocessing!O759</f>
        <v>30</v>
      </c>
      <c r="C759">
        <f>Data_preprocessing!Q759</f>
        <v>60000</v>
      </c>
      <c r="D759" t="str">
        <f>Data_preprocessing!R759</f>
        <v>Other</v>
      </c>
      <c r="E759" t="str">
        <f>Data_preprocessing!S759</f>
        <v>IT</v>
      </c>
      <c r="F759" t="str">
        <f>Data_preprocessing!T759</f>
        <v>Assistant</v>
      </c>
      <c r="G759" s="2">
        <f>Data_preprocessing!U759</f>
        <v>43800</v>
      </c>
      <c r="H759" t="str">
        <f>Data_preprocessing!V759</f>
        <v>D</v>
      </c>
      <c r="I759" t="str">
        <f>Data_preprocessing!Y759</f>
        <v>Email not provided</v>
      </c>
      <c r="J759" t="str">
        <f>Data_preprocessing!Z759</f>
        <v>Phone not provided</v>
      </c>
      <c r="K759">
        <f t="shared" ca="1" si="33"/>
        <v>6</v>
      </c>
      <c r="L759" t="str">
        <f t="shared" si="34"/>
        <v>Medium</v>
      </c>
      <c r="M759" t="str">
        <f t="shared" si="35"/>
        <v>Below Average</v>
      </c>
    </row>
    <row r="760" spans="1:13" x14ac:dyDescent="0.25">
      <c r="A760" t="str">
        <f>Data_preprocessing!M760</f>
        <v>Ivy</v>
      </c>
      <c r="B760">
        <f>Data_preprocessing!O760</f>
        <v>50</v>
      </c>
      <c r="C760">
        <f>Data_preprocessing!Q760</f>
        <v>50000</v>
      </c>
      <c r="D760" t="str">
        <f>Data_preprocessing!R760</f>
        <v>Other</v>
      </c>
      <c r="E760" t="str">
        <f>Data_preprocessing!S760</f>
        <v>Sales</v>
      </c>
      <c r="F760" t="str">
        <f>Data_preprocessing!T760</f>
        <v>Manager</v>
      </c>
      <c r="G760" s="2">
        <f>Data_preprocessing!U760</f>
        <v>43845</v>
      </c>
      <c r="H760" t="str">
        <f>Data_preprocessing!V760</f>
        <v>F</v>
      </c>
      <c r="I760" t="str">
        <f>Data_preprocessing!Y760</f>
        <v>email@example.com</v>
      </c>
      <c r="J760" t="str">
        <f>Data_preprocessing!Z760</f>
        <v>Phone not provided</v>
      </c>
      <c r="K760">
        <f t="shared" ca="1" si="33"/>
        <v>6</v>
      </c>
      <c r="L760" t="str">
        <f t="shared" si="34"/>
        <v>Low</v>
      </c>
      <c r="M760" t="str">
        <f t="shared" si="35"/>
        <v>Poor</v>
      </c>
    </row>
    <row r="761" spans="1:13" x14ac:dyDescent="0.25">
      <c r="A761" t="str">
        <f>Data_preprocessing!M761</f>
        <v>Jack</v>
      </c>
      <c r="B761">
        <f>Data_preprocessing!O761</f>
        <v>30</v>
      </c>
      <c r="C761">
        <f>Data_preprocessing!Q761</f>
        <v>65000</v>
      </c>
      <c r="D761" t="str">
        <f>Data_preprocessing!R761</f>
        <v>Male</v>
      </c>
      <c r="E761" t="str">
        <f>Data_preprocessing!S761</f>
        <v>Finance</v>
      </c>
      <c r="F761" t="str">
        <f>Data_preprocessing!T761</f>
        <v>Assistant</v>
      </c>
      <c r="G761" s="2">
        <f>Data_preprocessing!U761</f>
        <v>43549</v>
      </c>
      <c r="H761" t="str">
        <f>Data_preprocessing!V761</f>
        <v>F</v>
      </c>
      <c r="I761" t="str">
        <f>Data_preprocessing!Y761</f>
        <v>Email not provided</v>
      </c>
      <c r="J761" t="str">
        <f>Data_preprocessing!Z761</f>
        <v>Phone not provided</v>
      </c>
      <c r="K761">
        <f t="shared" ca="1" si="33"/>
        <v>6</v>
      </c>
      <c r="L761" t="str">
        <f t="shared" si="34"/>
        <v>High</v>
      </c>
      <c r="M761" t="str">
        <f t="shared" si="35"/>
        <v>Poor</v>
      </c>
    </row>
    <row r="762" spans="1:13" x14ac:dyDescent="0.25">
      <c r="A762" t="str">
        <f>Data_preprocessing!M762</f>
        <v>Bob</v>
      </c>
      <c r="B762">
        <f>Data_preprocessing!O762</f>
        <v>30</v>
      </c>
      <c r="C762">
        <f>Data_preprocessing!Q762</f>
        <v>60000</v>
      </c>
      <c r="D762" t="str">
        <f>Data_preprocessing!R762</f>
        <v>Other</v>
      </c>
      <c r="E762" t="str">
        <f>Data_preprocessing!S762</f>
        <v>Marketing</v>
      </c>
      <c r="F762" t="str">
        <f>Data_preprocessing!T762</f>
        <v>Clerk</v>
      </c>
      <c r="G762" s="2">
        <f>Data_preprocessing!U762</f>
        <v>43881</v>
      </c>
      <c r="H762" t="str">
        <f>Data_preprocessing!V762</f>
        <v>F</v>
      </c>
      <c r="I762" t="str">
        <f>Data_preprocessing!Y762</f>
        <v>name@company.org</v>
      </c>
      <c r="J762" t="str">
        <f>Data_preprocessing!Z762</f>
        <v>555-555-5555</v>
      </c>
      <c r="K762">
        <f t="shared" ca="1" si="33"/>
        <v>5</v>
      </c>
      <c r="L762" t="str">
        <f t="shared" si="34"/>
        <v>Medium</v>
      </c>
      <c r="M762" t="str">
        <f t="shared" si="35"/>
        <v>Poor</v>
      </c>
    </row>
    <row r="763" spans="1:13" x14ac:dyDescent="0.25">
      <c r="A763" t="str">
        <f>Data_preprocessing!M763</f>
        <v>Alice</v>
      </c>
      <c r="B763">
        <f>Data_preprocessing!O763</f>
        <v>30</v>
      </c>
      <c r="C763">
        <f>Data_preprocessing!Q763</f>
        <v>70000</v>
      </c>
      <c r="D763" t="str">
        <f>Data_preprocessing!R763</f>
        <v>Female</v>
      </c>
      <c r="E763" t="str">
        <f>Data_preprocessing!S763</f>
        <v>IT</v>
      </c>
      <c r="F763" t="str">
        <f>Data_preprocessing!T763</f>
        <v>Clerk</v>
      </c>
      <c r="G763" s="2">
        <f>Data_preprocessing!U763</f>
        <v>43800</v>
      </c>
      <c r="H763" t="str">
        <f>Data_preprocessing!V763</f>
        <v>A</v>
      </c>
      <c r="I763" t="str">
        <f>Data_preprocessing!Y763</f>
        <v>email@example.com</v>
      </c>
      <c r="J763" t="str">
        <f>Data_preprocessing!Z763</f>
        <v>555-555-5555</v>
      </c>
      <c r="K763">
        <f t="shared" ca="1" si="33"/>
        <v>6</v>
      </c>
      <c r="L763" t="str">
        <f t="shared" si="34"/>
        <v>High</v>
      </c>
      <c r="M763" t="str">
        <f t="shared" si="35"/>
        <v>Excellent</v>
      </c>
    </row>
    <row r="764" spans="1:13" x14ac:dyDescent="0.25">
      <c r="A764" t="str">
        <f>Data_preprocessing!M764</f>
        <v>Jack</v>
      </c>
      <c r="B764">
        <f>Data_preprocessing!O764</f>
        <v>30</v>
      </c>
      <c r="C764">
        <f>Data_preprocessing!Q764</f>
        <v>50000</v>
      </c>
      <c r="D764" t="str">
        <f>Data_preprocessing!R764</f>
        <v>Female</v>
      </c>
      <c r="E764" t="str">
        <f>Data_preprocessing!S764</f>
        <v>Sales</v>
      </c>
      <c r="F764" t="str">
        <f>Data_preprocessing!T764</f>
        <v>Assistant</v>
      </c>
      <c r="G764" s="2">
        <f>Data_preprocessing!U764</f>
        <v>43549</v>
      </c>
      <c r="H764" t="str">
        <f>Data_preprocessing!V764</f>
        <v>B</v>
      </c>
      <c r="I764" t="str">
        <f>Data_preprocessing!Y764</f>
        <v>email@example.com</v>
      </c>
      <c r="J764" t="str">
        <f>Data_preprocessing!Z764</f>
        <v>123-456-7890</v>
      </c>
      <c r="K764">
        <f t="shared" ca="1" si="33"/>
        <v>6</v>
      </c>
      <c r="L764" t="str">
        <f t="shared" si="34"/>
        <v>Low</v>
      </c>
      <c r="M764" t="str">
        <f t="shared" si="35"/>
        <v>Good</v>
      </c>
    </row>
    <row r="765" spans="1:13" x14ac:dyDescent="0.25">
      <c r="A765" t="str">
        <f>Data_preprocessing!M765</f>
        <v>Ivy</v>
      </c>
      <c r="B765">
        <f>Data_preprocessing!O765</f>
        <v>35</v>
      </c>
      <c r="C765">
        <f>Data_preprocessing!Q765</f>
        <v>50000</v>
      </c>
      <c r="D765" t="str">
        <f>Data_preprocessing!R765</f>
        <v>Other</v>
      </c>
      <c r="E765" t="str">
        <f>Data_preprocessing!S765</f>
        <v>Marketing</v>
      </c>
      <c r="F765" t="str">
        <f>Data_preprocessing!T765</f>
        <v>Clerk</v>
      </c>
      <c r="G765" s="2">
        <f>Data_preprocessing!U765</f>
        <v>43881</v>
      </c>
      <c r="H765" t="str">
        <f>Data_preprocessing!V765</f>
        <v>A</v>
      </c>
      <c r="I765" t="str">
        <f>Data_preprocessing!Y765</f>
        <v>user@domain.com</v>
      </c>
      <c r="J765" t="str">
        <f>Data_preprocessing!Z765</f>
        <v>555-555-5555</v>
      </c>
      <c r="K765">
        <f t="shared" ca="1" si="33"/>
        <v>5</v>
      </c>
      <c r="L765" t="str">
        <f t="shared" si="34"/>
        <v>Low</v>
      </c>
      <c r="M765" t="str">
        <f t="shared" si="35"/>
        <v>Excellent</v>
      </c>
    </row>
    <row r="766" spans="1:13" x14ac:dyDescent="0.25">
      <c r="A766" t="str">
        <f>Data_preprocessing!M766</f>
        <v>Jack</v>
      </c>
      <c r="B766">
        <f>Data_preprocessing!O766</f>
        <v>25</v>
      </c>
      <c r="C766">
        <f>Data_preprocessing!Q766</f>
        <v>60000</v>
      </c>
      <c r="D766" t="str">
        <f>Data_preprocessing!R766</f>
        <v>Other</v>
      </c>
      <c r="E766" t="str">
        <f>Data_preprocessing!S766</f>
        <v>Marketing</v>
      </c>
      <c r="F766" t="str">
        <f>Data_preprocessing!T766</f>
        <v>Analyst</v>
      </c>
      <c r="G766" s="2">
        <f>Data_preprocessing!U766</f>
        <v>43195</v>
      </c>
      <c r="H766" t="str">
        <f>Data_preprocessing!V766</f>
        <v>C</v>
      </c>
      <c r="I766" t="str">
        <f>Data_preprocessing!Y766</f>
        <v>user@domain.com</v>
      </c>
      <c r="J766" t="str">
        <f>Data_preprocessing!Z766</f>
        <v>098-765-4321</v>
      </c>
      <c r="K766">
        <f t="shared" ca="1" si="33"/>
        <v>7</v>
      </c>
      <c r="L766" t="str">
        <f t="shared" si="34"/>
        <v>Medium</v>
      </c>
      <c r="M766" t="str">
        <f t="shared" si="35"/>
        <v>Average</v>
      </c>
    </row>
    <row r="767" spans="1:13" x14ac:dyDescent="0.25">
      <c r="A767" t="str">
        <f>Data_preprocessing!M767</f>
        <v>Ivy</v>
      </c>
      <c r="B767">
        <f>Data_preprocessing!O767</f>
        <v>35</v>
      </c>
      <c r="C767">
        <f>Data_preprocessing!Q767</f>
        <v>65000</v>
      </c>
      <c r="D767" t="str">
        <f>Data_preprocessing!R767</f>
        <v>Male</v>
      </c>
      <c r="E767" t="str">
        <f>Data_preprocessing!S767</f>
        <v>IT</v>
      </c>
      <c r="F767" t="str">
        <f>Data_preprocessing!T767</f>
        <v>Analyst</v>
      </c>
      <c r="G767" s="2">
        <f>Data_preprocessing!U767</f>
        <v>43195</v>
      </c>
      <c r="H767" t="str">
        <f>Data_preprocessing!V767</f>
        <v>B</v>
      </c>
      <c r="I767" t="str">
        <f>Data_preprocessing!Y767</f>
        <v>user@domain.com</v>
      </c>
      <c r="J767" t="str">
        <f>Data_preprocessing!Z767</f>
        <v>555-555-5555</v>
      </c>
      <c r="K767">
        <f t="shared" ca="1" si="33"/>
        <v>7</v>
      </c>
      <c r="L767" t="str">
        <f t="shared" si="34"/>
        <v>High</v>
      </c>
      <c r="M767" t="str">
        <f t="shared" si="35"/>
        <v>Good</v>
      </c>
    </row>
    <row r="768" spans="1:13" x14ac:dyDescent="0.25">
      <c r="A768" t="str">
        <f>Data_preprocessing!M768</f>
        <v>Ivy</v>
      </c>
      <c r="B768">
        <f>Data_preprocessing!O768</f>
        <v>40</v>
      </c>
      <c r="C768">
        <f>Data_preprocessing!Q768</f>
        <v>65000</v>
      </c>
      <c r="D768" t="str">
        <f>Data_preprocessing!R768</f>
        <v>Other</v>
      </c>
      <c r="E768" t="str">
        <f>Data_preprocessing!S768</f>
        <v>Sales</v>
      </c>
      <c r="F768" t="str">
        <f>Data_preprocessing!T768</f>
        <v>Clerk</v>
      </c>
      <c r="G768" s="2">
        <f>Data_preprocessing!U768</f>
        <v>43881</v>
      </c>
      <c r="H768" t="str">
        <f>Data_preprocessing!V768</f>
        <v>D</v>
      </c>
      <c r="I768" t="str">
        <f>Data_preprocessing!Y768</f>
        <v>name@company.org</v>
      </c>
      <c r="J768" t="str">
        <f>Data_preprocessing!Z768</f>
        <v>123-456-7890</v>
      </c>
      <c r="K768">
        <f t="shared" ca="1" si="33"/>
        <v>5</v>
      </c>
      <c r="L768" t="str">
        <f t="shared" si="34"/>
        <v>High</v>
      </c>
      <c r="M768" t="str">
        <f t="shared" si="35"/>
        <v>Below Average</v>
      </c>
    </row>
    <row r="769" spans="1:13" x14ac:dyDescent="0.25">
      <c r="A769" t="str">
        <f>Data_preprocessing!M769</f>
        <v>Frank</v>
      </c>
      <c r="B769">
        <f>Data_preprocessing!O769</f>
        <v>35</v>
      </c>
      <c r="C769">
        <f>Data_preprocessing!Q769</f>
        <v>60000</v>
      </c>
      <c r="D769" t="str">
        <f>Data_preprocessing!R769</f>
        <v>Male</v>
      </c>
      <c r="E769" t="str">
        <f>Data_preprocessing!S769</f>
        <v>Marketing</v>
      </c>
      <c r="F769" t="str">
        <f>Data_preprocessing!T769</f>
        <v>Clerk</v>
      </c>
      <c r="G769" s="2">
        <f>Data_preprocessing!U769</f>
        <v>43845</v>
      </c>
      <c r="H769" t="str">
        <f>Data_preprocessing!V769</f>
        <v>F</v>
      </c>
      <c r="I769" t="str">
        <f>Data_preprocessing!Y769</f>
        <v>Email not provided</v>
      </c>
      <c r="J769" t="str">
        <f>Data_preprocessing!Z769</f>
        <v>123-456-7890</v>
      </c>
      <c r="K769">
        <f t="shared" ca="1" si="33"/>
        <v>6</v>
      </c>
      <c r="L769" t="str">
        <f t="shared" si="34"/>
        <v>Medium</v>
      </c>
      <c r="M769" t="str">
        <f t="shared" si="35"/>
        <v>Poor</v>
      </c>
    </row>
    <row r="770" spans="1:13" x14ac:dyDescent="0.25">
      <c r="A770" t="str">
        <f>Data_preprocessing!M770</f>
        <v>Hannah</v>
      </c>
      <c r="B770">
        <f>Data_preprocessing!O770</f>
        <v>35</v>
      </c>
      <c r="C770">
        <f>Data_preprocessing!Q770</f>
        <v>60000</v>
      </c>
      <c r="D770" t="str">
        <f>Data_preprocessing!R770</f>
        <v>Female</v>
      </c>
      <c r="E770" t="str">
        <f>Data_preprocessing!S770</f>
        <v>Marketing</v>
      </c>
      <c r="F770" t="str">
        <f>Data_preprocessing!T770</f>
        <v>Analyst</v>
      </c>
      <c r="G770" s="2">
        <f>Data_preprocessing!U770</f>
        <v>43881</v>
      </c>
      <c r="H770" t="str">
        <f>Data_preprocessing!V770</f>
        <v>C</v>
      </c>
      <c r="I770" t="str">
        <f>Data_preprocessing!Y770</f>
        <v>Email not provided</v>
      </c>
      <c r="J770" t="str">
        <f>Data_preprocessing!Z770</f>
        <v>098-765-4321</v>
      </c>
      <c r="K770">
        <f t="shared" ref="K770:K833" ca="1" si="36">DATEDIF(G770,TODAY(),"Y")</f>
        <v>5</v>
      </c>
      <c r="L770" t="str">
        <f t="shared" ref="L770:L833" si="37">IF(C770&lt;60000,"Low",IF(C770&lt;65000,"Medium","High"))</f>
        <v>Medium</v>
      </c>
      <c r="M770" t="str">
        <f t="shared" si="35"/>
        <v>Average</v>
      </c>
    </row>
    <row r="771" spans="1:13" x14ac:dyDescent="0.25">
      <c r="A771" t="str">
        <f>Data_preprocessing!M771</f>
        <v>Alice</v>
      </c>
      <c r="B771">
        <f>Data_preprocessing!O771</f>
        <v>50</v>
      </c>
      <c r="C771">
        <f>Data_preprocessing!Q771</f>
        <v>60000</v>
      </c>
      <c r="D771" t="str">
        <f>Data_preprocessing!R771</f>
        <v>Other</v>
      </c>
      <c r="E771" t="str">
        <f>Data_preprocessing!S771</f>
        <v>HR</v>
      </c>
      <c r="F771" t="str">
        <f>Data_preprocessing!T771</f>
        <v>Clerk</v>
      </c>
      <c r="G771" s="2">
        <f>Data_preprocessing!U771</f>
        <v>43881</v>
      </c>
      <c r="H771" t="str">
        <f>Data_preprocessing!V771</f>
        <v>B</v>
      </c>
      <c r="I771" t="str">
        <f>Data_preprocessing!Y771</f>
        <v>Email not provided</v>
      </c>
      <c r="J771" t="str">
        <f>Data_preprocessing!Z771</f>
        <v>123-456-7890</v>
      </c>
      <c r="K771">
        <f t="shared" ca="1" si="36"/>
        <v>5</v>
      </c>
      <c r="L771" t="str">
        <f t="shared" si="37"/>
        <v>Medium</v>
      </c>
      <c r="M771" t="str">
        <f t="shared" ref="M771:M834" si="38">IF(H771="A","Excellent",IF(H771="B","Good",IF(H771="C","Average",IF(H771="D","Below Average","Poor"))))</f>
        <v>Good</v>
      </c>
    </row>
    <row r="772" spans="1:13" x14ac:dyDescent="0.25">
      <c r="A772" t="str">
        <f>Data_preprocessing!M772</f>
        <v>Jack</v>
      </c>
      <c r="B772">
        <f>Data_preprocessing!O772</f>
        <v>25</v>
      </c>
      <c r="C772">
        <f>Data_preprocessing!Q772</f>
        <v>65000</v>
      </c>
      <c r="D772" t="str">
        <f>Data_preprocessing!R772</f>
        <v>Male</v>
      </c>
      <c r="E772" t="str">
        <f>Data_preprocessing!S772</f>
        <v>Marketing</v>
      </c>
      <c r="F772" t="str">
        <f>Data_preprocessing!T772</f>
        <v>Clerk</v>
      </c>
      <c r="G772" s="2">
        <f>Data_preprocessing!U772</f>
        <v>43845</v>
      </c>
      <c r="H772" t="str">
        <f>Data_preprocessing!V772</f>
        <v>A</v>
      </c>
      <c r="I772" t="str">
        <f>Data_preprocessing!Y772</f>
        <v>name@company.org</v>
      </c>
      <c r="J772" t="str">
        <f>Data_preprocessing!Z772</f>
        <v>Phone not provided</v>
      </c>
      <c r="K772">
        <f t="shared" ca="1" si="36"/>
        <v>6</v>
      </c>
      <c r="L772" t="str">
        <f t="shared" si="37"/>
        <v>High</v>
      </c>
      <c r="M772" t="str">
        <f t="shared" si="38"/>
        <v>Excellent</v>
      </c>
    </row>
    <row r="773" spans="1:13" x14ac:dyDescent="0.25">
      <c r="A773" t="str">
        <f>Data_preprocessing!M773</f>
        <v>David</v>
      </c>
      <c r="B773">
        <f>Data_preprocessing!O773</f>
        <v>50</v>
      </c>
      <c r="C773">
        <f>Data_preprocessing!Q773</f>
        <v>60000</v>
      </c>
      <c r="D773" t="str">
        <f>Data_preprocessing!R773</f>
        <v>Male</v>
      </c>
      <c r="E773" t="str">
        <f>Data_preprocessing!S773</f>
        <v>HR</v>
      </c>
      <c r="F773" t="str">
        <f>Data_preprocessing!T773</f>
        <v>Assistant</v>
      </c>
      <c r="G773" s="2">
        <f>Data_preprocessing!U773</f>
        <v>43845</v>
      </c>
      <c r="H773" t="str">
        <f>Data_preprocessing!V773</f>
        <v>F</v>
      </c>
      <c r="I773" t="str">
        <f>Data_preprocessing!Y773</f>
        <v>name@company.org</v>
      </c>
      <c r="J773" t="str">
        <f>Data_preprocessing!Z773</f>
        <v>Phone not provided</v>
      </c>
      <c r="K773">
        <f t="shared" ca="1" si="36"/>
        <v>6</v>
      </c>
      <c r="L773" t="str">
        <f t="shared" si="37"/>
        <v>Medium</v>
      </c>
      <c r="M773" t="str">
        <f t="shared" si="38"/>
        <v>Poor</v>
      </c>
    </row>
    <row r="774" spans="1:13" x14ac:dyDescent="0.25">
      <c r="A774" t="str">
        <f>Data_preprocessing!M774</f>
        <v>Alice</v>
      </c>
      <c r="B774">
        <f>Data_preprocessing!O774</f>
        <v>25</v>
      </c>
      <c r="C774">
        <f>Data_preprocessing!Q774</f>
        <v>50000</v>
      </c>
      <c r="D774" t="str">
        <f>Data_preprocessing!R774</f>
        <v>Female</v>
      </c>
      <c r="E774" t="str">
        <f>Data_preprocessing!S774</f>
        <v>Sales</v>
      </c>
      <c r="F774" t="str">
        <f>Data_preprocessing!T774</f>
        <v>Manager</v>
      </c>
      <c r="G774" s="2">
        <f>Data_preprocessing!U774</f>
        <v>43549</v>
      </c>
      <c r="H774" t="str">
        <f>Data_preprocessing!V774</f>
        <v>A</v>
      </c>
      <c r="I774" t="str">
        <f>Data_preprocessing!Y774</f>
        <v>user@domain.com</v>
      </c>
      <c r="J774" t="str">
        <f>Data_preprocessing!Z774</f>
        <v>555-555-5555</v>
      </c>
      <c r="K774">
        <f t="shared" ca="1" si="36"/>
        <v>6</v>
      </c>
      <c r="L774" t="str">
        <f t="shared" si="37"/>
        <v>Low</v>
      </c>
      <c r="M774" t="str">
        <f t="shared" si="38"/>
        <v>Excellent</v>
      </c>
    </row>
    <row r="775" spans="1:13" x14ac:dyDescent="0.25">
      <c r="A775" t="str">
        <f>Data_preprocessing!M775</f>
        <v>Hannah</v>
      </c>
      <c r="B775">
        <f>Data_preprocessing!O775</f>
        <v>25</v>
      </c>
      <c r="C775">
        <f>Data_preprocessing!Q775</f>
        <v>55000</v>
      </c>
      <c r="D775" t="str">
        <f>Data_preprocessing!R775</f>
        <v>Other</v>
      </c>
      <c r="E775" t="str">
        <f>Data_preprocessing!S775</f>
        <v>Sales</v>
      </c>
      <c r="F775" t="str">
        <f>Data_preprocessing!T775</f>
        <v>Analyst</v>
      </c>
      <c r="G775" s="2">
        <f>Data_preprocessing!U775</f>
        <v>43549</v>
      </c>
      <c r="H775" t="str">
        <f>Data_preprocessing!V775</f>
        <v>B</v>
      </c>
      <c r="I775" t="str">
        <f>Data_preprocessing!Y775</f>
        <v>email@example.com</v>
      </c>
      <c r="J775" t="str">
        <f>Data_preprocessing!Z775</f>
        <v>Phone not provided</v>
      </c>
      <c r="K775">
        <f t="shared" ca="1" si="36"/>
        <v>6</v>
      </c>
      <c r="L775" t="str">
        <f t="shared" si="37"/>
        <v>Low</v>
      </c>
      <c r="M775" t="str">
        <f t="shared" si="38"/>
        <v>Good</v>
      </c>
    </row>
    <row r="776" spans="1:13" x14ac:dyDescent="0.25">
      <c r="A776" t="str">
        <f>Data_preprocessing!M776</f>
        <v>Alice</v>
      </c>
      <c r="B776">
        <f>Data_preprocessing!O776</f>
        <v>30</v>
      </c>
      <c r="C776">
        <f>Data_preprocessing!Q776</f>
        <v>70000</v>
      </c>
      <c r="D776" t="str">
        <f>Data_preprocessing!R776</f>
        <v>Female</v>
      </c>
      <c r="E776" t="str">
        <f>Data_preprocessing!S776</f>
        <v>Sales</v>
      </c>
      <c r="F776" t="str">
        <f>Data_preprocessing!T776</f>
        <v>Assistant</v>
      </c>
      <c r="G776" s="2">
        <f>Data_preprocessing!U776</f>
        <v>43845</v>
      </c>
      <c r="H776" t="str">
        <f>Data_preprocessing!V776</f>
        <v>B</v>
      </c>
      <c r="I776" t="str">
        <f>Data_preprocessing!Y776</f>
        <v>Email not provided</v>
      </c>
      <c r="J776" t="str">
        <f>Data_preprocessing!Z776</f>
        <v>555-555-5555</v>
      </c>
      <c r="K776">
        <f t="shared" ca="1" si="36"/>
        <v>6</v>
      </c>
      <c r="L776" t="str">
        <f t="shared" si="37"/>
        <v>High</v>
      </c>
      <c r="M776" t="str">
        <f t="shared" si="38"/>
        <v>Good</v>
      </c>
    </row>
    <row r="777" spans="1:13" x14ac:dyDescent="0.25">
      <c r="A777" t="str">
        <f>Data_preprocessing!M777</f>
        <v>Charlie</v>
      </c>
      <c r="B777">
        <f>Data_preprocessing!O777</f>
        <v>35</v>
      </c>
      <c r="C777">
        <f>Data_preprocessing!Q777</f>
        <v>50000</v>
      </c>
      <c r="D777" t="str">
        <f>Data_preprocessing!R777</f>
        <v>Male</v>
      </c>
      <c r="E777" t="str">
        <f>Data_preprocessing!S777</f>
        <v>Finance</v>
      </c>
      <c r="F777" t="str">
        <f>Data_preprocessing!T777</f>
        <v>Manager</v>
      </c>
      <c r="G777" s="2">
        <f>Data_preprocessing!U777</f>
        <v>43195</v>
      </c>
      <c r="H777" t="str">
        <f>Data_preprocessing!V777</f>
        <v>C</v>
      </c>
      <c r="I777" t="str">
        <f>Data_preprocessing!Y777</f>
        <v>Email not provided</v>
      </c>
      <c r="J777" t="str">
        <f>Data_preprocessing!Z777</f>
        <v>Phone not provided</v>
      </c>
      <c r="K777">
        <f t="shared" ca="1" si="36"/>
        <v>7</v>
      </c>
      <c r="L777" t="str">
        <f t="shared" si="37"/>
        <v>Low</v>
      </c>
      <c r="M777" t="str">
        <f t="shared" si="38"/>
        <v>Average</v>
      </c>
    </row>
    <row r="778" spans="1:13" x14ac:dyDescent="0.25">
      <c r="A778" t="str">
        <f>Data_preprocessing!M778</f>
        <v>David</v>
      </c>
      <c r="B778">
        <f>Data_preprocessing!O778</f>
        <v>30</v>
      </c>
      <c r="C778">
        <f>Data_preprocessing!Q778</f>
        <v>65000</v>
      </c>
      <c r="D778" t="str">
        <f>Data_preprocessing!R778</f>
        <v>Male</v>
      </c>
      <c r="E778" t="str">
        <f>Data_preprocessing!S778</f>
        <v>Sales</v>
      </c>
      <c r="F778" t="str">
        <f>Data_preprocessing!T778</f>
        <v>Clerk</v>
      </c>
      <c r="G778" s="2">
        <f>Data_preprocessing!U778</f>
        <v>43195</v>
      </c>
      <c r="H778" t="str">
        <f>Data_preprocessing!V778</f>
        <v>D</v>
      </c>
      <c r="I778" t="str">
        <f>Data_preprocessing!Y778</f>
        <v>email@example.com</v>
      </c>
      <c r="J778" t="str">
        <f>Data_preprocessing!Z778</f>
        <v>555-555-5555</v>
      </c>
      <c r="K778">
        <f t="shared" ca="1" si="36"/>
        <v>7</v>
      </c>
      <c r="L778" t="str">
        <f t="shared" si="37"/>
        <v>High</v>
      </c>
      <c r="M778" t="str">
        <f t="shared" si="38"/>
        <v>Below Average</v>
      </c>
    </row>
    <row r="779" spans="1:13" x14ac:dyDescent="0.25">
      <c r="A779" t="str">
        <f>Data_preprocessing!M779</f>
        <v>Hannah</v>
      </c>
      <c r="B779">
        <f>Data_preprocessing!O779</f>
        <v>35</v>
      </c>
      <c r="C779">
        <f>Data_preprocessing!Q779</f>
        <v>70000</v>
      </c>
      <c r="D779" t="str">
        <f>Data_preprocessing!R779</f>
        <v>Other</v>
      </c>
      <c r="E779" t="str">
        <f>Data_preprocessing!S779</f>
        <v>Marketing</v>
      </c>
      <c r="F779" t="str">
        <f>Data_preprocessing!T779</f>
        <v>Clerk</v>
      </c>
      <c r="G779" s="2">
        <f>Data_preprocessing!U779</f>
        <v>43881</v>
      </c>
      <c r="H779" t="str">
        <f>Data_preprocessing!V779</f>
        <v>A</v>
      </c>
      <c r="I779" t="str">
        <f>Data_preprocessing!Y779</f>
        <v>user@domain.com</v>
      </c>
      <c r="J779" t="str">
        <f>Data_preprocessing!Z779</f>
        <v>098-765-4321</v>
      </c>
      <c r="K779">
        <f t="shared" ca="1" si="36"/>
        <v>5</v>
      </c>
      <c r="L779" t="str">
        <f t="shared" si="37"/>
        <v>High</v>
      </c>
      <c r="M779" t="str">
        <f t="shared" si="38"/>
        <v>Excellent</v>
      </c>
    </row>
    <row r="780" spans="1:13" x14ac:dyDescent="0.25">
      <c r="A780" t="str">
        <f>Data_preprocessing!M780</f>
        <v>Frank</v>
      </c>
      <c r="B780">
        <f>Data_preprocessing!O780</f>
        <v>50</v>
      </c>
      <c r="C780">
        <f>Data_preprocessing!Q780</f>
        <v>55000</v>
      </c>
      <c r="D780" t="str">
        <f>Data_preprocessing!R780</f>
        <v>Male</v>
      </c>
      <c r="E780" t="str">
        <f>Data_preprocessing!S780</f>
        <v>IT</v>
      </c>
      <c r="F780" t="str">
        <f>Data_preprocessing!T780</f>
        <v>Assistant</v>
      </c>
      <c r="G780" s="2">
        <f>Data_preprocessing!U780</f>
        <v>43800</v>
      </c>
      <c r="H780" t="str">
        <f>Data_preprocessing!V780</f>
        <v>C</v>
      </c>
      <c r="I780" t="str">
        <f>Data_preprocessing!Y780</f>
        <v>email@example.com</v>
      </c>
      <c r="J780" t="str">
        <f>Data_preprocessing!Z780</f>
        <v>123-456-7890</v>
      </c>
      <c r="K780">
        <f t="shared" ca="1" si="36"/>
        <v>6</v>
      </c>
      <c r="L780" t="str">
        <f t="shared" si="37"/>
        <v>Low</v>
      </c>
      <c r="M780" t="str">
        <f t="shared" si="38"/>
        <v>Average</v>
      </c>
    </row>
    <row r="781" spans="1:13" x14ac:dyDescent="0.25">
      <c r="A781" t="str">
        <f>Data_preprocessing!M781</f>
        <v>Jack</v>
      </c>
      <c r="B781">
        <f>Data_preprocessing!O781</f>
        <v>35</v>
      </c>
      <c r="C781">
        <f>Data_preprocessing!Q781</f>
        <v>55000</v>
      </c>
      <c r="D781" t="str">
        <f>Data_preprocessing!R781</f>
        <v>Other</v>
      </c>
      <c r="E781" t="str">
        <f>Data_preprocessing!S781</f>
        <v>HR</v>
      </c>
      <c r="F781" t="str">
        <f>Data_preprocessing!T781</f>
        <v>Clerk</v>
      </c>
      <c r="G781" s="2">
        <f>Data_preprocessing!U781</f>
        <v>43881</v>
      </c>
      <c r="H781" t="str">
        <f>Data_preprocessing!V781</f>
        <v>F</v>
      </c>
      <c r="I781" t="str">
        <f>Data_preprocessing!Y781</f>
        <v>email@example.com</v>
      </c>
      <c r="J781" t="str">
        <f>Data_preprocessing!Z781</f>
        <v>123-456-7890</v>
      </c>
      <c r="K781">
        <f t="shared" ca="1" si="36"/>
        <v>5</v>
      </c>
      <c r="L781" t="str">
        <f t="shared" si="37"/>
        <v>Low</v>
      </c>
      <c r="M781" t="str">
        <f t="shared" si="38"/>
        <v>Poor</v>
      </c>
    </row>
    <row r="782" spans="1:13" x14ac:dyDescent="0.25">
      <c r="A782" t="str">
        <f>Data_preprocessing!M782</f>
        <v>Grace</v>
      </c>
      <c r="B782">
        <f>Data_preprocessing!O782</f>
        <v>50</v>
      </c>
      <c r="C782">
        <f>Data_preprocessing!Q782</f>
        <v>60000</v>
      </c>
      <c r="D782" t="str">
        <f>Data_preprocessing!R782</f>
        <v>Female</v>
      </c>
      <c r="E782" t="str">
        <f>Data_preprocessing!S782</f>
        <v>Finance</v>
      </c>
      <c r="F782" t="str">
        <f>Data_preprocessing!T782</f>
        <v>Director</v>
      </c>
      <c r="G782" s="2">
        <f>Data_preprocessing!U782</f>
        <v>43881</v>
      </c>
      <c r="H782" t="str">
        <f>Data_preprocessing!V782</f>
        <v>D</v>
      </c>
      <c r="I782" t="str">
        <f>Data_preprocessing!Y782</f>
        <v>Email not provided</v>
      </c>
      <c r="J782" t="str">
        <f>Data_preprocessing!Z782</f>
        <v>098-765-4321</v>
      </c>
      <c r="K782">
        <f t="shared" ca="1" si="36"/>
        <v>5</v>
      </c>
      <c r="L782" t="str">
        <f t="shared" si="37"/>
        <v>Medium</v>
      </c>
      <c r="M782" t="str">
        <f t="shared" si="38"/>
        <v>Below Average</v>
      </c>
    </row>
    <row r="783" spans="1:13" x14ac:dyDescent="0.25">
      <c r="A783" t="str">
        <f>Data_preprocessing!M783</f>
        <v>Hannah</v>
      </c>
      <c r="B783">
        <f>Data_preprocessing!O783</f>
        <v>35</v>
      </c>
      <c r="C783">
        <f>Data_preprocessing!Q783</f>
        <v>70000</v>
      </c>
      <c r="D783" t="str">
        <f>Data_preprocessing!R783</f>
        <v>Other</v>
      </c>
      <c r="E783" t="str">
        <f>Data_preprocessing!S783</f>
        <v>Sales</v>
      </c>
      <c r="F783" t="str">
        <f>Data_preprocessing!T783</f>
        <v>Assistant</v>
      </c>
      <c r="G783" s="2">
        <f>Data_preprocessing!U783</f>
        <v>43800</v>
      </c>
      <c r="H783" t="str">
        <f>Data_preprocessing!V783</f>
        <v>C</v>
      </c>
      <c r="I783" t="str">
        <f>Data_preprocessing!Y783</f>
        <v>user@domain.com</v>
      </c>
      <c r="J783" t="str">
        <f>Data_preprocessing!Z783</f>
        <v>Phone not provided</v>
      </c>
      <c r="K783">
        <f t="shared" ca="1" si="36"/>
        <v>6</v>
      </c>
      <c r="L783" t="str">
        <f t="shared" si="37"/>
        <v>High</v>
      </c>
      <c r="M783" t="str">
        <f t="shared" si="38"/>
        <v>Average</v>
      </c>
    </row>
    <row r="784" spans="1:13" x14ac:dyDescent="0.25">
      <c r="A784" t="str">
        <f>Data_preprocessing!M784</f>
        <v>Bob</v>
      </c>
      <c r="B784">
        <f>Data_preprocessing!O784</f>
        <v>35</v>
      </c>
      <c r="C784">
        <f>Data_preprocessing!Q784</f>
        <v>60000</v>
      </c>
      <c r="D784" t="str">
        <f>Data_preprocessing!R784</f>
        <v>Other</v>
      </c>
      <c r="E784" t="str">
        <f>Data_preprocessing!S784</f>
        <v>Sales</v>
      </c>
      <c r="F784" t="str">
        <f>Data_preprocessing!T784</f>
        <v>Manager</v>
      </c>
      <c r="G784" s="2">
        <f>Data_preprocessing!U784</f>
        <v>43845</v>
      </c>
      <c r="H784" t="str">
        <f>Data_preprocessing!V784</f>
        <v>A</v>
      </c>
      <c r="I784" t="str">
        <f>Data_preprocessing!Y784</f>
        <v>name@company.org</v>
      </c>
      <c r="J784" t="str">
        <f>Data_preprocessing!Z784</f>
        <v>Phone not provided</v>
      </c>
      <c r="K784">
        <f t="shared" ca="1" si="36"/>
        <v>6</v>
      </c>
      <c r="L784" t="str">
        <f t="shared" si="37"/>
        <v>Medium</v>
      </c>
      <c r="M784" t="str">
        <f t="shared" si="38"/>
        <v>Excellent</v>
      </c>
    </row>
    <row r="785" spans="1:13" x14ac:dyDescent="0.25">
      <c r="A785" t="str">
        <f>Data_preprocessing!M785</f>
        <v>Jack</v>
      </c>
      <c r="B785">
        <f>Data_preprocessing!O785</f>
        <v>35</v>
      </c>
      <c r="C785">
        <f>Data_preprocessing!Q785</f>
        <v>50000</v>
      </c>
      <c r="D785" t="str">
        <f>Data_preprocessing!R785</f>
        <v>Male</v>
      </c>
      <c r="E785" t="str">
        <f>Data_preprocessing!S785</f>
        <v>IT</v>
      </c>
      <c r="F785" t="str">
        <f>Data_preprocessing!T785</f>
        <v>Assistant</v>
      </c>
      <c r="G785" s="2">
        <f>Data_preprocessing!U785</f>
        <v>43195</v>
      </c>
      <c r="H785" t="str">
        <f>Data_preprocessing!V785</f>
        <v>B</v>
      </c>
      <c r="I785" t="str">
        <f>Data_preprocessing!Y785</f>
        <v>Email not provided</v>
      </c>
      <c r="J785" t="str">
        <f>Data_preprocessing!Z785</f>
        <v>Phone not provided</v>
      </c>
      <c r="K785">
        <f t="shared" ca="1" si="36"/>
        <v>7</v>
      </c>
      <c r="L785" t="str">
        <f t="shared" si="37"/>
        <v>Low</v>
      </c>
      <c r="M785" t="str">
        <f t="shared" si="38"/>
        <v>Good</v>
      </c>
    </row>
    <row r="786" spans="1:13" x14ac:dyDescent="0.25">
      <c r="A786" t="str">
        <f>Data_preprocessing!M786</f>
        <v>Hannah</v>
      </c>
      <c r="B786">
        <f>Data_preprocessing!O786</f>
        <v>35</v>
      </c>
      <c r="C786">
        <f>Data_preprocessing!Q786</f>
        <v>60000</v>
      </c>
      <c r="D786" t="str">
        <f>Data_preprocessing!R786</f>
        <v>Male</v>
      </c>
      <c r="E786" t="str">
        <f>Data_preprocessing!S786</f>
        <v>IT</v>
      </c>
      <c r="F786" t="str">
        <f>Data_preprocessing!T786</f>
        <v>Analyst</v>
      </c>
      <c r="G786" s="2">
        <f>Data_preprocessing!U786</f>
        <v>43881</v>
      </c>
      <c r="H786" t="str">
        <f>Data_preprocessing!V786</f>
        <v>F</v>
      </c>
      <c r="I786" t="str">
        <f>Data_preprocessing!Y786</f>
        <v>name@company.org</v>
      </c>
      <c r="J786" t="str">
        <f>Data_preprocessing!Z786</f>
        <v>123-456-7890</v>
      </c>
      <c r="K786">
        <f t="shared" ca="1" si="36"/>
        <v>5</v>
      </c>
      <c r="L786" t="str">
        <f t="shared" si="37"/>
        <v>Medium</v>
      </c>
      <c r="M786" t="str">
        <f t="shared" si="38"/>
        <v>Poor</v>
      </c>
    </row>
    <row r="787" spans="1:13" x14ac:dyDescent="0.25">
      <c r="A787" t="str">
        <f>Data_preprocessing!M787</f>
        <v>Charlie</v>
      </c>
      <c r="B787">
        <f>Data_preprocessing!O787</f>
        <v>50</v>
      </c>
      <c r="C787">
        <f>Data_preprocessing!Q787</f>
        <v>60000</v>
      </c>
      <c r="D787" t="str">
        <f>Data_preprocessing!R787</f>
        <v>Other</v>
      </c>
      <c r="E787" t="str">
        <f>Data_preprocessing!S787</f>
        <v>Finance</v>
      </c>
      <c r="F787" t="str">
        <f>Data_preprocessing!T787</f>
        <v>Assistant</v>
      </c>
      <c r="G787" s="2">
        <f>Data_preprocessing!U787</f>
        <v>43800</v>
      </c>
      <c r="H787" t="str">
        <f>Data_preprocessing!V787</f>
        <v>A</v>
      </c>
      <c r="I787" t="str">
        <f>Data_preprocessing!Y787</f>
        <v>user@domain.com</v>
      </c>
      <c r="J787" t="str">
        <f>Data_preprocessing!Z787</f>
        <v>Phone not provided</v>
      </c>
      <c r="K787">
        <f t="shared" ca="1" si="36"/>
        <v>6</v>
      </c>
      <c r="L787" t="str">
        <f t="shared" si="37"/>
        <v>Medium</v>
      </c>
      <c r="M787" t="str">
        <f t="shared" si="38"/>
        <v>Excellent</v>
      </c>
    </row>
    <row r="788" spans="1:13" x14ac:dyDescent="0.25">
      <c r="A788" t="str">
        <f>Data_preprocessing!M788</f>
        <v>Grace</v>
      </c>
      <c r="B788">
        <f>Data_preprocessing!O788</f>
        <v>30</v>
      </c>
      <c r="C788">
        <f>Data_preprocessing!Q788</f>
        <v>60000</v>
      </c>
      <c r="D788" t="str">
        <f>Data_preprocessing!R788</f>
        <v>Male</v>
      </c>
      <c r="E788" t="str">
        <f>Data_preprocessing!S788</f>
        <v>HR</v>
      </c>
      <c r="F788" t="str">
        <f>Data_preprocessing!T788</f>
        <v>Clerk</v>
      </c>
      <c r="G788" s="2">
        <f>Data_preprocessing!U788</f>
        <v>43549</v>
      </c>
      <c r="H788" t="str">
        <f>Data_preprocessing!V788</f>
        <v>D</v>
      </c>
      <c r="I788" t="str">
        <f>Data_preprocessing!Y788</f>
        <v>email@example.com</v>
      </c>
      <c r="J788" t="str">
        <f>Data_preprocessing!Z788</f>
        <v>555-555-5555</v>
      </c>
      <c r="K788">
        <f t="shared" ca="1" si="36"/>
        <v>6</v>
      </c>
      <c r="L788" t="str">
        <f t="shared" si="37"/>
        <v>Medium</v>
      </c>
      <c r="M788" t="str">
        <f t="shared" si="38"/>
        <v>Below Average</v>
      </c>
    </row>
    <row r="789" spans="1:13" x14ac:dyDescent="0.25">
      <c r="A789" t="str">
        <f>Data_preprocessing!M789</f>
        <v>Charlie</v>
      </c>
      <c r="B789">
        <f>Data_preprocessing!O789</f>
        <v>50</v>
      </c>
      <c r="C789">
        <f>Data_preprocessing!Q789</f>
        <v>70000</v>
      </c>
      <c r="D789" t="str">
        <f>Data_preprocessing!R789</f>
        <v>Male</v>
      </c>
      <c r="E789" t="str">
        <f>Data_preprocessing!S789</f>
        <v>Sales</v>
      </c>
      <c r="F789" t="str">
        <f>Data_preprocessing!T789</f>
        <v>Clerk</v>
      </c>
      <c r="G789" s="2">
        <f>Data_preprocessing!U789</f>
        <v>43881</v>
      </c>
      <c r="H789" t="str">
        <f>Data_preprocessing!V789</f>
        <v>D</v>
      </c>
      <c r="I789" t="str">
        <f>Data_preprocessing!Y789</f>
        <v>Email not provided</v>
      </c>
      <c r="J789" t="str">
        <f>Data_preprocessing!Z789</f>
        <v>Phone not provided</v>
      </c>
      <c r="K789">
        <f t="shared" ca="1" si="36"/>
        <v>5</v>
      </c>
      <c r="L789" t="str">
        <f t="shared" si="37"/>
        <v>High</v>
      </c>
      <c r="M789" t="str">
        <f t="shared" si="38"/>
        <v>Below Average</v>
      </c>
    </row>
    <row r="790" spans="1:13" x14ac:dyDescent="0.25">
      <c r="A790" t="str">
        <f>Data_preprocessing!M790</f>
        <v>Grace</v>
      </c>
      <c r="B790">
        <f>Data_preprocessing!O790</f>
        <v>30</v>
      </c>
      <c r="C790">
        <f>Data_preprocessing!Q790</f>
        <v>60000</v>
      </c>
      <c r="D790" t="str">
        <f>Data_preprocessing!R790</f>
        <v>Male</v>
      </c>
      <c r="E790" t="str">
        <f>Data_preprocessing!S790</f>
        <v>Finance</v>
      </c>
      <c r="F790" t="str">
        <f>Data_preprocessing!T790</f>
        <v>Director</v>
      </c>
      <c r="G790" s="2">
        <f>Data_preprocessing!U790</f>
        <v>43195</v>
      </c>
      <c r="H790" t="str">
        <f>Data_preprocessing!V790</f>
        <v>B</v>
      </c>
      <c r="I790" t="str">
        <f>Data_preprocessing!Y790</f>
        <v>Email not provided</v>
      </c>
      <c r="J790" t="str">
        <f>Data_preprocessing!Z790</f>
        <v>Phone not provided</v>
      </c>
      <c r="K790">
        <f t="shared" ca="1" si="36"/>
        <v>7</v>
      </c>
      <c r="L790" t="str">
        <f t="shared" si="37"/>
        <v>Medium</v>
      </c>
      <c r="M790" t="str">
        <f t="shared" si="38"/>
        <v>Good</v>
      </c>
    </row>
    <row r="791" spans="1:13" x14ac:dyDescent="0.25">
      <c r="A791" t="str">
        <f>Data_preprocessing!M791</f>
        <v>Bob</v>
      </c>
      <c r="B791">
        <f>Data_preprocessing!O791</f>
        <v>35</v>
      </c>
      <c r="C791">
        <f>Data_preprocessing!Q791</f>
        <v>50000</v>
      </c>
      <c r="D791" t="str">
        <f>Data_preprocessing!R791</f>
        <v>Other</v>
      </c>
      <c r="E791" t="str">
        <f>Data_preprocessing!S791</f>
        <v>Marketing</v>
      </c>
      <c r="F791" t="str">
        <f>Data_preprocessing!T791</f>
        <v>Director</v>
      </c>
      <c r="G791" s="2">
        <f>Data_preprocessing!U791</f>
        <v>43845</v>
      </c>
      <c r="H791" t="str">
        <f>Data_preprocessing!V791</f>
        <v>B</v>
      </c>
      <c r="I791" t="str">
        <f>Data_preprocessing!Y791</f>
        <v>user@domain.com</v>
      </c>
      <c r="J791" t="str">
        <f>Data_preprocessing!Z791</f>
        <v>098-765-4321</v>
      </c>
      <c r="K791">
        <f t="shared" ca="1" si="36"/>
        <v>6</v>
      </c>
      <c r="L791" t="str">
        <f t="shared" si="37"/>
        <v>Low</v>
      </c>
      <c r="M791" t="str">
        <f t="shared" si="38"/>
        <v>Good</v>
      </c>
    </row>
    <row r="792" spans="1:13" x14ac:dyDescent="0.25">
      <c r="A792" t="str">
        <f>Data_preprocessing!M792</f>
        <v>Jack</v>
      </c>
      <c r="B792">
        <f>Data_preprocessing!O792</f>
        <v>25</v>
      </c>
      <c r="C792">
        <f>Data_preprocessing!Q792</f>
        <v>60000</v>
      </c>
      <c r="D792" t="str">
        <f>Data_preprocessing!R792</f>
        <v>Male</v>
      </c>
      <c r="E792" t="str">
        <f>Data_preprocessing!S792</f>
        <v>Marketing</v>
      </c>
      <c r="F792" t="str">
        <f>Data_preprocessing!T792</f>
        <v>Director</v>
      </c>
      <c r="G792" s="2">
        <f>Data_preprocessing!U792</f>
        <v>43881</v>
      </c>
      <c r="H792" t="str">
        <f>Data_preprocessing!V792</f>
        <v>F</v>
      </c>
      <c r="I792" t="str">
        <f>Data_preprocessing!Y792</f>
        <v>Email not provided</v>
      </c>
      <c r="J792" t="str">
        <f>Data_preprocessing!Z792</f>
        <v>555-555-5555</v>
      </c>
      <c r="K792">
        <f t="shared" ca="1" si="36"/>
        <v>5</v>
      </c>
      <c r="L792" t="str">
        <f t="shared" si="37"/>
        <v>Medium</v>
      </c>
      <c r="M792" t="str">
        <f t="shared" si="38"/>
        <v>Poor</v>
      </c>
    </row>
    <row r="793" spans="1:13" x14ac:dyDescent="0.25">
      <c r="A793" t="str">
        <f>Data_preprocessing!M793</f>
        <v>Frank</v>
      </c>
      <c r="B793">
        <f>Data_preprocessing!O793</f>
        <v>35</v>
      </c>
      <c r="C793">
        <f>Data_preprocessing!Q793</f>
        <v>70000</v>
      </c>
      <c r="D793" t="str">
        <f>Data_preprocessing!R793</f>
        <v>Other</v>
      </c>
      <c r="E793" t="str">
        <f>Data_preprocessing!S793</f>
        <v>Finance</v>
      </c>
      <c r="F793" t="str">
        <f>Data_preprocessing!T793</f>
        <v>Manager</v>
      </c>
      <c r="G793" s="2">
        <f>Data_preprocessing!U793</f>
        <v>43881</v>
      </c>
      <c r="H793" t="str">
        <f>Data_preprocessing!V793</f>
        <v>F</v>
      </c>
      <c r="I793" t="str">
        <f>Data_preprocessing!Y793</f>
        <v>name@company.org</v>
      </c>
      <c r="J793" t="str">
        <f>Data_preprocessing!Z793</f>
        <v>Phone not provided</v>
      </c>
      <c r="K793">
        <f t="shared" ca="1" si="36"/>
        <v>5</v>
      </c>
      <c r="L793" t="str">
        <f t="shared" si="37"/>
        <v>High</v>
      </c>
      <c r="M793" t="str">
        <f t="shared" si="38"/>
        <v>Poor</v>
      </c>
    </row>
    <row r="794" spans="1:13" x14ac:dyDescent="0.25">
      <c r="A794" t="str">
        <f>Data_preprocessing!M794</f>
        <v>Charlie</v>
      </c>
      <c r="B794">
        <f>Data_preprocessing!O794</f>
        <v>30</v>
      </c>
      <c r="C794">
        <f>Data_preprocessing!Q794</f>
        <v>60000</v>
      </c>
      <c r="D794" t="str">
        <f>Data_preprocessing!R794</f>
        <v>Male</v>
      </c>
      <c r="E794" t="str">
        <f>Data_preprocessing!S794</f>
        <v>Sales</v>
      </c>
      <c r="F794" t="str">
        <f>Data_preprocessing!T794</f>
        <v>Director</v>
      </c>
      <c r="G794" s="2">
        <f>Data_preprocessing!U794</f>
        <v>43800</v>
      </c>
      <c r="H794" t="str">
        <f>Data_preprocessing!V794</f>
        <v>B</v>
      </c>
      <c r="I794" t="str">
        <f>Data_preprocessing!Y794</f>
        <v>Email not provided</v>
      </c>
      <c r="J794" t="str">
        <f>Data_preprocessing!Z794</f>
        <v>555-555-5555</v>
      </c>
      <c r="K794">
        <f t="shared" ca="1" si="36"/>
        <v>6</v>
      </c>
      <c r="L794" t="str">
        <f t="shared" si="37"/>
        <v>Medium</v>
      </c>
      <c r="M794" t="str">
        <f t="shared" si="38"/>
        <v>Good</v>
      </c>
    </row>
    <row r="795" spans="1:13" x14ac:dyDescent="0.25">
      <c r="A795" t="str">
        <f>Data_preprocessing!M795</f>
        <v>Charlie</v>
      </c>
      <c r="B795">
        <f>Data_preprocessing!O795</f>
        <v>50</v>
      </c>
      <c r="C795">
        <f>Data_preprocessing!Q795</f>
        <v>70000</v>
      </c>
      <c r="D795" t="str">
        <f>Data_preprocessing!R795</f>
        <v>Female</v>
      </c>
      <c r="E795" t="str">
        <f>Data_preprocessing!S795</f>
        <v>Finance</v>
      </c>
      <c r="F795" t="str">
        <f>Data_preprocessing!T795</f>
        <v>Manager</v>
      </c>
      <c r="G795" s="2">
        <f>Data_preprocessing!U795</f>
        <v>43549</v>
      </c>
      <c r="H795" t="str">
        <f>Data_preprocessing!V795</f>
        <v>B</v>
      </c>
      <c r="I795" t="str">
        <f>Data_preprocessing!Y795</f>
        <v>user@domain.com</v>
      </c>
      <c r="J795" t="str">
        <f>Data_preprocessing!Z795</f>
        <v>Phone not provided</v>
      </c>
      <c r="K795">
        <f t="shared" ca="1" si="36"/>
        <v>6</v>
      </c>
      <c r="L795" t="str">
        <f t="shared" si="37"/>
        <v>High</v>
      </c>
      <c r="M795" t="str">
        <f t="shared" si="38"/>
        <v>Good</v>
      </c>
    </row>
    <row r="796" spans="1:13" x14ac:dyDescent="0.25">
      <c r="A796" t="str">
        <f>Data_preprocessing!M796</f>
        <v>Ivy</v>
      </c>
      <c r="B796">
        <f>Data_preprocessing!O796</f>
        <v>35</v>
      </c>
      <c r="C796">
        <f>Data_preprocessing!Q796</f>
        <v>60000</v>
      </c>
      <c r="D796" t="str">
        <f>Data_preprocessing!R796</f>
        <v>Male</v>
      </c>
      <c r="E796" t="str">
        <f>Data_preprocessing!S796</f>
        <v>Sales</v>
      </c>
      <c r="F796" t="str">
        <f>Data_preprocessing!T796</f>
        <v>Director</v>
      </c>
      <c r="G796" s="2">
        <f>Data_preprocessing!U796</f>
        <v>43549</v>
      </c>
      <c r="H796" t="str">
        <f>Data_preprocessing!V796</f>
        <v>D</v>
      </c>
      <c r="I796" t="str">
        <f>Data_preprocessing!Y796</f>
        <v>user@domain.com</v>
      </c>
      <c r="J796" t="str">
        <f>Data_preprocessing!Z796</f>
        <v>123-456-7890</v>
      </c>
      <c r="K796">
        <f t="shared" ca="1" si="36"/>
        <v>6</v>
      </c>
      <c r="L796" t="str">
        <f t="shared" si="37"/>
        <v>Medium</v>
      </c>
      <c r="M796" t="str">
        <f t="shared" si="38"/>
        <v>Below Average</v>
      </c>
    </row>
    <row r="797" spans="1:13" x14ac:dyDescent="0.25">
      <c r="A797" t="str">
        <f>Data_preprocessing!M797</f>
        <v>Grace</v>
      </c>
      <c r="B797">
        <f>Data_preprocessing!O797</f>
        <v>30</v>
      </c>
      <c r="C797">
        <f>Data_preprocessing!Q797</f>
        <v>55000</v>
      </c>
      <c r="D797" t="str">
        <f>Data_preprocessing!R797</f>
        <v>Male</v>
      </c>
      <c r="E797" t="str">
        <f>Data_preprocessing!S797</f>
        <v>IT</v>
      </c>
      <c r="F797" t="str">
        <f>Data_preprocessing!T797</f>
        <v>Manager</v>
      </c>
      <c r="G797" s="2">
        <f>Data_preprocessing!U797</f>
        <v>43845</v>
      </c>
      <c r="H797" t="str">
        <f>Data_preprocessing!V797</f>
        <v>B</v>
      </c>
      <c r="I797" t="str">
        <f>Data_preprocessing!Y797</f>
        <v>name@company.org</v>
      </c>
      <c r="J797" t="str">
        <f>Data_preprocessing!Z797</f>
        <v>Phone not provided</v>
      </c>
      <c r="K797">
        <f t="shared" ca="1" si="36"/>
        <v>6</v>
      </c>
      <c r="L797" t="str">
        <f t="shared" si="37"/>
        <v>Low</v>
      </c>
      <c r="M797" t="str">
        <f t="shared" si="38"/>
        <v>Good</v>
      </c>
    </row>
    <row r="798" spans="1:13" x14ac:dyDescent="0.25">
      <c r="A798" t="str">
        <f>Data_preprocessing!M798</f>
        <v>Eve</v>
      </c>
      <c r="B798">
        <f>Data_preprocessing!O798</f>
        <v>50</v>
      </c>
      <c r="C798">
        <f>Data_preprocessing!Q798</f>
        <v>60000</v>
      </c>
      <c r="D798" t="str">
        <f>Data_preprocessing!R798</f>
        <v>Other</v>
      </c>
      <c r="E798" t="str">
        <f>Data_preprocessing!S798</f>
        <v>Finance</v>
      </c>
      <c r="F798" t="str">
        <f>Data_preprocessing!T798</f>
        <v>Assistant</v>
      </c>
      <c r="G798" s="2">
        <f>Data_preprocessing!U798</f>
        <v>43195</v>
      </c>
      <c r="H798" t="str">
        <f>Data_preprocessing!V798</f>
        <v>C</v>
      </c>
      <c r="I798" t="str">
        <f>Data_preprocessing!Y798</f>
        <v>Email not provided</v>
      </c>
      <c r="J798" t="str">
        <f>Data_preprocessing!Z798</f>
        <v>098-765-4321</v>
      </c>
      <c r="K798">
        <f t="shared" ca="1" si="36"/>
        <v>7</v>
      </c>
      <c r="L798" t="str">
        <f t="shared" si="37"/>
        <v>Medium</v>
      </c>
      <c r="M798" t="str">
        <f t="shared" si="38"/>
        <v>Average</v>
      </c>
    </row>
    <row r="799" spans="1:13" x14ac:dyDescent="0.25">
      <c r="A799" t="str">
        <f>Data_preprocessing!M799</f>
        <v>Jack</v>
      </c>
      <c r="B799">
        <f>Data_preprocessing!O799</f>
        <v>35</v>
      </c>
      <c r="C799">
        <f>Data_preprocessing!Q799</f>
        <v>60000</v>
      </c>
      <c r="D799" t="str">
        <f>Data_preprocessing!R799</f>
        <v>Other</v>
      </c>
      <c r="E799" t="str">
        <f>Data_preprocessing!S799</f>
        <v>Sales</v>
      </c>
      <c r="F799" t="str">
        <f>Data_preprocessing!T799</f>
        <v>Assistant</v>
      </c>
      <c r="G799" s="2">
        <f>Data_preprocessing!U799</f>
        <v>43845</v>
      </c>
      <c r="H799" t="str">
        <f>Data_preprocessing!V799</f>
        <v>A</v>
      </c>
      <c r="I799" t="str">
        <f>Data_preprocessing!Y799</f>
        <v>Email not provided</v>
      </c>
      <c r="J799" t="str">
        <f>Data_preprocessing!Z799</f>
        <v>Phone not provided</v>
      </c>
      <c r="K799">
        <f t="shared" ca="1" si="36"/>
        <v>6</v>
      </c>
      <c r="L799" t="str">
        <f t="shared" si="37"/>
        <v>Medium</v>
      </c>
      <c r="M799" t="str">
        <f t="shared" si="38"/>
        <v>Excellent</v>
      </c>
    </row>
    <row r="800" spans="1:13" x14ac:dyDescent="0.25">
      <c r="A800" t="str">
        <f>Data_preprocessing!M800</f>
        <v>Grace</v>
      </c>
      <c r="B800">
        <f>Data_preprocessing!O800</f>
        <v>35</v>
      </c>
      <c r="C800">
        <f>Data_preprocessing!Q800</f>
        <v>55000</v>
      </c>
      <c r="D800" t="str">
        <f>Data_preprocessing!R800</f>
        <v>Male</v>
      </c>
      <c r="E800" t="str">
        <f>Data_preprocessing!S800</f>
        <v>Finance</v>
      </c>
      <c r="F800" t="str">
        <f>Data_preprocessing!T800</f>
        <v>Clerk</v>
      </c>
      <c r="G800" s="2">
        <f>Data_preprocessing!U800</f>
        <v>43881</v>
      </c>
      <c r="H800" t="str">
        <f>Data_preprocessing!V800</f>
        <v>B</v>
      </c>
      <c r="I800" t="str">
        <f>Data_preprocessing!Y800</f>
        <v>email@example.com</v>
      </c>
      <c r="J800" t="str">
        <f>Data_preprocessing!Z800</f>
        <v>Phone not provided</v>
      </c>
      <c r="K800">
        <f t="shared" ca="1" si="36"/>
        <v>5</v>
      </c>
      <c r="L800" t="str">
        <f t="shared" si="37"/>
        <v>Low</v>
      </c>
      <c r="M800" t="str">
        <f t="shared" si="38"/>
        <v>Good</v>
      </c>
    </row>
    <row r="801" spans="1:13" x14ac:dyDescent="0.25">
      <c r="A801" t="str">
        <f>Data_preprocessing!M801</f>
        <v>Ivy</v>
      </c>
      <c r="B801">
        <f>Data_preprocessing!O801</f>
        <v>40</v>
      </c>
      <c r="C801">
        <f>Data_preprocessing!Q801</f>
        <v>60000</v>
      </c>
      <c r="D801" t="str">
        <f>Data_preprocessing!R801</f>
        <v>Female</v>
      </c>
      <c r="E801" t="str">
        <f>Data_preprocessing!S801</f>
        <v>Finance</v>
      </c>
      <c r="F801" t="str">
        <f>Data_preprocessing!T801</f>
        <v>Manager</v>
      </c>
      <c r="G801" s="2">
        <f>Data_preprocessing!U801</f>
        <v>43881</v>
      </c>
      <c r="H801" t="str">
        <f>Data_preprocessing!V801</f>
        <v>F</v>
      </c>
      <c r="I801" t="str">
        <f>Data_preprocessing!Y801</f>
        <v>Email not provided</v>
      </c>
      <c r="J801" t="str">
        <f>Data_preprocessing!Z801</f>
        <v>098-765-4321</v>
      </c>
      <c r="K801">
        <f t="shared" ca="1" si="36"/>
        <v>5</v>
      </c>
      <c r="L801" t="str">
        <f t="shared" si="37"/>
        <v>Medium</v>
      </c>
      <c r="M801" t="str">
        <f t="shared" si="38"/>
        <v>Poor</v>
      </c>
    </row>
    <row r="802" spans="1:13" x14ac:dyDescent="0.25">
      <c r="A802" t="str">
        <f>Data_preprocessing!M802</f>
        <v>Alice</v>
      </c>
      <c r="B802">
        <f>Data_preprocessing!O802</f>
        <v>25</v>
      </c>
      <c r="C802">
        <f>Data_preprocessing!Q802</f>
        <v>70000</v>
      </c>
      <c r="D802" t="str">
        <f>Data_preprocessing!R802</f>
        <v>Male</v>
      </c>
      <c r="E802" t="str">
        <f>Data_preprocessing!S802</f>
        <v>Sales</v>
      </c>
      <c r="F802" t="str">
        <f>Data_preprocessing!T802</f>
        <v>Analyst</v>
      </c>
      <c r="G802" s="2">
        <f>Data_preprocessing!U802</f>
        <v>43549</v>
      </c>
      <c r="H802" t="str">
        <f>Data_preprocessing!V802</f>
        <v>C</v>
      </c>
      <c r="I802" t="str">
        <f>Data_preprocessing!Y802</f>
        <v>user@domain.com</v>
      </c>
      <c r="J802" t="str">
        <f>Data_preprocessing!Z802</f>
        <v>Phone not provided</v>
      </c>
      <c r="K802">
        <f t="shared" ca="1" si="36"/>
        <v>6</v>
      </c>
      <c r="L802" t="str">
        <f t="shared" si="37"/>
        <v>High</v>
      </c>
      <c r="M802" t="str">
        <f t="shared" si="38"/>
        <v>Average</v>
      </c>
    </row>
    <row r="803" spans="1:13" x14ac:dyDescent="0.25">
      <c r="A803" t="str">
        <f>Data_preprocessing!M803</f>
        <v>Grace</v>
      </c>
      <c r="B803">
        <f>Data_preprocessing!O803</f>
        <v>40</v>
      </c>
      <c r="C803">
        <f>Data_preprocessing!Q803</f>
        <v>70000</v>
      </c>
      <c r="D803" t="str">
        <f>Data_preprocessing!R803</f>
        <v>Male</v>
      </c>
      <c r="E803" t="str">
        <f>Data_preprocessing!S803</f>
        <v>Sales</v>
      </c>
      <c r="F803" t="str">
        <f>Data_preprocessing!T803</f>
        <v>Clerk</v>
      </c>
      <c r="G803" s="2">
        <f>Data_preprocessing!U803</f>
        <v>43195</v>
      </c>
      <c r="H803" t="str">
        <f>Data_preprocessing!V803</f>
        <v>F</v>
      </c>
      <c r="I803" t="str">
        <f>Data_preprocessing!Y803</f>
        <v>email@example.com</v>
      </c>
      <c r="J803" t="str">
        <f>Data_preprocessing!Z803</f>
        <v>Phone not provided</v>
      </c>
      <c r="K803">
        <f t="shared" ca="1" si="36"/>
        <v>7</v>
      </c>
      <c r="L803" t="str">
        <f t="shared" si="37"/>
        <v>High</v>
      </c>
      <c r="M803" t="str">
        <f t="shared" si="38"/>
        <v>Poor</v>
      </c>
    </row>
    <row r="804" spans="1:13" x14ac:dyDescent="0.25">
      <c r="A804" t="str">
        <f>Data_preprocessing!M804</f>
        <v>Frank</v>
      </c>
      <c r="B804">
        <f>Data_preprocessing!O804</f>
        <v>35</v>
      </c>
      <c r="C804">
        <f>Data_preprocessing!Q804</f>
        <v>70000</v>
      </c>
      <c r="D804" t="str">
        <f>Data_preprocessing!R804</f>
        <v>Female</v>
      </c>
      <c r="E804" t="str">
        <f>Data_preprocessing!S804</f>
        <v>HR</v>
      </c>
      <c r="F804" t="str">
        <f>Data_preprocessing!T804</f>
        <v>Assistant</v>
      </c>
      <c r="G804" s="2">
        <f>Data_preprocessing!U804</f>
        <v>43800</v>
      </c>
      <c r="H804" t="str">
        <f>Data_preprocessing!V804</f>
        <v>C</v>
      </c>
      <c r="I804" t="str">
        <f>Data_preprocessing!Y804</f>
        <v>user@domain.com</v>
      </c>
      <c r="J804" t="str">
        <f>Data_preprocessing!Z804</f>
        <v>Phone not provided</v>
      </c>
      <c r="K804">
        <f t="shared" ca="1" si="36"/>
        <v>6</v>
      </c>
      <c r="L804" t="str">
        <f t="shared" si="37"/>
        <v>High</v>
      </c>
      <c r="M804" t="str">
        <f t="shared" si="38"/>
        <v>Average</v>
      </c>
    </row>
    <row r="805" spans="1:13" x14ac:dyDescent="0.25">
      <c r="A805" t="str">
        <f>Data_preprocessing!M805</f>
        <v>Jack</v>
      </c>
      <c r="B805">
        <f>Data_preprocessing!O805</f>
        <v>30</v>
      </c>
      <c r="C805">
        <f>Data_preprocessing!Q805</f>
        <v>65000</v>
      </c>
      <c r="D805" t="str">
        <f>Data_preprocessing!R805</f>
        <v>Other</v>
      </c>
      <c r="E805" t="str">
        <f>Data_preprocessing!S805</f>
        <v>Finance</v>
      </c>
      <c r="F805" t="str">
        <f>Data_preprocessing!T805</f>
        <v>Manager</v>
      </c>
      <c r="G805" s="2">
        <f>Data_preprocessing!U805</f>
        <v>43195</v>
      </c>
      <c r="H805" t="str">
        <f>Data_preprocessing!V805</f>
        <v>B</v>
      </c>
      <c r="I805" t="str">
        <f>Data_preprocessing!Y805</f>
        <v>email@example.com</v>
      </c>
      <c r="J805" t="str">
        <f>Data_preprocessing!Z805</f>
        <v>555-555-5555</v>
      </c>
      <c r="K805">
        <f t="shared" ca="1" si="36"/>
        <v>7</v>
      </c>
      <c r="L805" t="str">
        <f t="shared" si="37"/>
        <v>High</v>
      </c>
      <c r="M805" t="str">
        <f t="shared" si="38"/>
        <v>Good</v>
      </c>
    </row>
    <row r="806" spans="1:13" x14ac:dyDescent="0.25">
      <c r="A806" t="str">
        <f>Data_preprocessing!M806</f>
        <v>Ivy</v>
      </c>
      <c r="B806">
        <f>Data_preprocessing!O806</f>
        <v>35</v>
      </c>
      <c r="C806">
        <f>Data_preprocessing!Q806</f>
        <v>50000</v>
      </c>
      <c r="D806" t="str">
        <f>Data_preprocessing!R806</f>
        <v>Male</v>
      </c>
      <c r="E806" t="str">
        <f>Data_preprocessing!S806</f>
        <v>Marketing</v>
      </c>
      <c r="F806" t="str">
        <f>Data_preprocessing!T806</f>
        <v>Director</v>
      </c>
      <c r="G806" s="2">
        <f>Data_preprocessing!U806</f>
        <v>43881</v>
      </c>
      <c r="H806" t="str">
        <f>Data_preprocessing!V806</f>
        <v>A</v>
      </c>
      <c r="I806" t="str">
        <f>Data_preprocessing!Y806</f>
        <v>Email not provided</v>
      </c>
      <c r="J806" t="str">
        <f>Data_preprocessing!Z806</f>
        <v>Phone not provided</v>
      </c>
      <c r="K806">
        <f t="shared" ca="1" si="36"/>
        <v>5</v>
      </c>
      <c r="L806" t="str">
        <f t="shared" si="37"/>
        <v>Low</v>
      </c>
      <c r="M806" t="str">
        <f t="shared" si="38"/>
        <v>Excellent</v>
      </c>
    </row>
    <row r="807" spans="1:13" x14ac:dyDescent="0.25">
      <c r="A807" t="str">
        <f>Data_preprocessing!M807</f>
        <v>Alice</v>
      </c>
      <c r="B807">
        <f>Data_preprocessing!O807</f>
        <v>50</v>
      </c>
      <c r="C807">
        <f>Data_preprocessing!Q807</f>
        <v>70000</v>
      </c>
      <c r="D807" t="str">
        <f>Data_preprocessing!R807</f>
        <v>Other</v>
      </c>
      <c r="E807" t="str">
        <f>Data_preprocessing!S807</f>
        <v>Finance</v>
      </c>
      <c r="F807" t="str">
        <f>Data_preprocessing!T807</f>
        <v>Analyst</v>
      </c>
      <c r="G807" s="2">
        <f>Data_preprocessing!U807</f>
        <v>43800</v>
      </c>
      <c r="H807" t="str">
        <f>Data_preprocessing!V807</f>
        <v>F</v>
      </c>
      <c r="I807" t="str">
        <f>Data_preprocessing!Y807</f>
        <v>email@example.com</v>
      </c>
      <c r="J807" t="str">
        <f>Data_preprocessing!Z807</f>
        <v>Phone not provided</v>
      </c>
      <c r="K807">
        <f t="shared" ca="1" si="36"/>
        <v>6</v>
      </c>
      <c r="L807" t="str">
        <f t="shared" si="37"/>
        <v>High</v>
      </c>
      <c r="M807" t="str">
        <f t="shared" si="38"/>
        <v>Poor</v>
      </c>
    </row>
    <row r="808" spans="1:13" x14ac:dyDescent="0.25">
      <c r="A808" t="str">
        <f>Data_preprocessing!M808</f>
        <v>David</v>
      </c>
      <c r="B808">
        <f>Data_preprocessing!O808</f>
        <v>35</v>
      </c>
      <c r="C808">
        <f>Data_preprocessing!Q808</f>
        <v>55000</v>
      </c>
      <c r="D808" t="str">
        <f>Data_preprocessing!R808</f>
        <v>Other</v>
      </c>
      <c r="E808" t="str">
        <f>Data_preprocessing!S808</f>
        <v>Finance</v>
      </c>
      <c r="F808" t="str">
        <f>Data_preprocessing!T808</f>
        <v>Assistant</v>
      </c>
      <c r="G808" s="2">
        <f>Data_preprocessing!U808</f>
        <v>43195</v>
      </c>
      <c r="H808" t="str">
        <f>Data_preprocessing!V808</f>
        <v>C</v>
      </c>
      <c r="I808" t="str">
        <f>Data_preprocessing!Y808</f>
        <v>user@domain.com</v>
      </c>
      <c r="J808" t="str">
        <f>Data_preprocessing!Z808</f>
        <v>123-456-7890</v>
      </c>
      <c r="K808">
        <f t="shared" ca="1" si="36"/>
        <v>7</v>
      </c>
      <c r="L808" t="str">
        <f t="shared" si="37"/>
        <v>Low</v>
      </c>
      <c r="M808" t="str">
        <f t="shared" si="38"/>
        <v>Average</v>
      </c>
    </row>
    <row r="809" spans="1:13" x14ac:dyDescent="0.25">
      <c r="A809" t="str">
        <f>Data_preprocessing!M809</f>
        <v>Ivy</v>
      </c>
      <c r="B809">
        <f>Data_preprocessing!O809</f>
        <v>40</v>
      </c>
      <c r="C809">
        <f>Data_preprocessing!Q809</f>
        <v>70000</v>
      </c>
      <c r="D809" t="str">
        <f>Data_preprocessing!R809</f>
        <v>Female</v>
      </c>
      <c r="E809" t="str">
        <f>Data_preprocessing!S809</f>
        <v>Sales</v>
      </c>
      <c r="F809" t="str">
        <f>Data_preprocessing!T809</f>
        <v>Clerk</v>
      </c>
      <c r="G809" s="2">
        <f>Data_preprocessing!U809</f>
        <v>43195</v>
      </c>
      <c r="H809" t="str">
        <f>Data_preprocessing!V809</f>
        <v>D</v>
      </c>
      <c r="I809" t="str">
        <f>Data_preprocessing!Y809</f>
        <v>Email not provided</v>
      </c>
      <c r="J809" t="str">
        <f>Data_preprocessing!Z809</f>
        <v>Phone not provided</v>
      </c>
      <c r="K809">
        <f t="shared" ca="1" si="36"/>
        <v>7</v>
      </c>
      <c r="L809" t="str">
        <f t="shared" si="37"/>
        <v>High</v>
      </c>
      <c r="M809" t="str">
        <f t="shared" si="38"/>
        <v>Below Average</v>
      </c>
    </row>
    <row r="810" spans="1:13" x14ac:dyDescent="0.25">
      <c r="A810" t="str">
        <f>Data_preprocessing!M810</f>
        <v>David</v>
      </c>
      <c r="B810">
        <f>Data_preprocessing!O810</f>
        <v>40</v>
      </c>
      <c r="C810">
        <f>Data_preprocessing!Q810</f>
        <v>65000</v>
      </c>
      <c r="D810" t="str">
        <f>Data_preprocessing!R810</f>
        <v>Female</v>
      </c>
      <c r="E810" t="str">
        <f>Data_preprocessing!S810</f>
        <v>Finance</v>
      </c>
      <c r="F810" t="str">
        <f>Data_preprocessing!T810</f>
        <v>Manager</v>
      </c>
      <c r="G810" s="2">
        <f>Data_preprocessing!U810</f>
        <v>43800</v>
      </c>
      <c r="H810" t="str">
        <f>Data_preprocessing!V810</f>
        <v>B</v>
      </c>
      <c r="I810" t="str">
        <f>Data_preprocessing!Y810</f>
        <v>user@domain.com</v>
      </c>
      <c r="J810" t="str">
        <f>Data_preprocessing!Z810</f>
        <v>555-555-5555</v>
      </c>
      <c r="K810">
        <f t="shared" ca="1" si="36"/>
        <v>6</v>
      </c>
      <c r="L810" t="str">
        <f t="shared" si="37"/>
        <v>High</v>
      </c>
      <c r="M810" t="str">
        <f t="shared" si="38"/>
        <v>Good</v>
      </c>
    </row>
    <row r="811" spans="1:13" x14ac:dyDescent="0.25">
      <c r="A811" t="str">
        <f>Data_preprocessing!M811</f>
        <v>Jack</v>
      </c>
      <c r="B811">
        <f>Data_preprocessing!O811</f>
        <v>40</v>
      </c>
      <c r="C811">
        <f>Data_preprocessing!Q811</f>
        <v>60000</v>
      </c>
      <c r="D811" t="str">
        <f>Data_preprocessing!R811</f>
        <v>Other</v>
      </c>
      <c r="E811" t="str">
        <f>Data_preprocessing!S811</f>
        <v>Finance</v>
      </c>
      <c r="F811" t="str">
        <f>Data_preprocessing!T811</f>
        <v>Analyst</v>
      </c>
      <c r="G811" s="2">
        <f>Data_preprocessing!U811</f>
        <v>43881</v>
      </c>
      <c r="H811" t="str">
        <f>Data_preprocessing!V811</f>
        <v>A</v>
      </c>
      <c r="I811" t="str">
        <f>Data_preprocessing!Y811</f>
        <v>name@company.org</v>
      </c>
      <c r="J811" t="str">
        <f>Data_preprocessing!Z811</f>
        <v>098-765-4321</v>
      </c>
      <c r="K811">
        <f t="shared" ca="1" si="36"/>
        <v>5</v>
      </c>
      <c r="L811" t="str">
        <f t="shared" si="37"/>
        <v>Medium</v>
      </c>
      <c r="M811" t="str">
        <f t="shared" si="38"/>
        <v>Excellent</v>
      </c>
    </row>
    <row r="812" spans="1:13" x14ac:dyDescent="0.25">
      <c r="A812" t="str">
        <f>Data_preprocessing!M812</f>
        <v>Charlie</v>
      </c>
      <c r="B812">
        <f>Data_preprocessing!O812</f>
        <v>35</v>
      </c>
      <c r="C812">
        <f>Data_preprocessing!Q812</f>
        <v>55000</v>
      </c>
      <c r="D812" t="str">
        <f>Data_preprocessing!R812</f>
        <v>Male</v>
      </c>
      <c r="E812" t="str">
        <f>Data_preprocessing!S812</f>
        <v>Marketing</v>
      </c>
      <c r="F812" t="str">
        <f>Data_preprocessing!T812</f>
        <v>Manager</v>
      </c>
      <c r="G812" s="2">
        <f>Data_preprocessing!U812</f>
        <v>43195</v>
      </c>
      <c r="H812" t="str">
        <f>Data_preprocessing!V812</f>
        <v>B</v>
      </c>
      <c r="I812" t="str">
        <f>Data_preprocessing!Y812</f>
        <v>name@company.org</v>
      </c>
      <c r="J812" t="str">
        <f>Data_preprocessing!Z812</f>
        <v>098-765-4321</v>
      </c>
      <c r="K812">
        <f t="shared" ca="1" si="36"/>
        <v>7</v>
      </c>
      <c r="L812" t="str">
        <f t="shared" si="37"/>
        <v>Low</v>
      </c>
      <c r="M812" t="str">
        <f t="shared" si="38"/>
        <v>Good</v>
      </c>
    </row>
    <row r="813" spans="1:13" x14ac:dyDescent="0.25">
      <c r="A813" t="str">
        <f>Data_preprocessing!M813</f>
        <v>Ivy</v>
      </c>
      <c r="B813">
        <f>Data_preprocessing!O813</f>
        <v>35</v>
      </c>
      <c r="C813">
        <f>Data_preprocessing!Q813</f>
        <v>65000</v>
      </c>
      <c r="D813" t="str">
        <f>Data_preprocessing!R813</f>
        <v>Other</v>
      </c>
      <c r="E813" t="str">
        <f>Data_preprocessing!S813</f>
        <v>Sales</v>
      </c>
      <c r="F813" t="str">
        <f>Data_preprocessing!T813</f>
        <v>Director</v>
      </c>
      <c r="G813" s="2">
        <f>Data_preprocessing!U813</f>
        <v>43800</v>
      </c>
      <c r="H813" t="str">
        <f>Data_preprocessing!V813</f>
        <v>D</v>
      </c>
      <c r="I813" t="str">
        <f>Data_preprocessing!Y813</f>
        <v>name@company.org</v>
      </c>
      <c r="J813" t="str">
        <f>Data_preprocessing!Z813</f>
        <v>098-765-4321</v>
      </c>
      <c r="K813">
        <f t="shared" ca="1" si="36"/>
        <v>6</v>
      </c>
      <c r="L813" t="str">
        <f t="shared" si="37"/>
        <v>High</v>
      </c>
      <c r="M813" t="str">
        <f t="shared" si="38"/>
        <v>Below Average</v>
      </c>
    </row>
    <row r="814" spans="1:13" x14ac:dyDescent="0.25">
      <c r="A814" t="str">
        <f>Data_preprocessing!M814</f>
        <v>Bob</v>
      </c>
      <c r="B814">
        <f>Data_preprocessing!O814</f>
        <v>30</v>
      </c>
      <c r="C814">
        <f>Data_preprocessing!Q814</f>
        <v>60000</v>
      </c>
      <c r="D814" t="str">
        <f>Data_preprocessing!R814</f>
        <v>Male</v>
      </c>
      <c r="E814" t="str">
        <f>Data_preprocessing!S814</f>
        <v>Finance</v>
      </c>
      <c r="F814" t="str">
        <f>Data_preprocessing!T814</f>
        <v>Clerk</v>
      </c>
      <c r="G814" s="2">
        <f>Data_preprocessing!U814</f>
        <v>43881</v>
      </c>
      <c r="H814" t="str">
        <f>Data_preprocessing!V814</f>
        <v>A</v>
      </c>
      <c r="I814" t="str">
        <f>Data_preprocessing!Y814</f>
        <v>name@company.org</v>
      </c>
      <c r="J814" t="str">
        <f>Data_preprocessing!Z814</f>
        <v>123-456-7890</v>
      </c>
      <c r="K814">
        <f t="shared" ca="1" si="36"/>
        <v>5</v>
      </c>
      <c r="L814" t="str">
        <f t="shared" si="37"/>
        <v>Medium</v>
      </c>
      <c r="M814" t="str">
        <f t="shared" si="38"/>
        <v>Excellent</v>
      </c>
    </row>
    <row r="815" spans="1:13" x14ac:dyDescent="0.25">
      <c r="A815" t="str">
        <f>Data_preprocessing!M815</f>
        <v>David</v>
      </c>
      <c r="B815">
        <f>Data_preprocessing!O815</f>
        <v>50</v>
      </c>
      <c r="C815">
        <f>Data_preprocessing!Q815</f>
        <v>55000</v>
      </c>
      <c r="D815" t="str">
        <f>Data_preprocessing!R815</f>
        <v>Male</v>
      </c>
      <c r="E815" t="str">
        <f>Data_preprocessing!S815</f>
        <v>IT</v>
      </c>
      <c r="F815" t="str">
        <f>Data_preprocessing!T815</f>
        <v>Manager</v>
      </c>
      <c r="G815" s="2">
        <f>Data_preprocessing!U815</f>
        <v>43800</v>
      </c>
      <c r="H815" t="str">
        <f>Data_preprocessing!V815</f>
        <v>D</v>
      </c>
      <c r="I815" t="str">
        <f>Data_preprocessing!Y815</f>
        <v>Email not provided</v>
      </c>
      <c r="J815" t="str">
        <f>Data_preprocessing!Z815</f>
        <v>555-555-5555</v>
      </c>
      <c r="K815">
        <f t="shared" ca="1" si="36"/>
        <v>6</v>
      </c>
      <c r="L815" t="str">
        <f t="shared" si="37"/>
        <v>Low</v>
      </c>
      <c r="M815" t="str">
        <f t="shared" si="38"/>
        <v>Below Average</v>
      </c>
    </row>
    <row r="816" spans="1:13" x14ac:dyDescent="0.25">
      <c r="A816" t="str">
        <f>Data_preprocessing!M816</f>
        <v>Frank</v>
      </c>
      <c r="B816">
        <f>Data_preprocessing!O816</f>
        <v>30</v>
      </c>
      <c r="C816">
        <f>Data_preprocessing!Q816</f>
        <v>60000</v>
      </c>
      <c r="D816" t="str">
        <f>Data_preprocessing!R816</f>
        <v>Female</v>
      </c>
      <c r="E816" t="str">
        <f>Data_preprocessing!S816</f>
        <v>HR</v>
      </c>
      <c r="F816" t="str">
        <f>Data_preprocessing!T816</f>
        <v>Assistant</v>
      </c>
      <c r="G816" s="2">
        <f>Data_preprocessing!U816</f>
        <v>43800</v>
      </c>
      <c r="H816" t="str">
        <f>Data_preprocessing!V816</f>
        <v>B</v>
      </c>
      <c r="I816" t="str">
        <f>Data_preprocessing!Y816</f>
        <v>Email not provided</v>
      </c>
      <c r="J816" t="str">
        <f>Data_preprocessing!Z816</f>
        <v>Phone not provided</v>
      </c>
      <c r="K816">
        <f t="shared" ca="1" si="36"/>
        <v>6</v>
      </c>
      <c r="L816" t="str">
        <f t="shared" si="37"/>
        <v>Medium</v>
      </c>
      <c r="M816" t="str">
        <f t="shared" si="38"/>
        <v>Good</v>
      </c>
    </row>
    <row r="817" spans="1:13" x14ac:dyDescent="0.25">
      <c r="A817" t="str">
        <f>Data_preprocessing!M817</f>
        <v>Bob</v>
      </c>
      <c r="B817">
        <f>Data_preprocessing!O817</f>
        <v>35</v>
      </c>
      <c r="C817">
        <f>Data_preprocessing!Q817</f>
        <v>50000</v>
      </c>
      <c r="D817" t="str">
        <f>Data_preprocessing!R817</f>
        <v>Male</v>
      </c>
      <c r="E817" t="str">
        <f>Data_preprocessing!S817</f>
        <v>Marketing</v>
      </c>
      <c r="F817" t="str">
        <f>Data_preprocessing!T817</f>
        <v>Clerk</v>
      </c>
      <c r="G817" s="2">
        <f>Data_preprocessing!U817</f>
        <v>43195</v>
      </c>
      <c r="H817" t="str">
        <f>Data_preprocessing!V817</f>
        <v>C</v>
      </c>
      <c r="I817" t="str">
        <f>Data_preprocessing!Y817</f>
        <v>Email not provided</v>
      </c>
      <c r="J817" t="str">
        <f>Data_preprocessing!Z817</f>
        <v>098-765-4321</v>
      </c>
      <c r="K817">
        <f t="shared" ca="1" si="36"/>
        <v>7</v>
      </c>
      <c r="L817" t="str">
        <f t="shared" si="37"/>
        <v>Low</v>
      </c>
      <c r="M817" t="str">
        <f t="shared" si="38"/>
        <v>Average</v>
      </c>
    </row>
    <row r="818" spans="1:13" x14ac:dyDescent="0.25">
      <c r="A818" t="str">
        <f>Data_preprocessing!M818</f>
        <v>Hannah</v>
      </c>
      <c r="B818">
        <f>Data_preprocessing!O818</f>
        <v>50</v>
      </c>
      <c r="C818">
        <f>Data_preprocessing!Q818</f>
        <v>50000</v>
      </c>
      <c r="D818" t="str">
        <f>Data_preprocessing!R818</f>
        <v>Male</v>
      </c>
      <c r="E818" t="str">
        <f>Data_preprocessing!S818</f>
        <v>Finance</v>
      </c>
      <c r="F818" t="str">
        <f>Data_preprocessing!T818</f>
        <v>Assistant</v>
      </c>
      <c r="G818" s="2">
        <f>Data_preprocessing!U818</f>
        <v>43881</v>
      </c>
      <c r="H818" t="str">
        <f>Data_preprocessing!V818</f>
        <v>B</v>
      </c>
      <c r="I818" t="str">
        <f>Data_preprocessing!Y818</f>
        <v>user@domain.com</v>
      </c>
      <c r="J818" t="str">
        <f>Data_preprocessing!Z818</f>
        <v>555-555-5555</v>
      </c>
      <c r="K818">
        <f t="shared" ca="1" si="36"/>
        <v>5</v>
      </c>
      <c r="L818" t="str">
        <f t="shared" si="37"/>
        <v>Low</v>
      </c>
      <c r="M818" t="str">
        <f t="shared" si="38"/>
        <v>Good</v>
      </c>
    </row>
    <row r="819" spans="1:13" x14ac:dyDescent="0.25">
      <c r="A819" t="str">
        <f>Data_preprocessing!M819</f>
        <v>Hannah</v>
      </c>
      <c r="B819">
        <f>Data_preprocessing!O819</f>
        <v>40</v>
      </c>
      <c r="C819">
        <f>Data_preprocessing!Q819</f>
        <v>65000</v>
      </c>
      <c r="D819" t="str">
        <f>Data_preprocessing!R819</f>
        <v>Other</v>
      </c>
      <c r="E819" t="str">
        <f>Data_preprocessing!S819</f>
        <v>IT</v>
      </c>
      <c r="F819" t="str">
        <f>Data_preprocessing!T819</f>
        <v>Manager</v>
      </c>
      <c r="G819" s="2">
        <f>Data_preprocessing!U819</f>
        <v>43195</v>
      </c>
      <c r="H819" t="str">
        <f>Data_preprocessing!V819</f>
        <v>B</v>
      </c>
      <c r="I819" t="str">
        <f>Data_preprocessing!Y819</f>
        <v>email@example.com</v>
      </c>
      <c r="J819" t="str">
        <f>Data_preprocessing!Z819</f>
        <v>Phone not provided</v>
      </c>
      <c r="K819">
        <f t="shared" ca="1" si="36"/>
        <v>7</v>
      </c>
      <c r="L819" t="str">
        <f t="shared" si="37"/>
        <v>High</v>
      </c>
      <c r="M819" t="str">
        <f t="shared" si="38"/>
        <v>Good</v>
      </c>
    </row>
    <row r="820" spans="1:13" x14ac:dyDescent="0.25">
      <c r="A820" t="str">
        <f>Data_preprocessing!M820</f>
        <v>Alice</v>
      </c>
      <c r="B820">
        <f>Data_preprocessing!O820</f>
        <v>25</v>
      </c>
      <c r="C820">
        <f>Data_preprocessing!Q820</f>
        <v>60000</v>
      </c>
      <c r="D820" t="str">
        <f>Data_preprocessing!R820</f>
        <v>Female</v>
      </c>
      <c r="E820" t="str">
        <f>Data_preprocessing!S820</f>
        <v>Finance</v>
      </c>
      <c r="F820" t="str">
        <f>Data_preprocessing!T820</f>
        <v>Clerk</v>
      </c>
      <c r="G820" s="2">
        <f>Data_preprocessing!U820</f>
        <v>43845</v>
      </c>
      <c r="H820" t="str">
        <f>Data_preprocessing!V820</f>
        <v>B</v>
      </c>
      <c r="I820" t="str">
        <f>Data_preprocessing!Y820</f>
        <v>user@domain.com</v>
      </c>
      <c r="J820" t="str">
        <f>Data_preprocessing!Z820</f>
        <v>123-456-7890</v>
      </c>
      <c r="K820">
        <f t="shared" ca="1" si="36"/>
        <v>6</v>
      </c>
      <c r="L820" t="str">
        <f t="shared" si="37"/>
        <v>Medium</v>
      </c>
      <c r="M820" t="str">
        <f t="shared" si="38"/>
        <v>Good</v>
      </c>
    </row>
    <row r="821" spans="1:13" x14ac:dyDescent="0.25">
      <c r="A821" t="str">
        <f>Data_preprocessing!M821</f>
        <v>Charlie</v>
      </c>
      <c r="B821">
        <f>Data_preprocessing!O821</f>
        <v>35</v>
      </c>
      <c r="C821">
        <f>Data_preprocessing!Q821</f>
        <v>50000</v>
      </c>
      <c r="D821" t="str">
        <f>Data_preprocessing!R821</f>
        <v>Male</v>
      </c>
      <c r="E821" t="str">
        <f>Data_preprocessing!S821</f>
        <v>Finance</v>
      </c>
      <c r="F821" t="str">
        <f>Data_preprocessing!T821</f>
        <v>Assistant</v>
      </c>
      <c r="G821" s="2">
        <f>Data_preprocessing!U821</f>
        <v>43845</v>
      </c>
      <c r="H821" t="str">
        <f>Data_preprocessing!V821</f>
        <v>F</v>
      </c>
      <c r="I821" t="str">
        <f>Data_preprocessing!Y821</f>
        <v>user@domain.com</v>
      </c>
      <c r="J821" t="str">
        <f>Data_preprocessing!Z821</f>
        <v>555-555-5555</v>
      </c>
      <c r="K821">
        <f t="shared" ca="1" si="36"/>
        <v>6</v>
      </c>
      <c r="L821" t="str">
        <f t="shared" si="37"/>
        <v>Low</v>
      </c>
      <c r="M821" t="str">
        <f t="shared" si="38"/>
        <v>Poor</v>
      </c>
    </row>
    <row r="822" spans="1:13" x14ac:dyDescent="0.25">
      <c r="A822" t="str">
        <f>Data_preprocessing!M822</f>
        <v>Jack</v>
      </c>
      <c r="B822">
        <f>Data_preprocessing!O822</f>
        <v>35</v>
      </c>
      <c r="C822">
        <f>Data_preprocessing!Q822</f>
        <v>60000</v>
      </c>
      <c r="D822" t="str">
        <f>Data_preprocessing!R822</f>
        <v>Male</v>
      </c>
      <c r="E822" t="str">
        <f>Data_preprocessing!S822</f>
        <v>Sales</v>
      </c>
      <c r="F822" t="str">
        <f>Data_preprocessing!T822</f>
        <v>Director</v>
      </c>
      <c r="G822" s="2">
        <f>Data_preprocessing!U822</f>
        <v>43881</v>
      </c>
      <c r="H822" t="str">
        <f>Data_preprocessing!V822</f>
        <v>D</v>
      </c>
      <c r="I822" t="str">
        <f>Data_preprocessing!Y822</f>
        <v>user@domain.com</v>
      </c>
      <c r="J822" t="str">
        <f>Data_preprocessing!Z822</f>
        <v>555-555-5555</v>
      </c>
      <c r="K822">
        <f t="shared" ca="1" si="36"/>
        <v>5</v>
      </c>
      <c r="L822" t="str">
        <f t="shared" si="37"/>
        <v>Medium</v>
      </c>
      <c r="M822" t="str">
        <f t="shared" si="38"/>
        <v>Below Average</v>
      </c>
    </row>
    <row r="823" spans="1:13" x14ac:dyDescent="0.25">
      <c r="A823" t="str">
        <f>Data_preprocessing!M823</f>
        <v>Ivy</v>
      </c>
      <c r="B823">
        <f>Data_preprocessing!O823</f>
        <v>35</v>
      </c>
      <c r="C823">
        <f>Data_preprocessing!Q823</f>
        <v>60000</v>
      </c>
      <c r="D823" t="str">
        <f>Data_preprocessing!R823</f>
        <v>Female</v>
      </c>
      <c r="E823" t="str">
        <f>Data_preprocessing!S823</f>
        <v>Sales</v>
      </c>
      <c r="F823" t="str">
        <f>Data_preprocessing!T823</f>
        <v>Director</v>
      </c>
      <c r="G823" s="2">
        <f>Data_preprocessing!U823</f>
        <v>43800</v>
      </c>
      <c r="H823" t="str">
        <f>Data_preprocessing!V823</f>
        <v>D</v>
      </c>
      <c r="I823" t="str">
        <f>Data_preprocessing!Y823</f>
        <v>user@domain.com</v>
      </c>
      <c r="J823" t="str">
        <f>Data_preprocessing!Z823</f>
        <v>Phone not provided</v>
      </c>
      <c r="K823">
        <f t="shared" ca="1" si="36"/>
        <v>6</v>
      </c>
      <c r="L823" t="str">
        <f t="shared" si="37"/>
        <v>Medium</v>
      </c>
      <c r="M823" t="str">
        <f t="shared" si="38"/>
        <v>Below Average</v>
      </c>
    </row>
    <row r="824" spans="1:13" x14ac:dyDescent="0.25">
      <c r="A824" t="str">
        <f>Data_preprocessing!M824</f>
        <v>Eve</v>
      </c>
      <c r="B824">
        <f>Data_preprocessing!O824</f>
        <v>30</v>
      </c>
      <c r="C824">
        <f>Data_preprocessing!Q824</f>
        <v>65000</v>
      </c>
      <c r="D824" t="str">
        <f>Data_preprocessing!R824</f>
        <v>Other</v>
      </c>
      <c r="E824" t="str">
        <f>Data_preprocessing!S824</f>
        <v>Sales</v>
      </c>
      <c r="F824" t="str">
        <f>Data_preprocessing!T824</f>
        <v>Manager</v>
      </c>
      <c r="G824" s="2">
        <f>Data_preprocessing!U824</f>
        <v>43195</v>
      </c>
      <c r="H824" t="str">
        <f>Data_preprocessing!V824</f>
        <v>D</v>
      </c>
      <c r="I824" t="str">
        <f>Data_preprocessing!Y824</f>
        <v>Email not provided</v>
      </c>
      <c r="J824" t="str">
        <f>Data_preprocessing!Z824</f>
        <v>555-555-5555</v>
      </c>
      <c r="K824">
        <f t="shared" ca="1" si="36"/>
        <v>7</v>
      </c>
      <c r="L824" t="str">
        <f t="shared" si="37"/>
        <v>High</v>
      </c>
      <c r="M824" t="str">
        <f t="shared" si="38"/>
        <v>Below Average</v>
      </c>
    </row>
    <row r="825" spans="1:13" x14ac:dyDescent="0.25">
      <c r="A825" t="str">
        <f>Data_preprocessing!M825</f>
        <v>Frank</v>
      </c>
      <c r="B825">
        <f>Data_preprocessing!O825</f>
        <v>35</v>
      </c>
      <c r="C825">
        <f>Data_preprocessing!Q825</f>
        <v>65000</v>
      </c>
      <c r="D825" t="str">
        <f>Data_preprocessing!R825</f>
        <v>Female</v>
      </c>
      <c r="E825" t="str">
        <f>Data_preprocessing!S825</f>
        <v>IT</v>
      </c>
      <c r="F825" t="str">
        <f>Data_preprocessing!T825</f>
        <v>Clerk</v>
      </c>
      <c r="G825" s="2">
        <f>Data_preprocessing!U825</f>
        <v>43195</v>
      </c>
      <c r="H825" t="str">
        <f>Data_preprocessing!V825</f>
        <v>F</v>
      </c>
      <c r="I825" t="str">
        <f>Data_preprocessing!Y825</f>
        <v>email@example.com</v>
      </c>
      <c r="J825" t="str">
        <f>Data_preprocessing!Z825</f>
        <v>Phone not provided</v>
      </c>
      <c r="K825">
        <f t="shared" ca="1" si="36"/>
        <v>7</v>
      </c>
      <c r="L825" t="str">
        <f t="shared" si="37"/>
        <v>High</v>
      </c>
      <c r="M825" t="str">
        <f t="shared" si="38"/>
        <v>Poor</v>
      </c>
    </row>
    <row r="826" spans="1:13" x14ac:dyDescent="0.25">
      <c r="A826" t="str">
        <f>Data_preprocessing!M826</f>
        <v>David</v>
      </c>
      <c r="B826">
        <f>Data_preprocessing!O826</f>
        <v>35</v>
      </c>
      <c r="C826">
        <f>Data_preprocessing!Q826</f>
        <v>65000</v>
      </c>
      <c r="D826" t="str">
        <f>Data_preprocessing!R826</f>
        <v>Female</v>
      </c>
      <c r="E826" t="str">
        <f>Data_preprocessing!S826</f>
        <v>Finance</v>
      </c>
      <c r="F826" t="str">
        <f>Data_preprocessing!T826</f>
        <v>Analyst</v>
      </c>
      <c r="G826" s="2">
        <f>Data_preprocessing!U826</f>
        <v>43881</v>
      </c>
      <c r="H826" t="str">
        <f>Data_preprocessing!V826</f>
        <v>C</v>
      </c>
      <c r="I826" t="str">
        <f>Data_preprocessing!Y826</f>
        <v>user@domain.com</v>
      </c>
      <c r="J826" t="str">
        <f>Data_preprocessing!Z826</f>
        <v>123-456-7890</v>
      </c>
      <c r="K826">
        <f t="shared" ca="1" si="36"/>
        <v>5</v>
      </c>
      <c r="L826" t="str">
        <f t="shared" si="37"/>
        <v>High</v>
      </c>
      <c r="M826" t="str">
        <f t="shared" si="38"/>
        <v>Average</v>
      </c>
    </row>
    <row r="827" spans="1:13" x14ac:dyDescent="0.25">
      <c r="A827" t="str">
        <f>Data_preprocessing!M827</f>
        <v>Jack</v>
      </c>
      <c r="B827">
        <f>Data_preprocessing!O827</f>
        <v>40</v>
      </c>
      <c r="C827">
        <f>Data_preprocessing!Q827</f>
        <v>50000</v>
      </c>
      <c r="D827" t="str">
        <f>Data_preprocessing!R827</f>
        <v>Male</v>
      </c>
      <c r="E827" t="str">
        <f>Data_preprocessing!S827</f>
        <v>HR</v>
      </c>
      <c r="F827" t="str">
        <f>Data_preprocessing!T827</f>
        <v>Clerk</v>
      </c>
      <c r="G827" s="2">
        <f>Data_preprocessing!U827</f>
        <v>43881</v>
      </c>
      <c r="H827" t="str">
        <f>Data_preprocessing!V827</f>
        <v>B</v>
      </c>
      <c r="I827" t="str">
        <f>Data_preprocessing!Y827</f>
        <v>Email not provided</v>
      </c>
      <c r="J827" t="str">
        <f>Data_preprocessing!Z827</f>
        <v>123-456-7890</v>
      </c>
      <c r="K827">
        <f t="shared" ca="1" si="36"/>
        <v>5</v>
      </c>
      <c r="L827" t="str">
        <f t="shared" si="37"/>
        <v>Low</v>
      </c>
      <c r="M827" t="str">
        <f t="shared" si="38"/>
        <v>Good</v>
      </c>
    </row>
    <row r="828" spans="1:13" x14ac:dyDescent="0.25">
      <c r="A828" t="str">
        <f>Data_preprocessing!M828</f>
        <v>Bob</v>
      </c>
      <c r="B828">
        <f>Data_preprocessing!O828</f>
        <v>40</v>
      </c>
      <c r="C828">
        <f>Data_preprocessing!Q828</f>
        <v>65000</v>
      </c>
      <c r="D828" t="str">
        <f>Data_preprocessing!R828</f>
        <v>Male</v>
      </c>
      <c r="E828" t="str">
        <f>Data_preprocessing!S828</f>
        <v>Marketing</v>
      </c>
      <c r="F828" t="str">
        <f>Data_preprocessing!T828</f>
        <v>Director</v>
      </c>
      <c r="G828" s="2">
        <f>Data_preprocessing!U828</f>
        <v>43845</v>
      </c>
      <c r="H828" t="str">
        <f>Data_preprocessing!V828</f>
        <v>C</v>
      </c>
      <c r="I828" t="str">
        <f>Data_preprocessing!Y828</f>
        <v>user@domain.com</v>
      </c>
      <c r="J828" t="str">
        <f>Data_preprocessing!Z828</f>
        <v>Phone not provided</v>
      </c>
      <c r="K828">
        <f t="shared" ca="1" si="36"/>
        <v>6</v>
      </c>
      <c r="L828" t="str">
        <f t="shared" si="37"/>
        <v>High</v>
      </c>
      <c r="M828" t="str">
        <f t="shared" si="38"/>
        <v>Average</v>
      </c>
    </row>
    <row r="829" spans="1:13" x14ac:dyDescent="0.25">
      <c r="A829" t="str">
        <f>Data_preprocessing!M829</f>
        <v>Hannah</v>
      </c>
      <c r="B829">
        <f>Data_preprocessing!O829</f>
        <v>50</v>
      </c>
      <c r="C829">
        <f>Data_preprocessing!Q829</f>
        <v>50000</v>
      </c>
      <c r="D829" t="str">
        <f>Data_preprocessing!R829</f>
        <v>Other</v>
      </c>
      <c r="E829" t="str">
        <f>Data_preprocessing!S829</f>
        <v>Sales</v>
      </c>
      <c r="F829" t="str">
        <f>Data_preprocessing!T829</f>
        <v>Assistant</v>
      </c>
      <c r="G829" s="2">
        <f>Data_preprocessing!U829</f>
        <v>43549</v>
      </c>
      <c r="H829" t="str">
        <f>Data_preprocessing!V829</f>
        <v>F</v>
      </c>
      <c r="I829" t="str">
        <f>Data_preprocessing!Y829</f>
        <v>name@company.org</v>
      </c>
      <c r="J829" t="str">
        <f>Data_preprocessing!Z829</f>
        <v>Phone not provided</v>
      </c>
      <c r="K829">
        <f t="shared" ca="1" si="36"/>
        <v>6</v>
      </c>
      <c r="L829" t="str">
        <f t="shared" si="37"/>
        <v>Low</v>
      </c>
      <c r="M829" t="str">
        <f t="shared" si="38"/>
        <v>Poor</v>
      </c>
    </row>
    <row r="830" spans="1:13" x14ac:dyDescent="0.25">
      <c r="A830" t="str">
        <f>Data_preprocessing!M830</f>
        <v>Frank</v>
      </c>
      <c r="B830">
        <f>Data_preprocessing!O830</f>
        <v>25</v>
      </c>
      <c r="C830">
        <f>Data_preprocessing!Q830</f>
        <v>65000</v>
      </c>
      <c r="D830" t="str">
        <f>Data_preprocessing!R830</f>
        <v>Male</v>
      </c>
      <c r="E830" t="str">
        <f>Data_preprocessing!S830</f>
        <v>Sales</v>
      </c>
      <c r="F830" t="str">
        <f>Data_preprocessing!T830</f>
        <v>Analyst</v>
      </c>
      <c r="G830" s="2">
        <f>Data_preprocessing!U830</f>
        <v>43881</v>
      </c>
      <c r="H830" t="str">
        <f>Data_preprocessing!V830</f>
        <v>D</v>
      </c>
      <c r="I830" t="str">
        <f>Data_preprocessing!Y830</f>
        <v>user@domain.com</v>
      </c>
      <c r="J830" t="str">
        <f>Data_preprocessing!Z830</f>
        <v>Phone not provided</v>
      </c>
      <c r="K830">
        <f t="shared" ca="1" si="36"/>
        <v>5</v>
      </c>
      <c r="L830" t="str">
        <f t="shared" si="37"/>
        <v>High</v>
      </c>
      <c r="M830" t="str">
        <f t="shared" si="38"/>
        <v>Below Average</v>
      </c>
    </row>
    <row r="831" spans="1:13" x14ac:dyDescent="0.25">
      <c r="A831" t="str">
        <f>Data_preprocessing!M831</f>
        <v>Eve</v>
      </c>
      <c r="B831">
        <f>Data_preprocessing!O831</f>
        <v>35</v>
      </c>
      <c r="C831">
        <f>Data_preprocessing!Q831</f>
        <v>70000</v>
      </c>
      <c r="D831" t="str">
        <f>Data_preprocessing!R831</f>
        <v>Male</v>
      </c>
      <c r="E831" t="str">
        <f>Data_preprocessing!S831</f>
        <v>Finance</v>
      </c>
      <c r="F831" t="str">
        <f>Data_preprocessing!T831</f>
        <v>Manager</v>
      </c>
      <c r="G831" s="2">
        <f>Data_preprocessing!U831</f>
        <v>43549</v>
      </c>
      <c r="H831" t="str">
        <f>Data_preprocessing!V831</f>
        <v>B</v>
      </c>
      <c r="I831" t="str">
        <f>Data_preprocessing!Y831</f>
        <v>user@domain.com</v>
      </c>
      <c r="J831" t="str">
        <f>Data_preprocessing!Z831</f>
        <v>098-765-4321</v>
      </c>
      <c r="K831">
        <f t="shared" ca="1" si="36"/>
        <v>6</v>
      </c>
      <c r="L831" t="str">
        <f t="shared" si="37"/>
        <v>High</v>
      </c>
      <c r="M831" t="str">
        <f t="shared" si="38"/>
        <v>Good</v>
      </c>
    </row>
    <row r="832" spans="1:13" x14ac:dyDescent="0.25">
      <c r="A832" t="str">
        <f>Data_preprocessing!M832</f>
        <v>Ivy</v>
      </c>
      <c r="B832">
        <f>Data_preprocessing!O832</f>
        <v>25</v>
      </c>
      <c r="C832">
        <f>Data_preprocessing!Q832</f>
        <v>60000</v>
      </c>
      <c r="D832" t="str">
        <f>Data_preprocessing!R832</f>
        <v>Female</v>
      </c>
      <c r="E832" t="str">
        <f>Data_preprocessing!S832</f>
        <v>Finance</v>
      </c>
      <c r="F832" t="str">
        <f>Data_preprocessing!T832</f>
        <v>Analyst</v>
      </c>
      <c r="G832" s="2">
        <f>Data_preprocessing!U832</f>
        <v>43881</v>
      </c>
      <c r="H832" t="str">
        <f>Data_preprocessing!V832</f>
        <v>A</v>
      </c>
      <c r="I832" t="str">
        <f>Data_preprocessing!Y832</f>
        <v>Email not provided</v>
      </c>
      <c r="J832" t="str">
        <f>Data_preprocessing!Z832</f>
        <v>098-765-4321</v>
      </c>
      <c r="K832">
        <f t="shared" ca="1" si="36"/>
        <v>5</v>
      </c>
      <c r="L832" t="str">
        <f t="shared" si="37"/>
        <v>Medium</v>
      </c>
      <c r="M832" t="str">
        <f t="shared" si="38"/>
        <v>Excellent</v>
      </c>
    </row>
    <row r="833" spans="1:13" x14ac:dyDescent="0.25">
      <c r="A833" t="str">
        <f>Data_preprocessing!M833</f>
        <v>Alice</v>
      </c>
      <c r="B833">
        <f>Data_preprocessing!O833</f>
        <v>50</v>
      </c>
      <c r="C833">
        <f>Data_preprocessing!Q833</f>
        <v>65000</v>
      </c>
      <c r="D833" t="str">
        <f>Data_preprocessing!R833</f>
        <v>Male</v>
      </c>
      <c r="E833" t="str">
        <f>Data_preprocessing!S833</f>
        <v>IT</v>
      </c>
      <c r="F833" t="str">
        <f>Data_preprocessing!T833</f>
        <v>Manager</v>
      </c>
      <c r="G833" s="2">
        <f>Data_preprocessing!U833</f>
        <v>43800</v>
      </c>
      <c r="H833" t="str">
        <f>Data_preprocessing!V833</f>
        <v>A</v>
      </c>
      <c r="I833" t="str">
        <f>Data_preprocessing!Y833</f>
        <v>name@company.org</v>
      </c>
      <c r="J833" t="str">
        <f>Data_preprocessing!Z833</f>
        <v>Phone not provided</v>
      </c>
      <c r="K833">
        <f t="shared" ca="1" si="36"/>
        <v>6</v>
      </c>
      <c r="L833" t="str">
        <f t="shared" si="37"/>
        <v>High</v>
      </c>
      <c r="M833" t="str">
        <f t="shared" si="38"/>
        <v>Excellent</v>
      </c>
    </row>
    <row r="834" spans="1:13" x14ac:dyDescent="0.25">
      <c r="A834" t="str">
        <f>Data_preprocessing!M834</f>
        <v>Eve</v>
      </c>
      <c r="B834">
        <f>Data_preprocessing!O834</f>
        <v>40</v>
      </c>
      <c r="C834">
        <f>Data_preprocessing!Q834</f>
        <v>55000</v>
      </c>
      <c r="D834" t="str">
        <f>Data_preprocessing!R834</f>
        <v>Other</v>
      </c>
      <c r="E834" t="str">
        <f>Data_preprocessing!S834</f>
        <v>IT</v>
      </c>
      <c r="F834" t="str">
        <f>Data_preprocessing!T834</f>
        <v>Analyst</v>
      </c>
      <c r="G834" s="2">
        <f>Data_preprocessing!U834</f>
        <v>43800</v>
      </c>
      <c r="H834" t="str">
        <f>Data_preprocessing!V834</f>
        <v>C</v>
      </c>
      <c r="I834" t="str">
        <f>Data_preprocessing!Y834</f>
        <v>email@example.com</v>
      </c>
      <c r="J834" t="str">
        <f>Data_preprocessing!Z834</f>
        <v>123-456-7890</v>
      </c>
      <c r="K834">
        <f t="shared" ref="K834:K897" ca="1" si="39">DATEDIF(G834,TODAY(),"Y")</f>
        <v>6</v>
      </c>
      <c r="L834" t="str">
        <f t="shared" ref="L834:L897" si="40">IF(C834&lt;60000,"Low",IF(C834&lt;65000,"Medium","High"))</f>
        <v>Low</v>
      </c>
      <c r="M834" t="str">
        <f t="shared" si="38"/>
        <v>Average</v>
      </c>
    </row>
    <row r="835" spans="1:13" x14ac:dyDescent="0.25">
      <c r="A835" t="str">
        <f>Data_preprocessing!M835</f>
        <v>Frank</v>
      </c>
      <c r="B835">
        <f>Data_preprocessing!O835</f>
        <v>30</v>
      </c>
      <c r="C835">
        <f>Data_preprocessing!Q835</f>
        <v>60000</v>
      </c>
      <c r="D835" t="str">
        <f>Data_preprocessing!R835</f>
        <v>Female</v>
      </c>
      <c r="E835" t="str">
        <f>Data_preprocessing!S835</f>
        <v>Sales</v>
      </c>
      <c r="F835" t="str">
        <f>Data_preprocessing!T835</f>
        <v>Manager</v>
      </c>
      <c r="G835" s="2">
        <f>Data_preprocessing!U835</f>
        <v>43845</v>
      </c>
      <c r="H835" t="str">
        <f>Data_preprocessing!V835</f>
        <v>D</v>
      </c>
      <c r="I835" t="str">
        <f>Data_preprocessing!Y835</f>
        <v>user@domain.com</v>
      </c>
      <c r="J835" t="str">
        <f>Data_preprocessing!Z835</f>
        <v>098-765-4321</v>
      </c>
      <c r="K835">
        <f t="shared" ca="1" si="39"/>
        <v>6</v>
      </c>
      <c r="L835" t="str">
        <f t="shared" si="40"/>
        <v>Medium</v>
      </c>
      <c r="M835" t="str">
        <f t="shared" ref="M835:M898" si="41">IF(H835="A","Excellent",IF(H835="B","Good",IF(H835="C","Average",IF(H835="D","Below Average","Poor"))))</f>
        <v>Below Average</v>
      </c>
    </row>
    <row r="836" spans="1:13" x14ac:dyDescent="0.25">
      <c r="A836" t="str">
        <f>Data_preprocessing!M836</f>
        <v>Eve</v>
      </c>
      <c r="B836">
        <f>Data_preprocessing!O836</f>
        <v>40</v>
      </c>
      <c r="C836">
        <f>Data_preprocessing!Q836</f>
        <v>60000</v>
      </c>
      <c r="D836" t="str">
        <f>Data_preprocessing!R836</f>
        <v>Other</v>
      </c>
      <c r="E836" t="str">
        <f>Data_preprocessing!S836</f>
        <v>Finance</v>
      </c>
      <c r="F836" t="str">
        <f>Data_preprocessing!T836</f>
        <v>Manager</v>
      </c>
      <c r="G836" s="2">
        <f>Data_preprocessing!U836</f>
        <v>43845</v>
      </c>
      <c r="H836" t="str">
        <f>Data_preprocessing!V836</f>
        <v>A</v>
      </c>
      <c r="I836" t="str">
        <f>Data_preprocessing!Y836</f>
        <v>email@example.com</v>
      </c>
      <c r="J836" t="str">
        <f>Data_preprocessing!Z836</f>
        <v>555-555-5555</v>
      </c>
      <c r="K836">
        <f t="shared" ca="1" si="39"/>
        <v>6</v>
      </c>
      <c r="L836" t="str">
        <f t="shared" si="40"/>
        <v>Medium</v>
      </c>
      <c r="M836" t="str">
        <f t="shared" si="41"/>
        <v>Excellent</v>
      </c>
    </row>
    <row r="837" spans="1:13" x14ac:dyDescent="0.25">
      <c r="A837" t="str">
        <f>Data_preprocessing!M837</f>
        <v>Frank</v>
      </c>
      <c r="B837">
        <f>Data_preprocessing!O837</f>
        <v>35</v>
      </c>
      <c r="C837">
        <f>Data_preprocessing!Q837</f>
        <v>65000</v>
      </c>
      <c r="D837" t="str">
        <f>Data_preprocessing!R837</f>
        <v>Female</v>
      </c>
      <c r="E837" t="str">
        <f>Data_preprocessing!S837</f>
        <v>HR</v>
      </c>
      <c r="F837" t="str">
        <f>Data_preprocessing!T837</f>
        <v>Analyst</v>
      </c>
      <c r="G837" s="2">
        <f>Data_preprocessing!U837</f>
        <v>43549</v>
      </c>
      <c r="H837" t="str">
        <f>Data_preprocessing!V837</f>
        <v>C</v>
      </c>
      <c r="I837" t="str">
        <f>Data_preprocessing!Y837</f>
        <v>name@company.org</v>
      </c>
      <c r="J837" t="str">
        <f>Data_preprocessing!Z837</f>
        <v>123-456-7890</v>
      </c>
      <c r="K837">
        <f t="shared" ca="1" si="39"/>
        <v>6</v>
      </c>
      <c r="L837" t="str">
        <f t="shared" si="40"/>
        <v>High</v>
      </c>
      <c r="M837" t="str">
        <f t="shared" si="41"/>
        <v>Average</v>
      </c>
    </row>
    <row r="838" spans="1:13" x14ac:dyDescent="0.25">
      <c r="A838" t="str">
        <f>Data_preprocessing!M838</f>
        <v>Frank</v>
      </c>
      <c r="B838">
        <f>Data_preprocessing!O838</f>
        <v>40</v>
      </c>
      <c r="C838">
        <f>Data_preprocessing!Q838</f>
        <v>60000</v>
      </c>
      <c r="D838" t="str">
        <f>Data_preprocessing!R838</f>
        <v>Male</v>
      </c>
      <c r="E838" t="str">
        <f>Data_preprocessing!S838</f>
        <v>Marketing</v>
      </c>
      <c r="F838" t="str">
        <f>Data_preprocessing!T838</f>
        <v>Analyst</v>
      </c>
      <c r="G838" s="2">
        <f>Data_preprocessing!U838</f>
        <v>43881</v>
      </c>
      <c r="H838" t="str">
        <f>Data_preprocessing!V838</f>
        <v>F</v>
      </c>
      <c r="I838" t="str">
        <f>Data_preprocessing!Y838</f>
        <v>user@domain.com</v>
      </c>
      <c r="J838" t="str">
        <f>Data_preprocessing!Z838</f>
        <v>555-555-5555</v>
      </c>
      <c r="K838">
        <f t="shared" ca="1" si="39"/>
        <v>5</v>
      </c>
      <c r="L838" t="str">
        <f t="shared" si="40"/>
        <v>Medium</v>
      </c>
      <c r="M838" t="str">
        <f t="shared" si="41"/>
        <v>Poor</v>
      </c>
    </row>
    <row r="839" spans="1:13" x14ac:dyDescent="0.25">
      <c r="A839" t="str">
        <f>Data_preprocessing!M839</f>
        <v>Grace</v>
      </c>
      <c r="B839">
        <f>Data_preprocessing!O839</f>
        <v>35</v>
      </c>
      <c r="C839">
        <f>Data_preprocessing!Q839</f>
        <v>65000</v>
      </c>
      <c r="D839" t="str">
        <f>Data_preprocessing!R839</f>
        <v>Female</v>
      </c>
      <c r="E839" t="str">
        <f>Data_preprocessing!S839</f>
        <v>Finance</v>
      </c>
      <c r="F839" t="str">
        <f>Data_preprocessing!T839</f>
        <v>Manager</v>
      </c>
      <c r="G839" s="2">
        <f>Data_preprocessing!U839</f>
        <v>43195</v>
      </c>
      <c r="H839" t="str">
        <f>Data_preprocessing!V839</f>
        <v>C</v>
      </c>
      <c r="I839" t="str">
        <f>Data_preprocessing!Y839</f>
        <v>Email not provided</v>
      </c>
      <c r="J839" t="str">
        <f>Data_preprocessing!Z839</f>
        <v>Phone not provided</v>
      </c>
      <c r="K839">
        <f t="shared" ca="1" si="39"/>
        <v>7</v>
      </c>
      <c r="L839" t="str">
        <f t="shared" si="40"/>
        <v>High</v>
      </c>
      <c r="M839" t="str">
        <f t="shared" si="41"/>
        <v>Average</v>
      </c>
    </row>
    <row r="840" spans="1:13" x14ac:dyDescent="0.25">
      <c r="A840" t="str">
        <f>Data_preprocessing!M840</f>
        <v>David</v>
      </c>
      <c r="B840">
        <f>Data_preprocessing!O840</f>
        <v>35</v>
      </c>
      <c r="C840">
        <f>Data_preprocessing!Q840</f>
        <v>60000</v>
      </c>
      <c r="D840" t="str">
        <f>Data_preprocessing!R840</f>
        <v>Female</v>
      </c>
      <c r="E840" t="str">
        <f>Data_preprocessing!S840</f>
        <v>Finance</v>
      </c>
      <c r="F840" t="str">
        <f>Data_preprocessing!T840</f>
        <v>Director</v>
      </c>
      <c r="G840" s="2">
        <f>Data_preprocessing!U840</f>
        <v>43845</v>
      </c>
      <c r="H840" t="str">
        <f>Data_preprocessing!V840</f>
        <v>C</v>
      </c>
      <c r="I840" t="str">
        <f>Data_preprocessing!Y840</f>
        <v>Email not provided</v>
      </c>
      <c r="J840" t="str">
        <f>Data_preprocessing!Z840</f>
        <v>123-456-7890</v>
      </c>
      <c r="K840">
        <f t="shared" ca="1" si="39"/>
        <v>6</v>
      </c>
      <c r="L840" t="str">
        <f t="shared" si="40"/>
        <v>Medium</v>
      </c>
      <c r="M840" t="str">
        <f t="shared" si="41"/>
        <v>Average</v>
      </c>
    </row>
    <row r="841" spans="1:13" x14ac:dyDescent="0.25">
      <c r="A841" t="str">
        <f>Data_preprocessing!M841</f>
        <v>Hannah</v>
      </c>
      <c r="B841">
        <f>Data_preprocessing!O841</f>
        <v>35</v>
      </c>
      <c r="C841">
        <f>Data_preprocessing!Q841</f>
        <v>55000</v>
      </c>
      <c r="D841" t="str">
        <f>Data_preprocessing!R841</f>
        <v>Male</v>
      </c>
      <c r="E841" t="str">
        <f>Data_preprocessing!S841</f>
        <v>IT</v>
      </c>
      <c r="F841" t="str">
        <f>Data_preprocessing!T841</f>
        <v>Analyst</v>
      </c>
      <c r="G841" s="2">
        <f>Data_preprocessing!U841</f>
        <v>43195</v>
      </c>
      <c r="H841" t="str">
        <f>Data_preprocessing!V841</f>
        <v>C</v>
      </c>
      <c r="I841" t="str">
        <f>Data_preprocessing!Y841</f>
        <v>Email not provided</v>
      </c>
      <c r="J841" t="str">
        <f>Data_preprocessing!Z841</f>
        <v>Phone not provided</v>
      </c>
      <c r="K841">
        <f t="shared" ca="1" si="39"/>
        <v>7</v>
      </c>
      <c r="L841" t="str">
        <f t="shared" si="40"/>
        <v>Low</v>
      </c>
      <c r="M841" t="str">
        <f t="shared" si="41"/>
        <v>Average</v>
      </c>
    </row>
    <row r="842" spans="1:13" x14ac:dyDescent="0.25">
      <c r="A842" t="str">
        <f>Data_preprocessing!M842</f>
        <v>Grace</v>
      </c>
      <c r="B842">
        <f>Data_preprocessing!O842</f>
        <v>50</v>
      </c>
      <c r="C842">
        <f>Data_preprocessing!Q842</f>
        <v>60000</v>
      </c>
      <c r="D842" t="str">
        <f>Data_preprocessing!R842</f>
        <v>Male</v>
      </c>
      <c r="E842" t="str">
        <f>Data_preprocessing!S842</f>
        <v>Marketing</v>
      </c>
      <c r="F842" t="str">
        <f>Data_preprocessing!T842</f>
        <v>Clerk</v>
      </c>
      <c r="G842" s="2">
        <f>Data_preprocessing!U842</f>
        <v>43195</v>
      </c>
      <c r="H842" t="str">
        <f>Data_preprocessing!V842</f>
        <v>B</v>
      </c>
      <c r="I842" t="str">
        <f>Data_preprocessing!Y842</f>
        <v>Email not provided</v>
      </c>
      <c r="J842" t="str">
        <f>Data_preprocessing!Z842</f>
        <v>Phone not provided</v>
      </c>
      <c r="K842">
        <f t="shared" ca="1" si="39"/>
        <v>7</v>
      </c>
      <c r="L842" t="str">
        <f t="shared" si="40"/>
        <v>Medium</v>
      </c>
      <c r="M842" t="str">
        <f t="shared" si="41"/>
        <v>Good</v>
      </c>
    </row>
    <row r="843" spans="1:13" x14ac:dyDescent="0.25">
      <c r="A843" t="str">
        <f>Data_preprocessing!M843</f>
        <v>Ivy</v>
      </c>
      <c r="B843">
        <f>Data_preprocessing!O843</f>
        <v>35</v>
      </c>
      <c r="C843">
        <f>Data_preprocessing!Q843</f>
        <v>55000</v>
      </c>
      <c r="D843" t="str">
        <f>Data_preprocessing!R843</f>
        <v>Other</v>
      </c>
      <c r="E843" t="str">
        <f>Data_preprocessing!S843</f>
        <v>Sales</v>
      </c>
      <c r="F843" t="str">
        <f>Data_preprocessing!T843</f>
        <v>Assistant</v>
      </c>
      <c r="G843" s="2">
        <f>Data_preprocessing!U843</f>
        <v>43881</v>
      </c>
      <c r="H843" t="str">
        <f>Data_preprocessing!V843</f>
        <v>C</v>
      </c>
      <c r="I843" t="str">
        <f>Data_preprocessing!Y843</f>
        <v>Email not provided</v>
      </c>
      <c r="J843" t="str">
        <f>Data_preprocessing!Z843</f>
        <v>Phone not provided</v>
      </c>
      <c r="K843">
        <f t="shared" ca="1" si="39"/>
        <v>5</v>
      </c>
      <c r="L843" t="str">
        <f t="shared" si="40"/>
        <v>Low</v>
      </c>
      <c r="M843" t="str">
        <f t="shared" si="41"/>
        <v>Average</v>
      </c>
    </row>
    <row r="844" spans="1:13" x14ac:dyDescent="0.25">
      <c r="A844" t="str">
        <f>Data_preprocessing!M844</f>
        <v>Grace</v>
      </c>
      <c r="B844">
        <f>Data_preprocessing!O844</f>
        <v>35</v>
      </c>
      <c r="C844">
        <f>Data_preprocessing!Q844</f>
        <v>50000</v>
      </c>
      <c r="D844" t="str">
        <f>Data_preprocessing!R844</f>
        <v>Other</v>
      </c>
      <c r="E844" t="str">
        <f>Data_preprocessing!S844</f>
        <v>Finance</v>
      </c>
      <c r="F844" t="str">
        <f>Data_preprocessing!T844</f>
        <v>Manager</v>
      </c>
      <c r="G844" s="2">
        <f>Data_preprocessing!U844</f>
        <v>43549</v>
      </c>
      <c r="H844" t="str">
        <f>Data_preprocessing!V844</f>
        <v>C</v>
      </c>
      <c r="I844" t="str">
        <f>Data_preprocessing!Y844</f>
        <v>Email not provided</v>
      </c>
      <c r="J844" t="str">
        <f>Data_preprocessing!Z844</f>
        <v>555-555-5555</v>
      </c>
      <c r="K844">
        <f t="shared" ca="1" si="39"/>
        <v>6</v>
      </c>
      <c r="L844" t="str">
        <f t="shared" si="40"/>
        <v>Low</v>
      </c>
      <c r="M844" t="str">
        <f t="shared" si="41"/>
        <v>Average</v>
      </c>
    </row>
    <row r="845" spans="1:13" x14ac:dyDescent="0.25">
      <c r="A845" t="str">
        <f>Data_preprocessing!M845</f>
        <v>Charlie</v>
      </c>
      <c r="B845">
        <f>Data_preprocessing!O845</f>
        <v>30</v>
      </c>
      <c r="C845">
        <f>Data_preprocessing!Q845</f>
        <v>70000</v>
      </c>
      <c r="D845" t="str">
        <f>Data_preprocessing!R845</f>
        <v>Male</v>
      </c>
      <c r="E845" t="str">
        <f>Data_preprocessing!S845</f>
        <v>Sales</v>
      </c>
      <c r="F845" t="str">
        <f>Data_preprocessing!T845</f>
        <v>Manager</v>
      </c>
      <c r="G845" s="2">
        <f>Data_preprocessing!U845</f>
        <v>43881</v>
      </c>
      <c r="H845" t="str">
        <f>Data_preprocessing!V845</f>
        <v>B</v>
      </c>
      <c r="I845" t="str">
        <f>Data_preprocessing!Y845</f>
        <v>Email not provided</v>
      </c>
      <c r="J845" t="str">
        <f>Data_preprocessing!Z845</f>
        <v>Phone not provided</v>
      </c>
      <c r="K845">
        <f t="shared" ca="1" si="39"/>
        <v>5</v>
      </c>
      <c r="L845" t="str">
        <f t="shared" si="40"/>
        <v>High</v>
      </c>
      <c r="M845" t="str">
        <f t="shared" si="41"/>
        <v>Good</v>
      </c>
    </row>
    <row r="846" spans="1:13" x14ac:dyDescent="0.25">
      <c r="A846" t="str">
        <f>Data_preprocessing!M846</f>
        <v>Charlie</v>
      </c>
      <c r="B846">
        <f>Data_preprocessing!O846</f>
        <v>25</v>
      </c>
      <c r="C846">
        <f>Data_preprocessing!Q846</f>
        <v>60000</v>
      </c>
      <c r="D846" t="str">
        <f>Data_preprocessing!R846</f>
        <v>Male</v>
      </c>
      <c r="E846" t="str">
        <f>Data_preprocessing!S846</f>
        <v>Finance</v>
      </c>
      <c r="F846" t="str">
        <f>Data_preprocessing!T846</f>
        <v>Assistant</v>
      </c>
      <c r="G846" s="2">
        <f>Data_preprocessing!U846</f>
        <v>43845</v>
      </c>
      <c r="H846" t="str">
        <f>Data_preprocessing!V846</f>
        <v>B</v>
      </c>
      <c r="I846" t="str">
        <f>Data_preprocessing!Y846</f>
        <v>user@domain.com</v>
      </c>
      <c r="J846" t="str">
        <f>Data_preprocessing!Z846</f>
        <v>098-765-4321</v>
      </c>
      <c r="K846">
        <f t="shared" ca="1" si="39"/>
        <v>6</v>
      </c>
      <c r="L846" t="str">
        <f t="shared" si="40"/>
        <v>Medium</v>
      </c>
      <c r="M846" t="str">
        <f t="shared" si="41"/>
        <v>Good</v>
      </c>
    </row>
    <row r="847" spans="1:13" x14ac:dyDescent="0.25">
      <c r="A847" t="str">
        <f>Data_preprocessing!M847</f>
        <v>Hannah</v>
      </c>
      <c r="B847">
        <f>Data_preprocessing!O847</f>
        <v>35</v>
      </c>
      <c r="C847">
        <f>Data_preprocessing!Q847</f>
        <v>65000</v>
      </c>
      <c r="D847" t="str">
        <f>Data_preprocessing!R847</f>
        <v>Male</v>
      </c>
      <c r="E847" t="str">
        <f>Data_preprocessing!S847</f>
        <v>Sales</v>
      </c>
      <c r="F847" t="str">
        <f>Data_preprocessing!T847</f>
        <v>Director</v>
      </c>
      <c r="G847" s="2">
        <f>Data_preprocessing!U847</f>
        <v>43195</v>
      </c>
      <c r="H847" t="str">
        <f>Data_preprocessing!V847</f>
        <v>F</v>
      </c>
      <c r="I847" t="str">
        <f>Data_preprocessing!Y847</f>
        <v>email@example.com</v>
      </c>
      <c r="J847" t="str">
        <f>Data_preprocessing!Z847</f>
        <v>123-456-7890</v>
      </c>
      <c r="K847">
        <f t="shared" ca="1" si="39"/>
        <v>7</v>
      </c>
      <c r="L847" t="str">
        <f t="shared" si="40"/>
        <v>High</v>
      </c>
      <c r="M847" t="str">
        <f t="shared" si="41"/>
        <v>Poor</v>
      </c>
    </row>
    <row r="848" spans="1:13" x14ac:dyDescent="0.25">
      <c r="A848" t="str">
        <f>Data_preprocessing!M848</f>
        <v>Eve</v>
      </c>
      <c r="B848">
        <f>Data_preprocessing!O848</f>
        <v>25</v>
      </c>
      <c r="C848">
        <f>Data_preprocessing!Q848</f>
        <v>50000</v>
      </c>
      <c r="D848" t="str">
        <f>Data_preprocessing!R848</f>
        <v>Female</v>
      </c>
      <c r="E848" t="str">
        <f>Data_preprocessing!S848</f>
        <v>Marketing</v>
      </c>
      <c r="F848" t="str">
        <f>Data_preprocessing!T848</f>
        <v>Assistant</v>
      </c>
      <c r="G848" s="2">
        <f>Data_preprocessing!U848</f>
        <v>43881</v>
      </c>
      <c r="H848" t="str">
        <f>Data_preprocessing!V848</f>
        <v>D</v>
      </c>
      <c r="I848" t="str">
        <f>Data_preprocessing!Y848</f>
        <v>email@example.com</v>
      </c>
      <c r="J848" t="str">
        <f>Data_preprocessing!Z848</f>
        <v>098-765-4321</v>
      </c>
      <c r="K848">
        <f t="shared" ca="1" si="39"/>
        <v>5</v>
      </c>
      <c r="L848" t="str">
        <f t="shared" si="40"/>
        <v>Low</v>
      </c>
      <c r="M848" t="str">
        <f t="shared" si="41"/>
        <v>Below Average</v>
      </c>
    </row>
    <row r="849" spans="1:13" x14ac:dyDescent="0.25">
      <c r="A849" t="str">
        <f>Data_preprocessing!M849</f>
        <v>David</v>
      </c>
      <c r="B849">
        <f>Data_preprocessing!O849</f>
        <v>35</v>
      </c>
      <c r="C849">
        <f>Data_preprocessing!Q849</f>
        <v>70000</v>
      </c>
      <c r="D849" t="str">
        <f>Data_preprocessing!R849</f>
        <v>Female</v>
      </c>
      <c r="E849" t="str">
        <f>Data_preprocessing!S849</f>
        <v>IT</v>
      </c>
      <c r="F849" t="str">
        <f>Data_preprocessing!T849</f>
        <v>Analyst</v>
      </c>
      <c r="G849" s="2">
        <f>Data_preprocessing!U849</f>
        <v>43881</v>
      </c>
      <c r="H849" t="str">
        <f>Data_preprocessing!V849</f>
        <v>A</v>
      </c>
      <c r="I849" t="str">
        <f>Data_preprocessing!Y849</f>
        <v>Email not provided</v>
      </c>
      <c r="J849" t="str">
        <f>Data_preprocessing!Z849</f>
        <v>555-555-5555</v>
      </c>
      <c r="K849">
        <f t="shared" ca="1" si="39"/>
        <v>5</v>
      </c>
      <c r="L849" t="str">
        <f t="shared" si="40"/>
        <v>High</v>
      </c>
      <c r="M849" t="str">
        <f t="shared" si="41"/>
        <v>Excellent</v>
      </c>
    </row>
    <row r="850" spans="1:13" x14ac:dyDescent="0.25">
      <c r="A850" t="str">
        <f>Data_preprocessing!M850</f>
        <v>Hannah</v>
      </c>
      <c r="B850">
        <f>Data_preprocessing!O850</f>
        <v>30</v>
      </c>
      <c r="C850">
        <f>Data_preprocessing!Q850</f>
        <v>65000</v>
      </c>
      <c r="D850" t="str">
        <f>Data_preprocessing!R850</f>
        <v>Female</v>
      </c>
      <c r="E850" t="str">
        <f>Data_preprocessing!S850</f>
        <v>Marketing</v>
      </c>
      <c r="F850" t="str">
        <f>Data_preprocessing!T850</f>
        <v>Assistant</v>
      </c>
      <c r="G850" s="2">
        <f>Data_preprocessing!U850</f>
        <v>43881</v>
      </c>
      <c r="H850" t="str">
        <f>Data_preprocessing!V850</f>
        <v>A</v>
      </c>
      <c r="I850" t="str">
        <f>Data_preprocessing!Y850</f>
        <v>Email not provided</v>
      </c>
      <c r="J850" t="str">
        <f>Data_preprocessing!Z850</f>
        <v>555-555-5555</v>
      </c>
      <c r="K850">
        <f t="shared" ca="1" si="39"/>
        <v>5</v>
      </c>
      <c r="L850" t="str">
        <f t="shared" si="40"/>
        <v>High</v>
      </c>
      <c r="M850" t="str">
        <f t="shared" si="41"/>
        <v>Excellent</v>
      </c>
    </row>
    <row r="851" spans="1:13" x14ac:dyDescent="0.25">
      <c r="A851" t="str">
        <f>Data_preprocessing!M851</f>
        <v>Frank</v>
      </c>
      <c r="B851">
        <f>Data_preprocessing!O851</f>
        <v>40</v>
      </c>
      <c r="C851">
        <f>Data_preprocessing!Q851</f>
        <v>60000</v>
      </c>
      <c r="D851" t="str">
        <f>Data_preprocessing!R851</f>
        <v>Male</v>
      </c>
      <c r="E851" t="str">
        <f>Data_preprocessing!S851</f>
        <v>HR</v>
      </c>
      <c r="F851" t="str">
        <f>Data_preprocessing!T851</f>
        <v>Manager</v>
      </c>
      <c r="G851" s="2">
        <f>Data_preprocessing!U851</f>
        <v>43845</v>
      </c>
      <c r="H851" t="str">
        <f>Data_preprocessing!V851</f>
        <v>C</v>
      </c>
      <c r="I851" t="str">
        <f>Data_preprocessing!Y851</f>
        <v>name@company.org</v>
      </c>
      <c r="J851" t="str">
        <f>Data_preprocessing!Z851</f>
        <v>123-456-7890</v>
      </c>
      <c r="K851">
        <f t="shared" ca="1" si="39"/>
        <v>6</v>
      </c>
      <c r="L851" t="str">
        <f t="shared" si="40"/>
        <v>Medium</v>
      </c>
      <c r="M851" t="str">
        <f t="shared" si="41"/>
        <v>Average</v>
      </c>
    </row>
    <row r="852" spans="1:13" x14ac:dyDescent="0.25">
      <c r="A852" t="str">
        <f>Data_preprocessing!M852</f>
        <v>Bob</v>
      </c>
      <c r="B852">
        <f>Data_preprocessing!O852</f>
        <v>30</v>
      </c>
      <c r="C852">
        <f>Data_preprocessing!Q852</f>
        <v>65000</v>
      </c>
      <c r="D852" t="str">
        <f>Data_preprocessing!R852</f>
        <v>Other</v>
      </c>
      <c r="E852" t="str">
        <f>Data_preprocessing!S852</f>
        <v>IT</v>
      </c>
      <c r="F852" t="str">
        <f>Data_preprocessing!T852</f>
        <v>Assistant</v>
      </c>
      <c r="G852" s="2">
        <f>Data_preprocessing!U852</f>
        <v>43549</v>
      </c>
      <c r="H852" t="str">
        <f>Data_preprocessing!V852</f>
        <v>F</v>
      </c>
      <c r="I852" t="str">
        <f>Data_preprocessing!Y852</f>
        <v>Email not provided</v>
      </c>
      <c r="J852" t="str">
        <f>Data_preprocessing!Z852</f>
        <v>Phone not provided</v>
      </c>
      <c r="K852">
        <f t="shared" ca="1" si="39"/>
        <v>6</v>
      </c>
      <c r="L852" t="str">
        <f t="shared" si="40"/>
        <v>High</v>
      </c>
      <c r="M852" t="str">
        <f t="shared" si="41"/>
        <v>Poor</v>
      </c>
    </row>
    <row r="853" spans="1:13" x14ac:dyDescent="0.25">
      <c r="A853" t="str">
        <f>Data_preprocessing!M853</f>
        <v>David</v>
      </c>
      <c r="B853">
        <f>Data_preprocessing!O853</f>
        <v>35</v>
      </c>
      <c r="C853">
        <f>Data_preprocessing!Q853</f>
        <v>55000</v>
      </c>
      <c r="D853" t="str">
        <f>Data_preprocessing!R853</f>
        <v>Male</v>
      </c>
      <c r="E853" t="str">
        <f>Data_preprocessing!S853</f>
        <v>Marketing</v>
      </c>
      <c r="F853" t="str">
        <f>Data_preprocessing!T853</f>
        <v>Clerk</v>
      </c>
      <c r="G853" s="2">
        <f>Data_preprocessing!U853</f>
        <v>43881</v>
      </c>
      <c r="H853" t="str">
        <f>Data_preprocessing!V853</f>
        <v>C</v>
      </c>
      <c r="I853" t="str">
        <f>Data_preprocessing!Y853</f>
        <v>Email not provided</v>
      </c>
      <c r="J853" t="str">
        <f>Data_preprocessing!Z853</f>
        <v>Phone not provided</v>
      </c>
      <c r="K853">
        <f t="shared" ca="1" si="39"/>
        <v>5</v>
      </c>
      <c r="L853" t="str">
        <f t="shared" si="40"/>
        <v>Low</v>
      </c>
      <c r="M853" t="str">
        <f t="shared" si="41"/>
        <v>Average</v>
      </c>
    </row>
    <row r="854" spans="1:13" x14ac:dyDescent="0.25">
      <c r="A854" t="str">
        <f>Data_preprocessing!M854</f>
        <v>David</v>
      </c>
      <c r="B854">
        <f>Data_preprocessing!O854</f>
        <v>30</v>
      </c>
      <c r="C854">
        <f>Data_preprocessing!Q854</f>
        <v>55000</v>
      </c>
      <c r="D854" t="str">
        <f>Data_preprocessing!R854</f>
        <v>Female</v>
      </c>
      <c r="E854" t="str">
        <f>Data_preprocessing!S854</f>
        <v>HR</v>
      </c>
      <c r="F854" t="str">
        <f>Data_preprocessing!T854</f>
        <v>Analyst</v>
      </c>
      <c r="G854" s="2">
        <f>Data_preprocessing!U854</f>
        <v>43845</v>
      </c>
      <c r="H854" t="str">
        <f>Data_preprocessing!V854</f>
        <v>A</v>
      </c>
      <c r="I854" t="str">
        <f>Data_preprocessing!Y854</f>
        <v>Email not provided</v>
      </c>
      <c r="J854" t="str">
        <f>Data_preprocessing!Z854</f>
        <v>555-555-5555</v>
      </c>
      <c r="K854">
        <f t="shared" ca="1" si="39"/>
        <v>6</v>
      </c>
      <c r="L854" t="str">
        <f t="shared" si="40"/>
        <v>Low</v>
      </c>
      <c r="M854" t="str">
        <f t="shared" si="41"/>
        <v>Excellent</v>
      </c>
    </row>
    <row r="855" spans="1:13" x14ac:dyDescent="0.25">
      <c r="A855" t="str">
        <f>Data_preprocessing!M855</f>
        <v>Frank</v>
      </c>
      <c r="B855">
        <f>Data_preprocessing!O855</f>
        <v>30</v>
      </c>
      <c r="C855">
        <f>Data_preprocessing!Q855</f>
        <v>60000</v>
      </c>
      <c r="D855" t="str">
        <f>Data_preprocessing!R855</f>
        <v>Female</v>
      </c>
      <c r="E855" t="str">
        <f>Data_preprocessing!S855</f>
        <v>Finance</v>
      </c>
      <c r="F855" t="str">
        <f>Data_preprocessing!T855</f>
        <v>Assistant</v>
      </c>
      <c r="G855" s="2">
        <f>Data_preprocessing!U855</f>
        <v>43195</v>
      </c>
      <c r="H855" t="str">
        <f>Data_preprocessing!V855</f>
        <v>B</v>
      </c>
      <c r="I855" t="str">
        <f>Data_preprocessing!Y855</f>
        <v>user@domain.com</v>
      </c>
      <c r="J855" t="str">
        <f>Data_preprocessing!Z855</f>
        <v>123-456-7890</v>
      </c>
      <c r="K855">
        <f t="shared" ca="1" si="39"/>
        <v>7</v>
      </c>
      <c r="L855" t="str">
        <f t="shared" si="40"/>
        <v>Medium</v>
      </c>
      <c r="M855" t="str">
        <f t="shared" si="41"/>
        <v>Good</v>
      </c>
    </row>
    <row r="856" spans="1:13" x14ac:dyDescent="0.25">
      <c r="A856" t="str">
        <f>Data_preprocessing!M856</f>
        <v>Frank</v>
      </c>
      <c r="B856">
        <f>Data_preprocessing!O856</f>
        <v>35</v>
      </c>
      <c r="C856">
        <f>Data_preprocessing!Q856</f>
        <v>50000</v>
      </c>
      <c r="D856" t="str">
        <f>Data_preprocessing!R856</f>
        <v>Male</v>
      </c>
      <c r="E856" t="str">
        <f>Data_preprocessing!S856</f>
        <v>Finance</v>
      </c>
      <c r="F856" t="str">
        <f>Data_preprocessing!T856</f>
        <v>Manager</v>
      </c>
      <c r="G856" s="2">
        <f>Data_preprocessing!U856</f>
        <v>43800</v>
      </c>
      <c r="H856" t="str">
        <f>Data_preprocessing!V856</f>
        <v>D</v>
      </c>
      <c r="I856" t="str">
        <f>Data_preprocessing!Y856</f>
        <v>user@domain.com</v>
      </c>
      <c r="J856" t="str">
        <f>Data_preprocessing!Z856</f>
        <v>Phone not provided</v>
      </c>
      <c r="K856">
        <f t="shared" ca="1" si="39"/>
        <v>6</v>
      </c>
      <c r="L856" t="str">
        <f t="shared" si="40"/>
        <v>Low</v>
      </c>
      <c r="M856" t="str">
        <f t="shared" si="41"/>
        <v>Below Average</v>
      </c>
    </row>
    <row r="857" spans="1:13" x14ac:dyDescent="0.25">
      <c r="A857" t="str">
        <f>Data_preprocessing!M857</f>
        <v>Alice</v>
      </c>
      <c r="B857">
        <f>Data_preprocessing!O857</f>
        <v>50</v>
      </c>
      <c r="C857">
        <f>Data_preprocessing!Q857</f>
        <v>70000</v>
      </c>
      <c r="D857" t="str">
        <f>Data_preprocessing!R857</f>
        <v>Male</v>
      </c>
      <c r="E857" t="str">
        <f>Data_preprocessing!S857</f>
        <v>Sales</v>
      </c>
      <c r="F857" t="str">
        <f>Data_preprocessing!T857</f>
        <v>Analyst</v>
      </c>
      <c r="G857" s="2">
        <f>Data_preprocessing!U857</f>
        <v>43845</v>
      </c>
      <c r="H857" t="str">
        <f>Data_preprocessing!V857</f>
        <v>F</v>
      </c>
      <c r="I857" t="str">
        <f>Data_preprocessing!Y857</f>
        <v>email@example.com</v>
      </c>
      <c r="J857" t="str">
        <f>Data_preprocessing!Z857</f>
        <v>Phone not provided</v>
      </c>
      <c r="K857">
        <f t="shared" ca="1" si="39"/>
        <v>6</v>
      </c>
      <c r="L857" t="str">
        <f t="shared" si="40"/>
        <v>High</v>
      </c>
      <c r="M857" t="str">
        <f t="shared" si="41"/>
        <v>Poor</v>
      </c>
    </row>
    <row r="858" spans="1:13" x14ac:dyDescent="0.25">
      <c r="A858" t="str">
        <f>Data_preprocessing!M858</f>
        <v>Hannah</v>
      </c>
      <c r="B858">
        <f>Data_preprocessing!O858</f>
        <v>30</v>
      </c>
      <c r="C858">
        <f>Data_preprocessing!Q858</f>
        <v>65000</v>
      </c>
      <c r="D858" t="str">
        <f>Data_preprocessing!R858</f>
        <v>Female</v>
      </c>
      <c r="E858" t="str">
        <f>Data_preprocessing!S858</f>
        <v>IT</v>
      </c>
      <c r="F858" t="str">
        <f>Data_preprocessing!T858</f>
        <v>Manager</v>
      </c>
      <c r="G858" s="2">
        <f>Data_preprocessing!U858</f>
        <v>43800</v>
      </c>
      <c r="H858" t="str">
        <f>Data_preprocessing!V858</f>
        <v>B</v>
      </c>
      <c r="I858" t="str">
        <f>Data_preprocessing!Y858</f>
        <v>email@example.com</v>
      </c>
      <c r="J858" t="str">
        <f>Data_preprocessing!Z858</f>
        <v>555-555-5555</v>
      </c>
      <c r="K858">
        <f t="shared" ca="1" si="39"/>
        <v>6</v>
      </c>
      <c r="L858" t="str">
        <f t="shared" si="40"/>
        <v>High</v>
      </c>
      <c r="M858" t="str">
        <f t="shared" si="41"/>
        <v>Good</v>
      </c>
    </row>
    <row r="859" spans="1:13" x14ac:dyDescent="0.25">
      <c r="A859" t="str">
        <f>Data_preprocessing!M859</f>
        <v>Frank</v>
      </c>
      <c r="B859">
        <f>Data_preprocessing!O859</f>
        <v>35</v>
      </c>
      <c r="C859">
        <f>Data_preprocessing!Q859</f>
        <v>55000</v>
      </c>
      <c r="D859" t="str">
        <f>Data_preprocessing!R859</f>
        <v>Female</v>
      </c>
      <c r="E859" t="str">
        <f>Data_preprocessing!S859</f>
        <v>Finance</v>
      </c>
      <c r="F859" t="str">
        <f>Data_preprocessing!T859</f>
        <v>Director</v>
      </c>
      <c r="G859" s="2">
        <f>Data_preprocessing!U859</f>
        <v>43881</v>
      </c>
      <c r="H859" t="str">
        <f>Data_preprocessing!V859</f>
        <v>D</v>
      </c>
      <c r="I859" t="str">
        <f>Data_preprocessing!Y859</f>
        <v>name@company.org</v>
      </c>
      <c r="J859" t="str">
        <f>Data_preprocessing!Z859</f>
        <v>123-456-7890</v>
      </c>
      <c r="K859">
        <f t="shared" ca="1" si="39"/>
        <v>5</v>
      </c>
      <c r="L859" t="str">
        <f t="shared" si="40"/>
        <v>Low</v>
      </c>
      <c r="M859" t="str">
        <f t="shared" si="41"/>
        <v>Below Average</v>
      </c>
    </row>
    <row r="860" spans="1:13" x14ac:dyDescent="0.25">
      <c r="A860" t="str">
        <f>Data_preprocessing!M860</f>
        <v>Charlie</v>
      </c>
      <c r="B860">
        <f>Data_preprocessing!O860</f>
        <v>35</v>
      </c>
      <c r="C860">
        <f>Data_preprocessing!Q860</f>
        <v>50000</v>
      </c>
      <c r="D860" t="str">
        <f>Data_preprocessing!R860</f>
        <v>Female</v>
      </c>
      <c r="E860" t="str">
        <f>Data_preprocessing!S860</f>
        <v>IT</v>
      </c>
      <c r="F860" t="str">
        <f>Data_preprocessing!T860</f>
        <v>Clerk</v>
      </c>
      <c r="G860" s="2">
        <f>Data_preprocessing!U860</f>
        <v>43881</v>
      </c>
      <c r="H860" t="str">
        <f>Data_preprocessing!V860</f>
        <v>F</v>
      </c>
      <c r="I860" t="str">
        <f>Data_preprocessing!Y860</f>
        <v>name@company.org</v>
      </c>
      <c r="J860" t="str">
        <f>Data_preprocessing!Z860</f>
        <v>123-456-7890</v>
      </c>
      <c r="K860">
        <f t="shared" ca="1" si="39"/>
        <v>5</v>
      </c>
      <c r="L860" t="str">
        <f t="shared" si="40"/>
        <v>Low</v>
      </c>
      <c r="M860" t="str">
        <f t="shared" si="41"/>
        <v>Poor</v>
      </c>
    </row>
    <row r="861" spans="1:13" x14ac:dyDescent="0.25">
      <c r="A861" t="str">
        <f>Data_preprocessing!M861</f>
        <v>Ivy</v>
      </c>
      <c r="B861">
        <f>Data_preprocessing!O861</f>
        <v>30</v>
      </c>
      <c r="C861">
        <f>Data_preprocessing!Q861</f>
        <v>60000</v>
      </c>
      <c r="D861" t="str">
        <f>Data_preprocessing!R861</f>
        <v>Male</v>
      </c>
      <c r="E861" t="str">
        <f>Data_preprocessing!S861</f>
        <v>Finance</v>
      </c>
      <c r="F861" t="str">
        <f>Data_preprocessing!T861</f>
        <v>Director</v>
      </c>
      <c r="G861" s="2">
        <f>Data_preprocessing!U861</f>
        <v>43845</v>
      </c>
      <c r="H861" t="str">
        <f>Data_preprocessing!V861</f>
        <v>F</v>
      </c>
      <c r="I861" t="str">
        <f>Data_preprocessing!Y861</f>
        <v>name@company.org</v>
      </c>
      <c r="J861" t="str">
        <f>Data_preprocessing!Z861</f>
        <v>123-456-7890</v>
      </c>
      <c r="K861">
        <f t="shared" ca="1" si="39"/>
        <v>6</v>
      </c>
      <c r="L861" t="str">
        <f t="shared" si="40"/>
        <v>Medium</v>
      </c>
      <c r="M861" t="str">
        <f t="shared" si="41"/>
        <v>Poor</v>
      </c>
    </row>
    <row r="862" spans="1:13" x14ac:dyDescent="0.25">
      <c r="A862" t="str">
        <f>Data_preprocessing!M862</f>
        <v>Bob</v>
      </c>
      <c r="B862">
        <f>Data_preprocessing!O862</f>
        <v>50</v>
      </c>
      <c r="C862">
        <f>Data_preprocessing!Q862</f>
        <v>60000</v>
      </c>
      <c r="D862" t="str">
        <f>Data_preprocessing!R862</f>
        <v>Female</v>
      </c>
      <c r="E862" t="str">
        <f>Data_preprocessing!S862</f>
        <v>Sales</v>
      </c>
      <c r="F862" t="str">
        <f>Data_preprocessing!T862</f>
        <v>Clerk</v>
      </c>
      <c r="G862" s="2">
        <f>Data_preprocessing!U862</f>
        <v>43800</v>
      </c>
      <c r="H862" t="str">
        <f>Data_preprocessing!V862</f>
        <v>A</v>
      </c>
      <c r="I862" t="str">
        <f>Data_preprocessing!Y862</f>
        <v>name@company.org</v>
      </c>
      <c r="J862" t="str">
        <f>Data_preprocessing!Z862</f>
        <v>555-555-5555</v>
      </c>
      <c r="K862">
        <f t="shared" ca="1" si="39"/>
        <v>6</v>
      </c>
      <c r="L862" t="str">
        <f t="shared" si="40"/>
        <v>Medium</v>
      </c>
      <c r="M862" t="str">
        <f t="shared" si="41"/>
        <v>Excellent</v>
      </c>
    </row>
    <row r="863" spans="1:13" x14ac:dyDescent="0.25">
      <c r="A863" t="str">
        <f>Data_preprocessing!M863</f>
        <v>Hannah</v>
      </c>
      <c r="B863">
        <f>Data_preprocessing!O863</f>
        <v>40</v>
      </c>
      <c r="C863">
        <f>Data_preprocessing!Q863</f>
        <v>55000</v>
      </c>
      <c r="D863" t="str">
        <f>Data_preprocessing!R863</f>
        <v>Female</v>
      </c>
      <c r="E863" t="str">
        <f>Data_preprocessing!S863</f>
        <v>Marketing</v>
      </c>
      <c r="F863" t="str">
        <f>Data_preprocessing!T863</f>
        <v>Assistant</v>
      </c>
      <c r="G863" s="2">
        <f>Data_preprocessing!U863</f>
        <v>43881</v>
      </c>
      <c r="H863" t="str">
        <f>Data_preprocessing!V863</f>
        <v>B</v>
      </c>
      <c r="I863" t="str">
        <f>Data_preprocessing!Y863</f>
        <v>Email not provided</v>
      </c>
      <c r="J863" t="str">
        <f>Data_preprocessing!Z863</f>
        <v>Phone not provided</v>
      </c>
      <c r="K863">
        <f t="shared" ca="1" si="39"/>
        <v>5</v>
      </c>
      <c r="L863" t="str">
        <f t="shared" si="40"/>
        <v>Low</v>
      </c>
      <c r="M863" t="str">
        <f t="shared" si="41"/>
        <v>Good</v>
      </c>
    </row>
    <row r="864" spans="1:13" x14ac:dyDescent="0.25">
      <c r="A864" t="str">
        <f>Data_preprocessing!M864</f>
        <v>Jack</v>
      </c>
      <c r="B864">
        <f>Data_preprocessing!O864</f>
        <v>35</v>
      </c>
      <c r="C864">
        <f>Data_preprocessing!Q864</f>
        <v>60000</v>
      </c>
      <c r="D864" t="str">
        <f>Data_preprocessing!R864</f>
        <v>Other</v>
      </c>
      <c r="E864" t="str">
        <f>Data_preprocessing!S864</f>
        <v>Sales</v>
      </c>
      <c r="F864" t="str">
        <f>Data_preprocessing!T864</f>
        <v>Analyst</v>
      </c>
      <c r="G864" s="2">
        <f>Data_preprocessing!U864</f>
        <v>43195</v>
      </c>
      <c r="H864" t="str">
        <f>Data_preprocessing!V864</f>
        <v>F</v>
      </c>
      <c r="I864" t="str">
        <f>Data_preprocessing!Y864</f>
        <v>Email not provided</v>
      </c>
      <c r="J864" t="str">
        <f>Data_preprocessing!Z864</f>
        <v>123-456-7890</v>
      </c>
      <c r="K864">
        <f t="shared" ca="1" si="39"/>
        <v>7</v>
      </c>
      <c r="L864" t="str">
        <f t="shared" si="40"/>
        <v>Medium</v>
      </c>
      <c r="M864" t="str">
        <f t="shared" si="41"/>
        <v>Poor</v>
      </c>
    </row>
    <row r="865" spans="1:13" x14ac:dyDescent="0.25">
      <c r="A865" t="str">
        <f>Data_preprocessing!M865</f>
        <v>Charlie</v>
      </c>
      <c r="B865">
        <f>Data_preprocessing!O865</f>
        <v>35</v>
      </c>
      <c r="C865">
        <f>Data_preprocessing!Q865</f>
        <v>65000</v>
      </c>
      <c r="D865" t="str">
        <f>Data_preprocessing!R865</f>
        <v>Male</v>
      </c>
      <c r="E865" t="str">
        <f>Data_preprocessing!S865</f>
        <v>HR</v>
      </c>
      <c r="F865" t="str">
        <f>Data_preprocessing!T865</f>
        <v>Assistant</v>
      </c>
      <c r="G865" s="2">
        <f>Data_preprocessing!U865</f>
        <v>43549</v>
      </c>
      <c r="H865" t="str">
        <f>Data_preprocessing!V865</f>
        <v>F</v>
      </c>
      <c r="I865" t="str">
        <f>Data_preprocessing!Y865</f>
        <v>email@example.com</v>
      </c>
      <c r="J865" t="str">
        <f>Data_preprocessing!Z865</f>
        <v>Phone not provided</v>
      </c>
      <c r="K865">
        <f t="shared" ca="1" si="39"/>
        <v>6</v>
      </c>
      <c r="L865" t="str">
        <f t="shared" si="40"/>
        <v>High</v>
      </c>
      <c r="M865" t="str">
        <f t="shared" si="41"/>
        <v>Poor</v>
      </c>
    </row>
    <row r="866" spans="1:13" x14ac:dyDescent="0.25">
      <c r="A866" t="str">
        <f>Data_preprocessing!M866</f>
        <v>Eve</v>
      </c>
      <c r="B866">
        <f>Data_preprocessing!O866</f>
        <v>40</v>
      </c>
      <c r="C866">
        <f>Data_preprocessing!Q866</f>
        <v>70000</v>
      </c>
      <c r="D866" t="str">
        <f>Data_preprocessing!R866</f>
        <v>Other</v>
      </c>
      <c r="E866" t="str">
        <f>Data_preprocessing!S866</f>
        <v>Finance</v>
      </c>
      <c r="F866" t="str">
        <f>Data_preprocessing!T866</f>
        <v>Clerk</v>
      </c>
      <c r="G866" s="2">
        <f>Data_preprocessing!U866</f>
        <v>43549</v>
      </c>
      <c r="H866" t="str">
        <f>Data_preprocessing!V866</f>
        <v>D</v>
      </c>
      <c r="I866" t="str">
        <f>Data_preprocessing!Y866</f>
        <v>user@domain.com</v>
      </c>
      <c r="J866" t="str">
        <f>Data_preprocessing!Z866</f>
        <v>123-456-7890</v>
      </c>
      <c r="K866">
        <f t="shared" ca="1" si="39"/>
        <v>6</v>
      </c>
      <c r="L866" t="str">
        <f t="shared" si="40"/>
        <v>High</v>
      </c>
      <c r="M866" t="str">
        <f t="shared" si="41"/>
        <v>Below Average</v>
      </c>
    </row>
    <row r="867" spans="1:13" x14ac:dyDescent="0.25">
      <c r="A867" t="str">
        <f>Data_preprocessing!M867</f>
        <v>Frank</v>
      </c>
      <c r="B867">
        <f>Data_preprocessing!O867</f>
        <v>30</v>
      </c>
      <c r="C867">
        <f>Data_preprocessing!Q867</f>
        <v>55000</v>
      </c>
      <c r="D867" t="str">
        <f>Data_preprocessing!R867</f>
        <v>Other</v>
      </c>
      <c r="E867" t="str">
        <f>Data_preprocessing!S867</f>
        <v>HR</v>
      </c>
      <c r="F867" t="str">
        <f>Data_preprocessing!T867</f>
        <v>Clerk</v>
      </c>
      <c r="G867" s="2">
        <f>Data_preprocessing!U867</f>
        <v>43881</v>
      </c>
      <c r="H867" t="str">
        <f>Data_preprocessing!V867</f>
        <v>A</v>
      </c>
      <c r="I867" t="str">
        <f>Data_preprocessing!Y867</f>
        <v>user@domain.com</v>
      </c>
      <c r="J867" t="str">
        <f>Data_preprocessing!Z867</f>
        <v>Phone not provided</v>
      </c>
      <c r="K867">
        <f t="shared" ca="1" si="39"/>
        <v>5</v>
      </c>
      <c r="L867" t="str">
        <f t="shared" si="40"/>
        <v>Low</v>
      </c>
      <c r="M867" t="str">
        <f t="shared" si="41"/>
        <v>Excellent</v>
      </c>
    </row>
    <row r="868" spans="1:13" x14ac:dyDescent="0.25">
      <c r="A868" t="str">
        <f>Data_preprocessing!M868</f>
        <v>Jack</v>
      </c>
      <c r="B868">
        <f>Data_preprocessing!O868</f>
        <v>40</v>
      </c>
      <c r="C868">
        <f>Data_preprocessing!Q868</f>
        <v>55000</v>
      </c>
      <c r="D868" t="str">
        <f>Data_preprocessing!R868</f>
        <v>Female</v>
      </c>
      <c r="E868" t="str">
        <f>Data_preprocessing!S868</f>
        <v>HR</v>
      </c>
      <c r="F868" t="str">
        <f>Data_preprocessing!T868</f>
        <v>Clerk</v>
      </c>
      <c r="G868" s="2">
        <f>Data_preprocessing!U868</f>
        <v>43800</v>
      </c>
      <c r="H868" t="str">
        <f>Data_preprocessing!V868</f>
        <v>C</v>
      </c>
      <c r="I868" t="str">
        <f>Data_preprocessing!Y868</f>
        <v>Email not provided</v>
      </c>
      <c r="J868" t="str">
        <f>Data_preprocessing!Z868</f>
        <v>555-555-5555</v>
      </c>
      <c r="K868">
        <f t="shared" ca="1" si="39"/>
        <v>6</v>
      </c>
      <c r="L868" t="str">
        <f t="shared" si="40"/>
        <v>Low</v>
      </c>
      <c r="M868" t="str">
        <f t="shared" si="41"/>
        <v>Average</v>
      </c>
    </row>
    <row r="869" spans="1:13" x14ac:dyDescent="0.25">
      <c r="A869" t="str">
        <f>Data_preprocessing!M869</f>
        <v>Frank</v>
      </c>
      <c r="B869">
        <f>Data_preprocessing!O869</f>
        <v>25</v>
      </c>
      <c r="C869">
        <f>Data_preprocessing!Q869</f>
        <v>65000</v>
      </c>
      <c r="D869" t="str">
        <f>Data_preprocessing!R869</f>
        <v>Male</v>
      </c>
      <c r="E869" t="str">
        <f>Data_preprocessing!S869</f>
        <v>IT</v>
      </c>
      <c r="F869" t="str">
        <f>Data_preprocessing!T869</f>
        <v>Manager</v>
      </c>
      <c r="G869" s="2">
        <f>Data_preprocessing!U869</f>
        <v>43881</v>
      </c>
      <c r="H869" t="str">
        <f>Data_preprocessing!V869</f>
        <v>A</v>
      </c>
      <c r="I869" t="str">
        <f>Data_preprocessing!Y869</f>
        <v>Email not provided</v>
      </c>
      <c r="J869" t="str">
        <f>Data_preprocessing!Z869</f>
        <v>123-456-7890</v>
      </c>
      <c r="K869">
        <f t="shared" ca="1" si="39"/>
        <v>5</v>
      </c>
      <c r="L869" t="str">
        <f t="shared" si="40"/>
        <v>High</v>
      </c>
      <c r="M869" t="str">
        <f t="shared" si="41"/>
        <v>Excellent</v>
      </c>
    </row>
    <row r="870" spans="1:13" x14ac:dyDescent="0.25">
      <c r="A870" t="str">
        <f>Data_preprocessing!M870</f>
        <v>David</v>
      </c>
      <c r="B870">
        <f>Data_preprocessing!O870</f>
        <v>35</v>
      </c>
      <c r="C870">
        <f>Data_preprocessing!Q870</f>
        <v>60000</v>
      </c>
      <c r="D870" t="str">
        <f>Data_preprocessing!R870</f>
        <v>Female</v>
      </c>
      <c r="E870" t="str">
        <f>Data_preprocessing!S870</f>
        <v>Finance</v>
      </c>
      <c r="F870" t="str">
        <f>Data_preprocessing!T870</f>
        <v>Analyst</v>
      </c>
      <c r="G870" s="2">
        <f>Data_preprocessing!U870</f>
        <v>43800</v>
      </c>
      <c r="H870" t="str">
        <f>Data_preprocessing!V870</f>
        <v>C</v>
      </c>
      <c r="I870" t="str">
        <f>Data_preprocessing!Y870</f>
        <v>name@company.org</v>
      </c>
      <c r="J870" t="str">
        <f>Data_preprocessing!Z870</f>
        <v>123-456-7890</v>
      </c>
      <c r="K870">
        <f t="shared" ca="1" si="39"/>
        <v>6</v>
      </c>
      <c r="L870" t="str">
        <f t="shared" si="40"/>
        <v>Medium</v>
      </c>
      <c r="M870" t="str">
        <f t="shared" si="41"/>
        <v>Average</v>
      </c>
    </row>
    <row r="871" spans="1:13" x14ac:dyDescent="0.25">
      <c r="A871" t="str">
        <f>Data_preprocessing!M871</f>
        <v>Charlie</v>
      </c>
      <c r="B871">
        <f>Data_preprocessing!O871</f>
        <v>30</v>
      </c>
      <c r="C871">
        <f>Data_preprocessing!Q871</f>
        <v>50000</v>
      </c>
      <c r="D871" t="str">
        <f>Data_preprocessing!R871</f>
        <v>Male</v>
      </c>
      <c r="E871" t="str">
        <f>Data_preprocessing!S871</f>
        <v>HR</v>
      </c>
      <c r="F871" t="str">
        <f>Data_preprocessing!T871</f>
        <v>Assistant</v>
      </c>
      <c r="G871" s="2">
        <f>Data_preprocessing!U871</f>
        <v>43195</v>
      </c>
      <c r="H871" t="str">
        <f>Data_preprocessing!V871</f>
        <v>B</v>
      </c>
      <c r="I871" t="str">
        <f>Data_preprocessing!Y871</f>
        <v>name@company.org</v>
      </c>
      <c r="J871" t="str">
        <f>Data_preprocessing!Z871</f>
        <v>Phone not provided</v>
      </c>
      <c r="K871">
        <f t="shared" ca="1" si="39"/>
        <v>7</v>
      </c>
      <c r="L871" t="str">
        <f t="shared" si="40"/>
        <v>Low</v>
      </c>
      <c r="M871" t="str">
        <f t="shared" si="41"/>
        <v>Good</v>
      </c>
    </row>
    <row r="872" spans="1:13" x14ac:dyDescent="0.25">
      <c r="A872" t="str">
        <f>Data_preprocessing!M872</f>
        <v>David</v>
      </c>
      <c r="B872">
        <f>Data_preprocessing!O872</f>
        <v>35</v>
      </c>
      <c r="C872">
        <f>Data_preprocessing!Q872</f>
        <v>70000</v>
      </c>
      <c r="D872" t="str">
        <f>Data_preprocessing!R872</f>
        <v>Other</v>
      </c>
      <c r="E872" t="str">
        <f>Data_preprocessing!S872</f>
        <v>Marketing</v>
      </c>
      <c r="F872" t="str">
        <f>Data_preprocessing!T872</f>
        <v>Assistant</v>
      </c>
      <c r="G872" s="2">
        <f>Data_preprocessing!U872</f>
        <v>43800</v>
      </c>
      <c r="H872" t="str">
        <f>Data_preprocessing!V872</f>
        <v>B</v>
      </c>
      <c r="I872" t="str">
        <f>Data_preprocessing!Y872</f>
        <v>Email not provided</v>
      </c>
      <c r="J872" t="str">
        <f>Data_preprocessing!Z872</f>
        <v>Phone not provided</v>
      </c>
      <c r="K872">
        <f t="shared" ca="1" si="39"/>
        <v>6</v>
      </c>
      <c r="L872" t="str">
        <f t="shared" si="40"/>
        <v>High</v>
      </c>
      <c r="M872" t="str">
        <f t="shared" si="41"/>
        <v>Good</v>
      </c>
    </row>
    <row r="873" spans="1:13" x14ac:dyDescent="0.25">
      <c r="A873" t="str">
        <f>Data_preprocessing!M873</f>
        <v>Alice</v>
      </c>
      <c r="B873">
        <f>Data_preprocessing!O873</f>
        <v>50</v>
      </c>
      <c r="C873">
        <f>Data_preprocessing!Q873</f>
        <v>55000</v>
      </c>
      <c r="D873" t="str">
        <f>Data_preprocessing!R873</f>
        <v>Male</v>
      </c>
      <c r="E873" t="str">
        <f>Data_preprocessing!S873</f>
        <v>HR</v>
      </c>
      <c r="F873" t="str">
        <f>Data_preprocessing!T873</f>
        <v>Director</v>
      </c>
      <c r="G873" s="2">
        <f>Data_preprocessing!U873</f>
        <v>43881</v>
      </c>
      <c r="H873" t="str">
        <f>Data_preprocessing!V873</f>
        <v>F</v>
      </c>
      <c r="I873" t="str">
        <f>Data_preprocessing!Y873</f>
        <v>user@domain.com</v>
      </c>
      <c r="J873" t="str">
        <f>Data_preprocessing!Z873</f>
        <v>123-456-7890</v>
      </c>
      <c r="K873">
        <f t="shared" ca="1" si="39"/>
        <v>5</v>
      </c>
      <c r="L873" t="str">
        <f t="shared" si="40"/>
        <v>Low</v>
      </c>
      <c r="M873" t="str">
        <f t="shared" si="41"/>
        <v>Poor</v>
      </c>
    </row>
    <row r="874" spans="1:13" x14ac:dyDescent="0.25">
      <c r="A874" t="str">
        <f>Data_preprocessing!M874</f>
        <v>David</v>
      </c>
      <c r="B874">
        <f>Data_preprocessing!O874</f>
        <v>30</v>
      </c>
      <c r="C874">
        <f>Data_preprocessing!Q874</f>
        <v>70000</v>
      </c>
      <c r="D874" t="str">
        <f>Data_preprocessing!R874</f>
        <v>Female</v>
      </c>
      <c r="E874" t="str">
        <f>Data_preprocessing!S874</f>
        <v>Marketing</v>
      </c>
      <c r="F874" t="str">
        <f>Data_preprocessing!T874</f>
        <v>Clerk</v>
      </c>
      <c r="G874" s="2">
        <f>Data_preprocessing!U874</f>
        <v>43195</v>
      </c>
      <c r="H874" t="str">
        <f>Data_preprocessing!V874</f>
        <v>B</v>
      </c>
      <c r="I874" t="str">
        <f>Data_preprocessing!Y874</f>
        <v>name@company.org</v>
      </c>
      <c r="J874" t="str">
        <f>Data_preprocessing!Z874</f>
        <v>123-456-7890</v>
      </c>
      <c r="K874">
        <f t="shared" ca="1" si="39"/>
        <v>7</v>
      </c>
      <c r="L874" t="str">
        <f t="shared" si="40"/>
        <v>High</v>
      </c>
      <c r="M874" t="str">
        <f t="shared" si="41"/>
        <v>Good</v>
      </c>
    </row>
    <row r="875" spans="1:13" x14ac:dyDescent="0.25">
      <c r="A875" t="str">
        <f>Data_preprocessing!M875</f>
        <v>Alice</v>
      </c>
      <c r="B875">
        <f>Data_preprocessing!O875</f>
        <v>35</v>
      </c>
      <c r="C875">
        <f>Data_preprocessing!Q875</f>
        <v>55000</v>
      </c>
      <c r="D875" t="str">
        <f>Data_preprocessing!R875</f>
        <v>Female</v>
      </c>
      <c r="E875" t="str">
        <f>Data_preprocessing!S875</f>
        <v>IT</v>
      </c>
      <c r="F875" t="str">
        <f>Data_preprocessing!T875</f>
        <v>Clerk</v>
      </c>
      <c r="G875" s="2">
        <f>Data_preprocessing!U875</f>
        <v>43845</v>
      </c>
      <c r="H875" t="str">
        <f>Data_preprocessing!V875</f>
        <v>F</v>
      </c>
      <c r="I875" t="str">
        <f>Data_preprocessing!Y875</f>
        <v>user@domain.com</v>
      </c>
      <c r="J875" t="str">
        <f>Data_preprocessing!Z875</f>
        <v>Phone not provided</v>
      </c>
      <c r="K875">
        <f t="shared" ca="1" si="39"/>
        <v>6</v>
      </c>
      <c r="L875" t="str">
        <f t="shared" si="40"/>
        <v>Low</v>
      </c>
      <c r="M875" t="str">
        <f t="shared" si="41"/>
        <v>Poor</v>
      </c>
    </row>
    <row r="876" spans="1:13" x14ac:dyDescent="0.25">
      <c r="A876" t="str">
        <f>Data_preprocessing!M876</f>
        <v>Alice</v>
      </c>
      <c r="B876">
        <f>Data_preprocessing!O876</f>
        <v>50</v>
      </c>
      <c r="C876">
        <f>Data_preprocessing!Q876</f>
        <v>70000</v>
      </c>
      <c r="D876" t="str">
        <f>Data_preprocessing!R876</f>
        <v>Female</v>
      </c>
      <c r="E876" t="str">
        <f>Data_preprocessing!S876</f>
        <v>HR</v>
      </c>
      <c r="F876" t="str">
        <f>Data_preprocessing!T876</f>
        <v>Clerk</v>
      </c>
      <c r="G876" s="2">
        <f>Data_preprocessing!U876</f>
        <v>43549</v>
      </c>
      <c r="H876" t="str">
        <f>Data_preprocessing!V876</f>
        <v>A</v>
      </c>
      <c r="I876" t="str">
        <f>Data_preprocessing!Y876</f>
        <v>Email not provided</v>
      </c>
      <c r="J876" t="str">
        <f>Data_preprocessing!Z876</f>
        <v>Phone not provided</v>
      </c>
      <c r="K876">
        <f t="shared" ca="1" si="39"/>
        <v>6</v>
      </c>
      <c r="L876" t="str">
        <f t="shared" si="40"/>
        <v>High</v>
      </c>
      <c r="M876" t="str">
        <f t="shared" si="41"/>
        <v>Excellent</v>
      </c>
    </row>
    <row r="877" spans="1:13" x14ac:dyDescent="0.25">
      <c r="A877" t="str">
        <f>Data_preprocessing!M877</f>
        <v>Jack</v>
      </c>
      <c r="B877">
        <f>Data_preprocessing!O877</f>
        <v>50</v>
      </c>
      <c r="C877">
        <f>Data_preprocessing!Q877</f>
        <v>60000</v>
      </c>
      <c r="D877" t="str">
        <f>Data_preprocessing!R877</f>
        <v>Male</v>
      </c>
      <c r="E877" t="str">
        <f>Data_preprocessing!S877</f>
        <v>Sales</v>
      </c>
      <c r="F877" t="str">
        <f>Data_preprocessing!T877</f>
        <v>Assistant</v>
      </c>
      <c r="G877" s="2">
        <f>Data_preprocessing!U877</f>
        <v>43881</v>
      </c>
      <c r="H877" t="str">
        <f>Data_preprocessing!V877</f>
        <v>B</v>
      </c>
      <c r="I877" t="str">
        <f>Data_preprocessing!Y877</f>
        <v>user@domain.com</v>
      </c>
      <c r="J877" t="str">
        <f>Data_preprocessing!Z877</f>
        <v>098-765-4321</v>
      </c>
      <c r="K877">
        <f t="shared" ca="1" si="39"/>
        <v>5</v>
      </c>
      <c r="L877" t="str">
        <f t="shared" si="40"/>
        <v>Medium</v>
      </c>
      <c r="M877" t="str">
        <f t="shared" si="41"/>
        <v>Good</v>
      </c>
    </row>
    <row r="878" spans="1:13" x14ac:dyDescent="0.25">
      <c r="A878" t="str">
        <f>Data_preprocessing!M878</f>
        <v>Frank</v>
      </c>
      <c r="B878">
        <f>Data_preprocessing!O878</f>
        <v>30</v>
      </c>
      <c r="C878">
        <f>Data_preprocessing!Q878</f>
        <v>55000</v>
      </c>
      <c r="D878" t="str">
        <f>Data_preprocessing!R878</f>
        <v>Other</v>
      </c>
      <c r="E878" t="str">
        <f>Data_preprocessing!S878</f>
        <v>IT</v>
      </c>
      <c r="F878" t="str">
        <f>Data_preprocessing!T878</f>
        <v>Director</v>
      </c>
      <c r="G878" s="2">
        <f>Data_preprocessing!U878</f>
        <v>43881</v>
      </c>
      <c r="H878" t="str">
        <f>Data_preprocessing!V878</f>
        <v>A</v>
      </c>
      <c r="I878" t="str">
        <f>Data_preprocessing!Y878</f>
        <v>user@domain.com</v>
      </c>
      <c r="J878" t="str">
        <f>Data_preprocessing!Z878</f>
        <v>098-765-4321</v>
      </c>
      <c r="K878">
        <f t="shared" ca="1" si="39"/>
        <v>5</v>
      </c>
      <c r="L878" t="str">
        <f t="shared" si="40"/>
        <v>Low</v>
      </c>
      <c r="M878" t="str">
        <f t="shared" si="41"/>
        <v>Excellent</v>
      </c>
    </row>
    <row r="879" spans="1:13" x14ac:dyDescent="0.25">
      <c r="A879" t="str">
        <f>Data_preprocessing!M879</f>
        <v>Eve</v>
      </c>
      <c r="B879">
        <f>Data_preprocessing!O879</f>
        <v>40</v>
      </c>
      <c r="C879">
        <f>Data_preprocessing!Q879</f>
        <v>70000</v>
      </c>
      <c r="D879" t="str">
        <f>Data_preprocessing!R879</f>
        <v>Other</v>
      </c>
      <c r="E879" t="str">
        <f>Data_preprocessing!S879</f>
        <v>Marketing</v>
      </c>
      <c r="F879" t="str">
        <f>Data_preprocessing!T879</f>
        <v>Manager</v>
      </c>
      <c r="G879" s="2">
        <f>Data_preprocessing!U879</f>
        <v>43881</v>
      </c>
      <c r="H879" t="str">
        <f>Data_preprocessing!V879</f>
        <v>A</v>
      </c>
      <c r="I879" t="str">
        <f>Data_preprocessing!Y879</f>
        <v>user@domain.com</v>
      </c>
      <c r="J879" t="str">
        <f>Data_preprocessing!Z879</f>
        <v>123-456-7890</v>
      </c>
      <c r="K879">
        <f t="shared" ca="1" si="39"/>
        <v>5</v>
      </c>
      <c r="L879" t="str">
        <f t="shared" si="40"/>
        <v>High</v>
      </c>
      <c r="M879" t="str">
        <f t="shared" si="41"/>
        <v>Excellent</v>
      </c>
    </row>
    <row r="880" spans="1:13" x14ac:dyDescent="0.25">
      <c r="A880" t="str">
        <f>Data_preprocessing!M880</f>
        <v>David</v>
      </c>
      <c r="B880">
        <f>Data_preprocessing!O880</f>
        <v>40</v>
      </c>
      <c r="C880">
        <f>Data_preprocessing!Q880</f>
        <v>50000</v>
      </c>
      <c r="D880" t="str">
        <f>Data_preprocessing!R880</f>
        <v>Male</v>
      </c>
      <c r="E880" t="str">
        <f>Data_preprocessing!S880</f>
        <v>IT</v>
      </c>
      <c r="F880" t="str">
        <f>Data_preprocessing!T880</f>
        <v>Analyst</v>
      </c>
      <c r="G880" s="2">
        <f>Data_preprocessing!U880</f>
        <v>43195</v>
      </c>
      <c r="H880" t="str">
        <f>Data_preprocessing!V880</f>
        <v>B</v>
      </c>
      <c r="I880" t="str">
        <f>Data_preprocessing!Y880</f>
        <v>name@company.org</v>
      </c>
      <c r="J880" t="str">
        <f>Data_preprocessing!Z880</f>
        <v>Phone not provided</v>
      </c>
      <c r="K880">
        <f t="shared" ca="1" si="39"/>
        <v>7</v>
      </c>
      <c r="L880" t="str">
        <f t="shared" si="40"/>
        <v>Low</v>
      </c>
      <c r="M880" t="str">
        <f t="shared" si="41"/>
        <v>Good</v>
      </c>
    </row>
    <row r="881" spans="1:13" x14ac:dyDescent="0.25">
      <c r="A881" t="str">
        <f>Data_preprocessing!M881</f>
        <v>Charlie</v>
      </c>
      <c r="B881">
        <f>Data_preprocessing!O881</f>
        <v>50</v>
      </c>
      <c r="C881">
        <f>Data_preprocessing!Q881</f>
        <v>60000</v>
      </c>
      <c r="D881" t="str">
        <f>Data_preprocessing!R881</f>
        <v>Female</v>
      </c>
      <c r="E881" t="str">
        <f>Data_preprocessing!S881</f>
        <v>HR</v>
      </c>
      <c r="F881" t="str">
        <f>Data_preprocessing!T881</f>
        <v>Manager</v>
      </c>
      <c r="G881" s="2">
        <f>Data_preprocessing!U881</f>
        <v>43845</v>
      </c>
      <c r="H881" t="str">
        <f>Data_preprocessing!V881</f>
        <v>A</v>
      </c>
      <c r="I881" t="str">
        <f>Data_preprocessing!Y881</f>
        <v>email@example.com</v>
      </c>
      <c r="J881" t="str">
        <f>Data_preprocessing!Z881</f>
        <v>555-555-5555</v>
      </c>
      <c r="K881">
        <f t="shared" ca="1" si="39"/>
        <v>6</v>
      </c>
      <c r="L881" t="str">
        <f t="shared" si="40"/>
        <v>Medium</v>
      </c>
      <c r="M881" t="str">
        <f t="shared" si="41"/>
        <v>Excellent</v>
      </c>
    </row>
    <row r="882" spans="1:13" x14ac:dyDescent="0.25">
      <c r="A882" t="str">
        <f>Data_preprocessing!M882</f>
        <v>Alice</v>
      </c>
      <c r="B882">
        <f>Data_preprocessing!O882</f>
        <v>40</v>
      </c>
      <c r="C882">
        <f>Data_preprocessing!Q882</f>
        <v>60000</v>
      </c>
      <c r="D882" t="str">
        <f>Data_preprocessing!R882</f>
        <v>Other</v>
      </c>
      <c r="E882" t="str">
        <f>Data_preprocessing!S882</f>
        <v>Finance</v>
      </c>
      <c r="F882" t="str">
        <f>Data_preprocessing!T882</f>
        <v>Assistant</v>
      </c>
      <c r="G882" s="2">
        <f>Data_preprocessing!U882</f>
        <v>43800</v>
      </c>
      <c r="H882" t="str">
        <f>Data_preprocessing!V882</f>
        <v>B</v>
      </c>
      <c r="I882" t="str">
        <f>Data_preprocessing!Y882</f>
        <v>Email not provided</v>
      </c>
      <c r="J882" t="str">
        <f>Data_preprocessing!Z882</f>
        <v>555-555-5555</v>
      </c>
      <c r="K882">
        <f t="shared" ca="1" si="39"/>
        <v>6</v>
      </c>
      <c r="L882" t="str">
        <f t="shared" si="40"/>
        <v>Medium</v>
      </c>
      <c r="M882" t="str">
        <f t="shared" si="41"/>
        <v>Good</v>
      </c>
    </row>
    <row r="883" spans="1:13" x14ac:dyDescent="0.25">
      <c r="A883" t="str">
        <f>Data_preprocessing!M883</f>
        <v>Frank</v>
      </c>
      <c r="B883">
        <f>Data_preprocessing!O883</f>
        <v>25</v>
      </c>
      <c r="C883">
        <f>Data_preprocessing!Q883</f>
        <v>50000</v>
      </c>
      <c r="D883" t="str">
        <f>Data_preprocessing!R883</f>
        <v>Female</v>
      </c>
      <c r="E883" t="str">
        <f>Data_preprocessing!S883</f>
        <v>Finance</v>
      </c>
      <c r="F883" t="str">
        <f>Data_preprocessing!T883</f>
        <v>Clerk</v>
      </c>
      <c r="G883" s="2">
        <f>Data_preprocessing!U883</f>
        <v>43845</v>
      </c>
      <c r="H883" t="str">
        <f>Data_preprocessing!V883</f>
        <v>B</v>
      </c>
      <c r="I883" t="str">
        <f>Data_preprocessing!Y883</f>
        <v>user@domain.com</v>
      </c>
      <c r="J883" t="str">
        <f>Data_preprocessing!Z883</f>
        <v>098-765-4321</v>
      </c>
      <c r="K883">
        <f t="shared" ca="1" si="39"/>
        <v>6</v>
      </c>
      <c r="L883" t="str">
        <f t="shared" si="40"/>
        <v>Low</v>
      </c>
      <c r="M883" t="str">
        <f t="shared" si="41"/>
        <v>Good</v>
      </c>
    </row>
    <row r="884" spans="1:13" x14ac:dyDescent="0.25">
      <c r="A884" t="str">
        <f>Data_preprocessing!M884</f>
        <v>Bob</v>
      </c>
      <c r="B884">
        <f>Data_preprocessing!O884</f>
        <v>50</v>
      </c>
      <c r="C884">
        <f>Data_preprocessing!Q884</f>
        <v>70000</v>
      </c>
      <c r="D884" t="str">
        <f>Data_preprocessing!R884</f>
        <v>Male</v>
      </c>
      <c r="E884" t="str">
        <f>Data_preprocessing!S884</f>
        <v>Marketing</v>
      </c>
      <c r="F884" t="str">
        <f>Data_preprocessing!T884</f>
        <v>Analyst</v>
      </c>
      <c r="G884" s="2">
        <f>Data_preprocessing!U884</f>
        <v>43195</v>
      </c>
      <c r="H884" t="str">
        <f>Data_preprocessing!V884</f>
        <v>B</v>
      </c>
      <c r="I884" t="str">
        <f>Data_preprocessing!Y884</f>
        <v>user@domain.com</v>
      </c>
      <c r="J884" t="str">
        <f>Data_preprocessing!Z884</f>
        <v>Phone not provided</v>
      </c>
      <c r="K884">
        <f t="shared" ca="1" si="39"/>
        <v>7</v>
      </c>
      <c r="L884" t="str">
        <f t="shared" si="40"/>
        <v>High</v>
      </c>
      <c r="M884" t="str">
        <f t="shared" si="41"/>
        <v>Good</v>
      </c>
    </row>
    <row r="885" spans="1:13" x14ac:dyDescent="0.25">
      <c r="A885" t="str">
        <f>Data_preprocessing!M885</f>
        <v>Hannah</v>
      </c>
      <c r="B885">
        <f>Data_preprocessing!O885</f>
        <v>50</v>
      </c>
      <c r="C885">
        <f>Data_preprocessing!Q885</f>
        <v>65000</v>
      </c>
      <c r="D885" t="str">
        <f>Data_preprocessing!R885</f>
        <v>Female</v>
      </c>
      <c r="E885" t="str">
        <f>Data_preprocessing!S885</f>
        <v>Marketing</v>
      </c>
      <c r="F885" t="str">
        <f>Data_preprocessing!T885</f>
        <v>Assistant</v>
      </c>
      <c r="G885" s="2">
        <f>Data_preprocessing!U885</f>
        <v>43881</v>
      </c>
      <c r="H885" t="str">
        <f>Data_preprocessing!V885</f>
        <v>C</v>
      </c>
      <c r="I885" t="str">
        <f>Data_preprocessing!Y885</f>
        <v>user@domain.com</v>
      </c>
      <c r="J885" t="str">
        <f>Data_preprocessing!Z885</f>
        <v>098-765-4321</v>
      </c>
      <c r="K885">
        <f t="shared" ca="1" si="39"/>
        <v>5</v>
      </c>
      <c r="L885" t="str">
        <f t="shared" si="40"/>
        <v>High</v>
      </c>
      <c r="M885" t="str">
        <f t="shared" si="41"/>
        <v>Average</v>
      </c>
    </row>
    <row r="886" spans="1:13" x14ac:dyDescent="0.25">
      <c r="A886" t="str">
        <f>Data_preprocessing!M886</f>
        <v>Jack</v>
      </c>
      <c r="B886">
        <f>Data_preprocessing!O886</f>
        <v>35</v>
      </c>
      <c r="C886">
        <f>Data_preprocessing!Q886</f>
        <v>50000</v>
      </c>
      <c r="D886" t="str">
        <f>Data_preprocessing!R886</f>
        <v>Other</v>
      </c>
      <c r="E886" t="str">
        <f>Data_preprocessing!S886</f>
        <v>Finance</v>
      </c>
      <c r="F886" t="str">
        <f>Data_preprocessing!T886</f>
        <v>Assistant</v>
      </c>
      <c r="G886" s="2">
        <f>Data_preprocessing!U886</f>
        <v>43549</v>
      </c>
      <c r="H886" t="str">
        <f>Data_preprocessing!V886</f>
        <v>A</v>
      </c>
      <c r="I886" t="str">
        <f>Data_preprocessing!Y886</f>
        <v>email@example.com</v>
      </c>
      <c r="J886" t="str">
        <f>Data_preprocessing!Z886</f>
        <v>123-456-7890</v>
      </c>
      <c r="K886">
        <f t="shared" ca="1" si="39"/>
        <v>6</v>
      </c>
      <c r="L886" t="str">
        <f t="shared" si="40"/>
        <v>Low</v>
      </c>
      <c r="M886" t="str">
        <f t="shared" si="41"/>
        <v>Excellent</v>
      </c>
    </row>
    <row r="887" spans="1:13" x14ac:dyDescent="0.25">
      <c r="A887" t="str">
        <f>Data_preprocessing!M887</f>
        <v>Eve</v>
      </c>
      <c r="B887">
        <f>Data_preprocessing!O887</f>
        <v>40</v>
      </c>
      <c r="C887">
        <f>Data_preprocessing!Q887</f>
        <v>70000</v>
      </c>
      <c r="D887" t="str">
        <f>Data_preprocessing!R887</f>
        <v>Other</v>
      </c>
      <c r="E887" t="str">
        <f>Data_preprocessing!S887</f>
        <v>Marketing</v>
      </c>
      <c r="F887" t="str">
        <f>Data_preprocessing!T887</f>
        <v>Assistant</v>
      </c>
      <c r="G887" s="2">
        <f>Data_preprocessing!U887</f>
        <v>43881</v>
      </c>
      <c r="H887" t="str">
        <f>Data_preprocessing!V887</f>
        <v>D</v>
      </c>
      <c r="I887" t="str">
        <f>Data_preprocessing!Y887</f>
        <v>Email not provided</v>
      </c>
      <c r="J887" t="str">
        <f>Data_preprocessing!Z887</f>
        <v>Phone not provided</v>
      </c>
      <c r="K887">
        <f t="shared" ca="1" si="39"/>
        <v>5</v>
      </c>
      <c r="L887" t="str">
        <f t="shared" si="40"/>
        <v>High</v>
      </c>
      <c r="M887" t="str">
        <f t="shared" si="41"/>
        <v>Below Average</v>
      </c>
    </row>
    <row r="888" spans="1:13" x14ac:dyDescent="0.25">
      <c r="A888" t="str">
        <f>Data_preprocessing!M888</f>
        <v>Grace</v>
      </c>
      <c r="B888">
        <f>Data_preprocessing!O888</f>
        <v>50</v>
      </c>
      <c r="C888">
        <f>Data_preprocessing!Q888</f>
        <v>50000</v>
      </c>
      <c r="D888" t="str">
        <f>Data_preprocessing!R888</f>
        <v>Female</v>
      </c>
      <c r="E888" t="str">
        <f>Data_preprocessing!S888</f>
        <v>IT</v>
      </c>
      <c r="F888" t="str">
        <f>Data_preprocessing!T888</f>
        <v>Analyst</v>
      </c>
      <c r="G888" s="2">
        <f>Data_preprocessing!U888</f>
        <v>43800</v>
      </c>
      <c r="H888" t="str">
        <f>Data_preprocessing!V888</f>
        <v>B</v>
      </c>
      <c r="I888" t="str">
        <f>Data_preprocessing!Y888</f>
        <v>name@company.org</v>
      </c>
      <c r="J888" t="str">
        <f>Data_preprocessing!Z888</f>
        <v>555-555-5555</v>
      </c>
      <c r="K888">
        <f t="shared" ca="1" si="39"/>
        <v>6</v>
      </c>
      <c r="L888" t="str">
        <f t="shared" si="40"/>
        <v>Low</v>
      </c>
      <c r="M888" t="str">
        <f t="shared" si="41"/>
        <v>Good</v>
      </c>
    </row>
    <row r="889" spans="1:13" x14ac:dyDescent="0.25">
      <c r="A889" t="str">
        <f>Data_preprocessing!M889</f>
        <v>Jack</v>
      </c>
      <c r="B889">
        <f>Data_preprocessing!O889</f>
        <v>25</v>
      </c>
      <c r="C889">
        <f>Data_preprocessing!Q889</f>
        <v>50000</v>
      </c>
      <c r="D889" t="str">
        <f>Data_preprocessing!R889</f>
        <v>Male</v>
      </c>
      <c r="E889" t="str">
        <f>Data_preprocessing!S889</f>
        <v>Sales</v>
      </c>
      <c r="F889" t="str">
        <f>Data_preprocessing!T889</f>
        <v>Analyst</v>
      </c>
      <c r="G889" s="2">
        <f>Data_preprocessing!U889</f>
        <v>43549</v>
      </c>
      <c r="H889" t="str">
        <f>Data_preprocessing!V889</f>
        <v>A</v>
      </c>
      <c r="I889" t="str">
        <f>Data_preprocessing!Y889</f>
        <v>email@example.com</v>
      </c>
      <c r="J889" t="str">
        <f>Data_preprocessing!Z889</f>
        <v>Phone not provided</v>
      </c>
      <c r="K889">
        <f t="shared" ca="1" si="39"/>
        <v>6</v>
      </c>
      <c r="L889" t="str">
        <f t="shared" si="40"/>
        <v>Low</v>
      </c>
      <c r="M889" t="str">
        <f t="shared" si="41"/>
        <v>Excellent</v>
      </c>
    </row>
    <row r="890" spans="1:13" x14ac:dyDescent="0.25">
      <c r="A890" t="str">
        <f>Data_preprocessing!M890</f>
        <v>Bob</v>
      </c>
      <c r="B890">
        <f>Data_preprocessing!O890</f>
        <v>35</v>
      </c>
      <c r="C890">
        <f>Data_preprocessing!Q890</f>
        <v>55000</v>
      </c>
      <c r="D890" t="str">
        <f>Data_preprocessing!R890</f>
        <v>Female</v>
      </c>
      <c r="E890" t="str">
        <f>Data_preprocessing!S890</f>
        <v>Sales</v>
      </c>
      <c r="F890" t="str">
        <f>Data_preprocessing!T890</f>
        <v>Director</v>
      </c>
      <c r="G890" s="2">
        <f>Data_preprocessing!U890</f>
        <v>43881</v>
      </c>
      <c r="H890" t="str">
        <f>Data_preprocessing!V890</f>
        <v>F</v>
      </c>
      <c r="I890" t="str">
        <f>Data_preprocessing!Y890</f>
        <v>user@domain.com</v>
      </c>
      <c r="J890" t="str">
        <f>Data_preprocessing!Z890</f>
        <v>Phone not provided</v>
      </c>
      <c r="K890">
        <f t="shared" ca="1" si="39"/>
        <v>5</v>
      </c>
      <c r="L890" t="str">
        <f t="shared" si="40"/>
        <v>Low</v>
      </c>
      <c r="M890" t="str">
        <f t="shared" si="41"/>
        <v>Poor</v>
      </c>
    </row>
    <row r="891" spans="1:13" x14ac:dyDescent="0.25">
      <c r="A891" t="str">
        <f>Data_preprocessing!M891</f>
        <v>Hannah</v>
      </c>
      <c r="B891">
        <f>Data_preprocessing!O891</f>
        <v>30</v>
      </c>
      <c r="C891">
        <f>Data_preprocessing!Q891</f>
        <v>70000</v>
      </c>
      <c r="D891" t="str">
        <f>Data_preprocessing!R891</f>
        <v>Male</v>
      </c>
      <c r="E891" t="str">
        <f>Data_preprocessing!S891</f>
        <v>IT</v>
      </c>
      <c r="F891" t="str">
        <f>Data_preprocessing!T891</f>
        <v>Director</v>
      </c>
      <c r="G891" s="2">
        <f>Data_preprocessing!U891</f>
        <v>43549</v>
      </c>
      <c r="H891" t="str">
        <f>Data_preprocessing!V891</f>
        <v>B</v>
      </c>
      <c r="I891" t="str">
        <f>Data_preprocessing!Y891</f>
        <v>email@example.com</v>
      </c>
      <c r="J891" t="str">
        <f>Data_preprocessing!Z891</f>
        <v>123-456-7890</v>
      </c>
      <c r="K891">
        <f t="shared" ca="1" si="39"/>
        <v>6</v>
      </c>
      <c r="L891" t="str">
        <f t="shared" si="40"/>
        <v>High</v>
      </c>
      <c r="M891" t="str">
        <f t="shared" si="41"/>
        <v>Good</v>
      </c>
    </row>
    <row r="892" spans="1:13" x14ac:dyDescent="0.25">
      <c r="A892" t="str">
        <f>Data_preprocessing!M892</f>
        <v>Bob</v>
      </c>
      <c r="B892">
        <f>Data_preprocessing!O892</f>
        <v>50</v>
      </c>
      <c r="C892">
        <f>Data_preprocessing!Q892</f>
        <v>65000</v>
      </c>
      <c r="D892" t="str">
        <f>Data_preprocessing!R892</f>
        <v>Female</v>
      </c>
      <c r="E892" t="str">
        <f>Data_preprocessing!S892</f>
        <v>Sales</v>
      </c>
      <c r="F892" t="str">
        <f>Data_preprocessing!T892</f>
        <v>Manager</v>
      </c>
      <c r="G892" s="2">
        <f>Data_preprocessing!U892</f>
        <v>43845</v>
      </c>
      <c r="H892" t="str">
        <f>Data_preprocessing!V892</f>
        <v>B</v>
      </c>
      <c r="I892" t="str">
        <f>Data_preprocessing!Y892</f>
        <v>email@example.com</v>
      </c>
      <c r="J892" t="str">
        <f>Data_preprocessing!Z892</f>
        <v>098-765-4321</v>
      </c>
      <c r="K892">
        <f t="shared" ca="1" si="39"/>
        <v>6</v>
      </c>
      <c r="L892" t="str">
        <f t="shared" si="40"/>
        <v>High</v>
      </c>
      <c r="M892" t="str">
        <f t="shared" si="41"/>
        <v>Good</v>
      </c>
    </row>
    <row r="893" spans="1:13" x14ac:dyDescent="0.25">
      <c r="A893" t="str">
        <f>Data_preprocessing!M893</f>
        <v>David</v>
      </c>
      <c r="B893">
        <f>Data_preprocessing!O893</f>
        <v>25</v>
      </c>
      <c r="C893">
        <f>Data_preprocessing!Q893</f>
        <v>55000</v>
      </c>
      <c r="D893" t="str">
        <f>Data_preprocessing!R893</f>
        <v>Other</v>
      </c>
      <c r="E893" t="str">
        <f>Data_preprocessing!S893</f>
        <v>HR</v>
      </c>
      <c r="F893" t="str">
        <f>Data_preprocessing!T893</f>
        <v>Analyst</v>
      </c>
      <c r="G893" s="2">
        <f>Data_preprocessing!U893</f>
        <v>43195</v>
      </c>
      <c r="H893" t="str">
        <f>Data_preprocessing!V893</f>
        <v>D</v>
      </c>
      <c r="I893" t="str">
        <f>Data_preprocessing!Y893</f>
        <v>email@example.com</v>
      </c>
      <c r="J893" t="str">
        <f>Data_preprocessing!Z893</f>
        <v>123-456-7890</v>
      </c>
      <c r="K893">
        <f t="shared" ca="1" si="39"/>
        <v>7</v>
      </c>
      <c r="L893" t="str">
        <f t="shared" si="40"/>
        <v>Low</v>
      </c>
      <c r="M893" t="str">
        <f t="shared" si="41"/>
        <v>Below Average</v>
      </c>
    </row>
    <row r="894" spans="1:13" x14ac:dyDescent="0.25">
      <c r="A894" t="str">
        <f>Data_preprocessing!M894</f>
        <v>Alice</v>
      </c>
      <c r="B894">
        <f>Data_preprocessing!O894</f>
        <v>35</v>
      </c>
      <c r="C894">
        <f>Data_preprocessing!Q894</f>
        <v>50000</v>
      </c>
      <c r="D894" t="str">
        <f>Data_preprocessing!R894</f>
        <v>Male</v>
      </c>
      <c r="E894" t="str">
        <f>Data_preprocessing!S894</f>
        <v>IT</v>
      </c>
      <c r="F894" t="str">
        <f>Data_preprocessing!T894</f>
        <v>Analyst</v>
      </c>
      <c r="G894" s="2">
        <f>Data_preprocessing!U894</f>
        <v>43881</v>
      </c>
      <c r="H894" t="str">
        <f>Data_preprocessing!V894</f>
        <v>C</v>
      </c>
      <c r="I894" t="str">
        <f>Data_preprocessing!Y894</f>
        <v>Email not provided</v>
      </c>
      <c r="J894" t="str">
        <f>Data_preprocessing!Z894</f>
        <v>Phone not provided</v>
      </c>
      <c r="K894">
        <f t="shared" ca="1" si="39"/>
        <v>5</v>
      </c>
      <c r="L894" t="str">
        <f t="shared" si="40"/>
        <v>Low</v>
      </c>
      <c r="M894" t="str">
        <f t="shared" si="41"/>
        <v>Average</v>
      </c>
    </row>
    <row r="895" spans="1:13" x14ac:dyDescent="0.25">
      <c r="A895" t="str">
        <f>Data_preprocessing!M895</f>
        <v>Eve</v>
      </c>
      <c r="B895">
        <f>Data_preprocessing!O895</f>
        <v>25</v>
      </c>
      <c r="C895">
        <f>Data_preprocessing!Q895</f>
        <v>60000</v>
      </c>
      <c r="D895" t="str">
        <f>Data_preprocessing!R895</f>
        <v>Male</v>
      </c>
      <c r="E895" t="str">
        <f>Data_preprocessing!S895</f>
        <v>Marketing</v>
      </c>
      <c r="F895" t="str">
        <f>Data_preprocessing!T895</f>
        <v>Analyst</v>
      </c>
      <c r="G895" s="2">
        <f>Data_preprocessing!U895</f>
        <v>43800</v>
      </c>
      <c r="H895" t="str">
        <f>Data_preprocessing!V895</f>
        <v>C</v>
      </c>
      <c r="I895" t="str">
        <f>Data_preprocessing!Y895</f>
        <v>Email not provided</v>
      </c>
      <c r="J895" t="str">
        <f>Data_preprocessing!Z895</f>
        <v>555-555-5555</v>
      </c>
      <c r="K895">
        <f t="shared" ca="1" si="39"/>
        <v>6</v>
      </c>
      <c r="L895" t="str">
        <f t="shared" si="40"/>
        <v>Medium</v>
      </c>
      <c r="M895" t="str">
        <f t="shared" si="41"/>
        <v>Average</v>
      </c>
    </row>
    <row r="896" spans="1:13" x14ac:dyDescent="0.25">
      <c r="A896" t="str">
        <f>Data_preprocessing!M896</f>
        <v>Ivy</v>
      </c>
      <c r="B896">
        <f>Data_preprocessing!O896</f>
        <v>25</v>
      </c>
      <c r="C896">
        <f>Data_preprocessing!Q896</f>
        <v>50000</v>
      </c>
      <c r="D896" t="str">
        <f>Data_preprocessing!R896</f>
        <v>Male</v>
      </c>
      <c r="E896" t="str">
        <f>Data_preprocessing!S896</f>
        <v>IT</v>
      </c>
      <c r="F896" t="str">
        <f>Data_preprocessing!T896</f>
        <v>Director</v>
      </c>
      <c r="G896" s="2">
        <f>Data_preprocessing!U896</f>
        <v>43845</v>
      </c>
      <c r="H896" t="str">
        <f>Data_preprocessing!V896</f>
        <v>B</v>
      </c>
      <c r="I896" t="str">
        <f>Data_preprocessing!Y896</f>
        <v>name@company.org</v>
      </c>
      <c r="J896" t="str">
        <f>Data_preprocessing!Z896</f>
        <v>Phone not provided</v>
      </c>
      <c r="K896">
        <f t="shared" ca="1" si="39"/>
        <v>6</v>
      </c>
      <c r="L896" t="str">
        <f t="shared" si="40"/>
        <v>Low</v>
      </c>
      <c r="M896" t="str">
        <f t="shared" si="41"/>
        <v>Good</v>
      </c>
    </row>
    <row r="897" spans="1:13" x14ac:dyDescent="0.25">
      <c r="A897" t="str">
        <f>Data_preprocessing!M897</f>
        <v>Alice</v>
      </c>
      <c r="B897">
        <f>Data_preprocessing!O897</f>
        <v>35</v>
      </c>
      <c r="C897">
        <f>Data_preprocessing!Q897</f>
        <v>50000</v>
      </c>
      <c r="D897" t="str">
        <f>Data_preprocessing!R897</f>
        <v>Other</v>
      </c>
      <c r="E897" t="str">
        <f>Data_preprocessing!S897</f>
        <v>Finance</v>
      </c>
      <c r="F897" t="str">
        <f>Data_preprocessing!T897</f>
        <v>Assistant</v>
      </c>
      <c r="G897" s="2">
        <f>Data_preprocessing!U897</f>
        <v>43881</v>
      </c>
      <c r="H897" t="str">
        <f>Data_preprocessing!V897</f>
        <v>A</v>
      </c>
      <c r="I897" t="str">
        <f>Data_preprocessing!Y897</f>
        <v>Email not provided</v>
      </c>
      <c r="J897" t="str">
        <f>Data_preprocessing!Z897</f>
        <v>Phone not provided</v>
      </c>
      <c r="K897">
        <f t="shared" ca="1" si="39"/>
        <v>5</v>
      </c>
      <c r="L897" t="str">
        <f t="shared" si="40"/>
        <v>Low</v>
      </c>
      <c r="M897" t="str">
        <f t="shared" si="41"/>
        <v>Excellent</v>
      </c>
    </row>
    <row r="898" spans="1:13" x14ac:dyDescent="0.25">
      <c r="A898" t="str">
        <f>Data_preprocessing!M898</f>
        <v>Ivy</v>
      </c>
      <c r="B898">
        <f>Data_preprocessing!O898</f>
        <v>30</v>
      </c>
      <c r="C898">
        <f>Data_preprocessing!Q898</f>
        <v>70000</v>
      </c>
      <c r="D898" t="str">
        <f>Data_preprocessing!R898</f>
        <v>Female</v>
      </c>
      <c r="E898" t="str">
        <f>Data_preprocessing!S898</f>
        <v>Marketing</v>
      </c>
      <c r="F898" t="str">
        <f>Data_preprocessing!T898</f>
        <v>Clerk</v>
      </c>
      <c r="G898" s="2">
        <f>Data_preprocessing!U898</f>
        <v>43845</v>
      </c>
      <c r="H898" t="str">
        <f>Data_preprocessing!V898</f>
        <v>F</v>
      </c>
      <c r="I898" t="str">
        <f>Data_preprocessing!Y898</f>
        <v>Email not provided</v>
      </c>
      <c r="J898" t="str">
        <f>Data_preprocessing!Z898</f>
        <v>Phone not provided</v>
      </c>
      <c r="K898">
        <f t="shared" ref="K898:K961" ca="1" si="42">DATEDIF(G898,TODAY(),"Y")</f>
        <v>6</v>
      </c>
      <c r="L898" t="str">
        <f t="shared" ref="L898:L961" si="43">IF(C898&lt;60000,"Low",IF(C898&lt;65000,"Medium","High"))</f>
        <v>High</v>
      </c>
      <c r="M898" t="str">
        <f t="shared" si="41"/>
        <v>Poor</v>
      </c>
    </row>
    <row r="899" spans="1:13" x14ac:dyDescent="0.25">
      <c r="A899" t="str">
        <f>Data_preprocessing!M899</f>
        <v>Hannah</v>
      </c>
      <c r="B899">
        <f>Data_preprocessing!O899</f>
        <v>35</v>
      </c>
      <c r="C899">
        <f>Data_preprocessing!Q899</f>
        <v>70000</v>
      </c>
      <c r="D899" t="str">
        <f>Data_preprocessing!R899</f>
        <v>Other</v>
      </c>
      <c r="E899" t="str">
        <f>Data_preprocessing!S899</f>
        <v>Finance</v>
      </c>
      <c r="F899" t="str">
        <f>Data_preprocessing!T899</f>
        <v>Director</v>
      </c>
      <c r="G899" s="2">
        <f>Data_preprocessing!U899</f>
        <v>43800</v>
      </c>
      <c r="H899" t="str">
        <f>Data_preprocessing!V899</f>
        <v>F</v>
      </c>
      <c r="I899" t="str">
        <f>Data_preprocessing!Y899</f>
        <v>Email not provided</v>
      </c>
      <c r="J899" t="str">
        <f>Data_preprocessing!Z899</f>
        <v>Phone not provided</v>
      </c>
      <c r="K899">
        <f t="shared" ca="1" si="42"/>
        <v>6</v>
      </c>
      <c r="L899" t="str">
        <f t="shared" si="43"/>
        <v>High</v>
      </c>
      <c r="M899" t="str">
        <f t="shared" ref="M899:M962" si="44">IF(H899="A","Excellent",IF(H899="B","Good",IF(H899="C","Average",IF(H899="D","Below Average","Poor"))))</f>
        <v>Poor</v>
      </c>
    </row>
    <row r="900" spans="1:13" x14ac:dyDescent="0.25">
      <c r="A900" t="str">
        <f>Data_preprocessing!M900</f>
        <v>Frank</v>
      </c>
      <c r="B900">
        <f>Data_preprocessing!O900</f>
        <v>40</v>
      </c>
      <c r="C900">
        <f>Data_preprocessing!Q900</f>
        <v>55000</v>
      </c>
      <c r="D900" t="str">
        <f>Data_preprocessing!R900</f>
        <v>Male</v>
      </c>
      <c r="E900" t="str">
        <f>Data_preprocessing!S900</f>
        <v>Marketing</v>
      </c>
      <c r="F900" t="str">
        <f>Data_preprocessing!T900</f>
        <v>Analyst</v>
      </c>
      <c r="G900" s="2">
        <f>Data_preprocessing!U900</f>
        <v>43881</v>
      </c>
      <c r="H900" t="str">
        <f>Data_preprocessing!V900</f>
        <v>A</v>
      </c>
      <c r="I900" t="str">
        <f>Data_preprocessing!Y900</f>
        <v>Email not provided</v>
      </c>
      <c r="J900" t="str">
        <f>Data_preprocessing!Z900</f>
        <v>Phone not provided</v>
      </c>
      <c r="K900">
        <f t="shared" ca="1" si="42"/>
        <v>5</v>
      </c>
      <c r="L900" t="str">
        <f t="shared" si="43"/>
        <v>Low</v>
      </c>
      <c r="M900" t="str">
        <f t="shared" si="44"/>
        <v>Excellent</v>
      </c>
    </row>
    <row r="901" spans="1:13" x14ac:dyDescent="0.25">
      <c r="A901" t="str">
        <f>Data_preprocessing!M901</f>
        <v>Grace</v>
      </c>
      <c r="B901">
        <f>Data_preprocessing!O901</f>
        <v>40</v>
      </c>
      <c r="C901">
        <f>Data_preprocessing!Q901</f>
        <v>65000</v>
      </c>
      <c r="D901" t="str">
        <f>Data_preprocessing!R901</f>
        <v>Female</v>
      </c>
      <c r="E901" t="str">
        <f>Data_preprocessing!S901</f>
        <v>Sales</v>
      </c>
      <c r="F901" t="str">
        <f>Data_preprocessing!T901</f>
        <v>Director</v>
      </c>
      <c r="G901" s="2">
        <f>Data_preprocessing!U901</f>
        <v>43800</v>
      </c>
      <c r="H901" t="str">
        <f>Data_preprocessing!V901</f>
        <v>B</v>
      </c>
      <c r="I901" t="str">
        <f>Data_preprocessing!Y901</f>
        <v>email@example.com</v>
      </c>
      <c r="J901" t="str">
        <f>Data_preprocessing!Z901</f>
        <v>098-765-4321</v>
      </c>
      <c r="K901">
        <f t="shared" ca="1" si="42"/>
        <v>6</v>
      </c>
      <c r="L901" t="str">
        <f t="shared" si="43"/>
        <v>High</v>
      </c>
      <c r="M901" t="str">
        <f t="shared" si="44"/>
        <v>Good</v>
      </c>
    </row>
    <row r="902" spans="1:13" x14ac:dyDescent="0.25">
      <c r="A902" t="str">
        <f>Data_preprocessing!M902</f>
        <v>Charlie</v>
      </c>
      <c r="B902">
        <f>Data_preprocessing!O902</f>
        <v>25</v>
      </c>
      <c r="C902">
        <f>Data_preprocessing!Q902</f>
        <v>55000</v>
      </c>
      <c r="D902" t="str">
        <f>Data_preprocessing!R902</f>
        <v>Other</v>
      </c>
      <c r="E902" t="str">
        <f>Data_preprocessing!S902</f>
        <v>IT</v>
      </c>
      <c r="F902" t="str">
        <f>Data_preprocessing!T902</f>
        <v>Manager</v>
      </c>
      <c r="G902" s="2">
        <f>Data_preprocessing!U902</f>
        <v>43549</v>
      </c>
      <c r="H902" t="str">
        <f>Data_preprocessing!V902</f>
        <v>F</v>
      </c>
      <c r="I902" t="str">
        <f>Data_preprocessing!Y902</f>
        <v>email@example.com</v>
      </c>
      <c r="J902" t="str">
        <f>Data_preprocessing!Z902</f>
        <v>Phone not provided</v>
      </c>
      <c r="K902">
        <f t="shared" ca="1" si="42"/>
        <v>6</v>
      </c>
      <c r="L902" t="str">
        <f t="shared" si="43"/>
        <v>Low</v>
      </c>
      <c r="M902" t="str">
        <f t="shared" si="44"/>
        <v>Poor</v>
      </c>
    </row>
    <row r="903" spans="1:13" x14ac:dyDescent="0.25">
      <c r="A903" t="str">
        <f>Data_preprocessing!M903</f>
        <v>Alice</v>
      </c>
      <c r="B903">
        <f>Data_preprocessing!O903</f>
        <v>35</v>
      </c>
      <c r="C903">
        <f>Data_preprocessing!Q903</f>
        <v>60000</v>
      </c>
      <c r="D903" t="str">
        <f>Data_preprocessing!R903</f>
        <v>Male</v>
      </c>
      <c r="E903" t="str">
        <f>Data_preprocessing!S903</f>
        <v>HR</v>
      </c>
      <c r="F903" t="str">
        <f>Data_preprocessing!T903</f>
        <v>Analyst</v>
      </c>
      <c r="G903" s="2">
        <f>Data_preprocessing!U903</f>
        <v>43800</v>
      </c>
      <c r="H903" t="str">
        <f>Data_preprocessing!V903</f>
        <v>C</v>
      </c>
      <c r="I903" t="str">
        <f>Data_preprocessing!Y903</f>
        <v>user@domain.com</v>
      </c>
      <c r="J903" t="str">
        <f>Data_preprocessing!Z903</f>
        <v>123-456-7890</v>
      </c>
      <c r="K903">
        <f t="shared" ca="1" si="42"/>
        <v>6</v>
      </c>
      <c r="L903" t="str">
        <f t="shared" si="43"/>
        <v>Medium</v>
      </c>
      <c r="M903" t="str">
        <f t="shared" si="44"/>
        <v>Average</v>
      </c>
    </row>
    <row r="904" spans="1:13" x14ac:dyDescent="0.25">
      <c r="A904" t="str">
        <f>Data_preprocessing!M904</f>
        <v>Eve</v>
      </c>
      <c r="B904">
        <f>Data_preprocessing!O904</f>
        <v>35</v>
      </c>
      <c r="C904">
        <f>Data_preprocessing!Q904</f>
        <v>50000</v>
      </c>
      <c r="D904" t="str">
        <f>Data_preprocessing!R904</f>
        <v>Male</v>
      </c>
      <c r="E904" t="str">
        <f>Data_preprocessing!S904</f>
        <v>Marketing</v>
      </c>
      <c r="F904" t="str">
        <f>Data_preprocessing!T904</f>
        <v>Manager</v>
      </c>
      <c r="G904" s="2">
        <f>Data_preprocessing!U904</f>
        <v>43549</v>
      </c>
      <c r="H904" t="str">
        <f>Data_preprocessing!V904</f>
        <v>A</v>
      </c>
      <c r="I904" t="str">
        <f>Data_preprocessing!Y904</f>
        <v>Email not provided</v>
      </c>
      <c r="J904" t="str">
        <f>Data_preprocessing!Z904</f>
        <v>Phone not provided</v>
      </c>
      <c r="K904">
        <f t="shared" ca="1" si="42"/>
        <v>6</v>
      </c>
      <c r="L904" t="str">
        <f t="shared" si="43"/>
        <v>Low</v>
      </c>
      <c r="M904" t="str">
        <f t="shared" si="44"/>
        <v>Excellent</v>
      </c>
    </row>
    <row r="905" spans="1:13" x14ac:dyDescent="0.25">
      <c r="A905" t="str">
        <f>Data_preprocessing!M905</f>
        <v>Bob</v>
      </c>
      <c r="B905">
        <f>Data_preprocessing!O905</f>
        <v>40</v>
      </c>
      <c r="C905">
        <f>Data_preprocessing!Q905</f>
        <v>60000</v>
      </c>
      <c r="D905" t="str">
        <f>Data_preprocessing!R905</f>
        <v>Other</v>
      </c>
      <c r="E905" t="str">
        <f>Data_preprocessing!S905</f>
        <v>Marketing</v>
      </c>
      <c r="F905" t="str">
        <f>Data_preprocessing!T905</f>
        <v>Analyst</v>
      </c>
      <c r="G905" s="2">
        <f>Data_preprocessing!U905</f>
        <v>43881</v>
      </c>
      <c r="H905" t="str">
        <f>Data_preprocessing!V905</f>
        <v>D</v>
      </c>
      <c r="I905" t="str">
        <f>Data_preprocessing!Y905</f>
        <v>user@domain.com</v>
      </c>
      <c r="J905" t="str">
        <f>Data_preprocessing!Z905</f>
        <v>123-456-7890</v>
      </c>
      <c r="K905">
        <f t="shared" ca="1" si="42"/>
        <v>5</v>
      </c>
      <c r="L905" t="str">
        <f t="shared" si="43"/>
        <v>Medium</v>
      </c>
      <c r="M905" t="str">
        <f t="shared" si="44"/>
        <v>Below Average</v>
      </c>
    </row>
    <row r="906" spans="1:13" x14ac:dyDescent="0.25">
      <c r="A906" t="str">
        <f>Data_preprocessing!M906</f>
        <v>Eve</v>
      </c>
      <c r="B906">
        <f>Data_preprocessing!O906</f>
        <v>35</v>
      </c>
      <c r="C906">
        <f>Data_preprocessing!Q906</f>
        <v>50000</v>
      </c>
      <c r="D906" t="str">
        <f>Data_preprocessing!R906</f>
        <v>Other</v>
      </c>
      <c r="E906" t="str">
        <f>Data_preprocessing!S906</f>
        <v>Finance</v>
      </c>
      <c r="F906" t="str">
        <f>Data_preprocessing!T906</f>
        <v>Director</v>
      </c>
      <c r="G906" s="2">
        <f>Data_preprocessing!U906</f>
        <v>43549</v>
      </c>
      <c r="H906" t="str">
        <f>Data_preprocessing!V906</f>
        <v>B</v>
      </c>
      <c r="I906" t="str">
        <f>Data_preprocessing!Y906</f>
        <v>name@company.org</v>
      </c>
      <c r="J906" t="str">
        <f>Data_preprocessing!Z906</f>
        <v>Phone not provided</v>
      </c>
      <c r="K906">
        <f t="shared" ca="1" si="42"/>
        <v>6</v>
      </c>
      <c r="L906" t="str">
        <f t="shared" si="43"/>
        <v>Low</v>
      </c>
      <c r="M906" t="str">
        <f t="shared" si="44"/>
        <v>Good</v>
      </c>
    </row>
    <row r="907" spans="1:13" x14ac:dyDescent="0.25">
      <c r="A907" t="str">
        <f>Data_preprocessing!M907</f>
        <v>Hannah</v>
      </c>
      <c r="B907">
        <f>Data_preprocessing!O907</f>
        <v>30</v>
      </c>
      <c r="C907">
        <f>Data_preprocessing!Q907</f>
        <v>50000</v>
      </c>
      <c r="D907" t="str">
        <f>Data_preprocessing!R907</f>
        <v>Other</v>
      </c>
      <c r="E907" t="str">
        <f>Data_preprocessing!S907</f>
        <v>Sales</v>
      </c>
      <c r="F907" t="str">
        <f>Data_preprocessing!T907</f>
        <v>Assistant</v>
      </c>
      <c r="G907" s="2">
        <f>Data_preprocessing!U907</f>
        <v>43881</v>
      </c>
      <c r="H907" t="str">
        <f>Data_preprocessing!V907</f>
        <v>A</v>
      </c>
      <c r="I907" t="str">
        <f>Data_preprocessing!Y907</f>
        <v>email@example.com</v>
      </c>
      <c r="J907" t="str">
        <f>Data_preprocessing!Z907</f>
        <v>Phone not provided</v>
      </c>
      <c r="K907">
        <f t="shared" ca="1" si="42"/>
        <v>5</v>
      </c>
      <c r="L907" t="str">
        <f t="shared" si="43"/>
        <v>Low</v>
      </c>
      <c r="M907" t="str">
        <f t="shared" si="44"/>
        <v>Excellent</v>
      </c>
    </row>
    <row r="908" spans="1:13" x14ac:dyDescent="0.25">
      <c r="A908" t="str">
        <f>Data_preprocessing!M908</f>
        <v>Ivy</v>
      </c>
      <c r="B908">
        <f>Data_preprocessing!O908</f>
        <v>35</v>
      </c>
      <c r="C908">
        <f>Data_preprocessing!Q908</f>
        <v>55000</v>
      </c>
      <c r="D908" t="str">
        <f>Data_preprocessing!R908</f>
        <v>Male</v>
      </c>
      <c r="E908" t="str">
        <f>Data_preprocessing!S908</f>
        <v>Finance</v>
      </c>
      <c r="F908" t="str">
        <f>Data_preprocessing!T908</f>
        <v>Clerk</v>
      </c>
      <c r="G908" s="2">
        <f>Data_preprocessing!U908</f>
        <v>43881</v>
      </c>
      <c r="H908" t="str">
        <f>Data_preprocessing!V908</f>
        <v>F</v>
      </c>
      <c r="I908" t="str">
        <f>Data_preprocessing!Y908</f>
        <v>name@company.org</v>
      </c>
      <c r="J908" t="str">
        <f>Data_preprocessing!Z908</f>
        <v>Phone not provided</v>
      </c>
      <c r="K908">
        <f t="shared" ca="1" si="42"/>
        <v>5</v>
      </c>
      <c r="L908" t="str">
        <f t="shared" si="43"/>
        <v>Low</v>
      </c>
      <c r="M908" t="str">
        <f t="shared" si="44"/>
        <v>Poor</v>
      </c>
    </row>
    <row r="909" spans="1:13" x14ac:dyDescent="0.25">
      <c r="A909" t="str">
        <f>Data_preprocessing!M909</f>
        <v>Bob</v>
      </c>
      <c r="B909">
        <f>Data_preprocessing!O909</f>
        <v>50</v>
      </c>
      <c r="C909">
        <f>Data_preprocessing!Q909</f>
        <v>60000</v>
      </c>
      <c r="D909" t="str">
        <f>Data_preprocessing!R909</f>
        <v>Other</v>
      </c>
      <c r="E909" t="str">
        <f>Data_preprocessing!S909</f>
        <v>Finance</v>
      </c>
      <c r="F909" t="str">
        <f>Data_preprocessing!T909</f>
        <v>Manager</v>
      </c>
      <c r="G909" s="2">
        <f>Data_preprocessing!U909</f>
        <v>43195</v>
      </c>
      <c r="H909" t="str">
        <f>Data_preprocessing!V909</f>
        <v>B</v>
      </c>
      <c r="I909" t="str">
        <f>Data_preprocessing!Y909</f>
        <v>Email not provided</v>
      </c>
      <c r="J909" t="str">
        <f>Data_preprocessing!Z909</f>
        <v>Phone not provided</v>
      </c>
      <c r="K909">
        <f t="shared" ca="1" si="42"/>
        <v>7</v>
      </c>
      <c r="L909" t="str">
        <f t="shared" si="43"/>
        <v>Medium</v>
      </c>
      <c r="M909" t="str">
        <f t="shared" si="44"/>
        <v>Good</v>
      </c>
    </row>
    <row r="910" spans="1:13" x14ac:dyDescent="0.25">
      <c r="A910" t="str">
        <f>Data_preprocessing!M910</f>
        <v>Charlie</v>
      </c>
      <c r="B910">
        <f>Data_preprocessing!O910</f>
        <v>50</v>
      </c>
      <c r="C910">
        <f>Data_preprocessing!Q910</f>
        <v>60000</v>
      </c>
      <c r="D910" t="str">
        <f>Data_preprocessing!R910</f>
        <v>Male</v>
      </c>
      <c r="E910" t="str">
        <f>Data_preprocessing!S910</f>
        <v>Sales</v>
      </c>
      <c r="F910" t="str">
        <f>Data_preprocessing!T910</f>
        <v>Director</v>
      </c>
      <c r="G910" s="2">
        <f>Data_preprocessing!U910</f>
        <v>43881</v>
      </c>
      <c r="H910" t="str">
        <f>Data_preprocessing!V910</f>
        <v>C</v>
      </c>
      <c r="I910" t="str">
        <f>Data_preprocessing!Y910</f>
        <v>email@example.com</v>
      </c>
      <c r="J910" t="str">
        <f>Data_preprocessing!Z910</f>
        <v>098-765-4321</v>
      </c>
      <c r="K910">
        <f t="shared" ca="1" si="42"/>
        <v>5</v>
      </c>
      <c r="L910" t="str">
        <f t="shared" si="43"/>
        <v>Medium</v>
      </c>
      <c r="M910" t="str">
        <f t="shared" si="44"/>
        <v>Average</v>
      </c>
    </row>
    <row r="911" spans="1:13" x14ac:dyDescent="0.25">
      <c r="A911" t="str">
        <f>Data_preprocessing!M911</f>
        <v>Charlie</v>
      </c>
      <c r="B911">
        <f>Data_preprocessing!O911</f>
        <v>30</v>
      </c>
      <c r="C911">
        <f>Data_preprocessing!Q911</f>
        <v>60000</v>
      </c>
      <c r="D911" t="str">
        <f>Data_preprocessing!R911</f>
        <v>Other</v>
      </c>
      <c r="E911" t="str">
        <f>Data_preprocessing!S911</f>
        <v>HR</v>
      </c>
      <c r="F911" t="str">
        <f>Data_preprocessing!T911</f>
        <v>Assistant</v>
      </c>
      <c r="G911" s="2">
        <f>Data_preprocessing!U911</f>
        <v>43549</v>
      </c>
      <c r="H911" t="str">
        <f>Data_preprocessing!V911</f>
        <v>B</v>
      </c>
      <c r="I911" t="str">
        <f>Data_preprocessing!Y911</f>
        <v>name@company.org</v>
      </c>
      <c r="J911" t="str">
        <f>Data_preprocessing!Z911</f>
        <v>Phone not provided</v>
      </c>
      <c r="K911">
        <f t="shared" ca="1" si="42"/>
        <v>6</v>
      </c>
      <c r="L911" t="str">
        <f t="shared" si="43"/>
        <v>Medium</v>
      </c>
      <c r="M911" t="str">
        <f t="shared" si="44"/>
        <v>Good</v>
      </c>
    </row>
    <row r="912" spans="1:13" x14ac:dyDescent="0.25">
      <c r="A912" t="str">
        <f>Data_preprocessing!M912</f>
        <v>Alice</v>
      </c>
      <c r="B912">
        <f>Data_preprocessing!O912</f>
        <v>40</v>
      </c>
      <c r="C912">
        <f>Data_preprocessing!Q912</f>
        <v>55000</v>
      </c>
      <c r="D912" t="str">
        <f>Data_preprocessing!R912</f>
        <v>Male</v>
      </c>
      <c r="E912" t="str">
        <f>Data_preprocessing!S912</f>
        <v>Finance</v>
      </c>
      <c r="F912" t="str">
        <f>Data_preprocessing!T912</f>
        <v>Director</v>
      </c>
      <c r="G912" s="2">
        <f>Data_preprocessing!U912</f>
        <v>43195</v>
      </c>
      <c r="H912" t="str">
        <f>Data_preprocessing!V912</f>
        <v>B</v>
      </c>
      <c r="I912" t="str">
        <f>Data_preprocessing!Y912</f>
        <v>Email not provided</v>
      </c>
      <c r="J912" t="str">
        <f>Data_preprocessing!Z912</f>
        <v>123-456-7890</v>
      </c>
      <c r="K912">
        <f t="shared" ca="1" si="42"/>
        <v>7</v>
      </c>
      <c r="L912" t="str">
        <f t="shared" si="43"/>
        <v>Low</v>
      </c>
      <c r="M912" t="str">
        <f t="shared" si="44"/>
        <v>Good</v>
      </c>
    </row>
    <row r="913" spans="1:13" x14ac:dyDescent="0.25">
      <c r="A913" t="str">
        <f>Data_preprocessing!M913</f>
        <v>Hannah</v>
      </c>
      <c r="B913">
        <f>Data_preprocessing!O913</f>
        <v>30</v>
      </c>
      <c r="C913">
        <f>Data_preprocessing!Q913</f>
        <v>50000</v>
      </c>
      <c r="D913" t="str">
        <f>Data_preprocessing!R913</f>
        <v>Male</v>
      </c>
      <c r="E913" t="str">
        <f>Data_preprocessing!S913</f>
        <v>Finance</v>
      </c>
      <c r="F913" t="str">
        <f>Data_preprocessing!T913</f>
        <v>Manager</v>
      </c>
      <c r="G913" s="2">
        <f>Data_preprocessing!U913</f>
        <v>43195</v>
      </c>
      <c r="H913" t="str">
        <f>Data_preprocessing!V913</f>
        <v>C</v>
      </c>
      <c r="I913" t="str">
        <f>Data_preprocessing!Y913</f>
        <v>name@company.org</v>
      </c>
      <c r="J913" t="str">
        <f>Data_preprocessing!Z913</f>
        <v>123-456-7890</v>
      </c>
      <c r="K913">
        <f t="shared" ca="1" si="42"/>
        <v>7</v>
      </c>
      <c r="L913" t="str">
        <f t="shared" si="43"/>
        <v>Low</v>
      </c>
      <c r="M913" t="str">
        <f t="shared" si="44"/>
        <v>Average</v>
      </c>
    </row>
    <row r="914" spans="1:13" x14ac:dyDescent="0.25">
      <c r="A914" t="str">
        <f>Data_preprocessing!M914</f>
        <v>Frank</v>
      </c>
      <c r="B914">
        <f>Data_preprocessing!O914</f>
        <v>35</v>
      </c>
      <c r="C914">
        <f>Data_preprocessing!Q914</f>
        <v>55000</v>
      </c>
      <c r="D914" t="str">
        <f>Data_preprocessing!R914</f>
        <v>Female</v>
      </c>
      <c r="E914" t="str">
        <f>Data_preprocessing!S914</f>
        <v>Marketing</v>
      </c>
      <c r="F914" t="str">
        <f>Data_preprocessing!T914</f>
        <v>Clerk</v>
      </c>
      <c r="G914" s="2">
        <f>Data_preprocessing!U914</f>
        <v>43881</v>
      </c>
      <c r="H914" t="str">
        <f>Data_preprocessing!V914</f>
        <v>C</v>
      </c>
      <c r="I914" t="str">
        <f>Data_preprocessing!Y914</f>
        <v>Email not provided</v>
      </c>
      <c r="J914" t="str">
        <f>Data_preprocessing!Z914</f>
        <v>Phone not provided</v>
      </c>
      <c r="K914">
        <f t="shared" ca="1" si="42"/>
        <v>5</v>
      </c>
      <c r="L914" t="str">
        <f t="shared" si="43"/>
        <v>Low</v>
      </c>
      <c r="M914" t="str">
        <f t="shared" si="44"/>
        <v>Average</v>
      </c>
    </row>
    <row r="915" spans="1:13" x14ac:dyDescent="0.25">
      <c r="A915" t="str">
        <f>Data_preprocessing!M915</f>
        <v>Hannah</v>
      </c>
      <c r="B915">
        <f>Data_preprocessing!O915</f>
        <v>50</v>
      </c>
      <c r="C915">
        <f>Data_preprocessing!Q915</f>
        <v>70000</v>
      </c>
      <c r="D915" t="str">
        <f>Data_preprocessing!R915</f>
        <v>Other</v>
      </c>
      <c r="E915" t="str">
        <f>Data_preprocessing!S915</f>
        <v>Sales</v>
      </c>
      <c r="F915" t="str">
        <f>Data_preprocessing!T915</f>
        <v>Director</v>
      </c>
      <c r="G915" s="2">
        <f>Data_preprocessing!U915</f>
        <v>43800</v>
      </c>
      <c r="H915" t="str">
        <f>Data_preprocessing!V915</f>
        <v>B</v>
      </c>
      <c r="I915" t="str">
        <f>Data_preprocessing!Y915</f>
        <v>Email not provided</v>
      </c>
      <c r="J915" t="str">
        <f>Data_preprocessing!Z915</f>
        <v>098-765-4321</v>
      </c>
      <c r="K915">
        <f t="shared" ca="1" si="42"/>
        <v>6</v>
      </c>
      <c r="L915" t="str">
        <f t="shared" si="43"/>
        <v>High</v>
      </c>
      <c r="M915" t="str">
        <f t="shared" si="44"/>
        <v>Good</v>
      </c>
    </row>
    <row r="916" spans="1:13" x14ac:dyDescent="0.25">
      <c r="A916" t="str">
        <f>Data_preprocessing!M916</f>
        <v>Ivy</v>
      </c>
      <c r="B916">
        <f>Data_preprocessing!O916</f>
        <v>25</v>
      </c>
      <c r="C916">
        <f>Data_preprocessing!Q916</f>
        <v>70000</v>
      </c>
      <c r="D916" t="str">
        <f>Data_preprocessing!R916</f>
        <v>Other</v>
      </c>
      <c r="E916" t="str">
        <f>Data_preprocessing!S916</f>
        <v>IT</v>
      </c>
      <c r="F916" t="str">
        <f>Data_preprocessing!T916</f>
        <v>Analyst</v>
      </c>
      <c r="G916" s="2">
        <f>Data_preprocessing!U916</f>
        <v>43800</v>
      </c>
      <c r="H916" t="str">
        <f>Data_preprocessing!V916</f>
        <v>C</v>
      </c>
      <c r="I916" t="str">
        <f>Data_preprocessing!Y916</f>
        <v>email@example.com</v>
      </c>
      <c r="J916" t="str">
        <f>Data_preprocessing!Z916</f>
        <v>098-765-4321</v>
      </c>
      <c r="K916">
        <f t="shared" ca="1" si="42"/>
        <v>6</v>
      </c>
      <c r="L916" t="str">
        <f t="shared" si="43"/>
        <v>High</v>
      </c>
      <c r="M916" t="str">
        <f t="shared" si="44"/>
        <v>Average</v>
      </c>
    </row>
    <row r="917" spans="1:13" x14ac:dyDescent="0.25">
      <c r="A917" t="str">
        <f>Data_preprocessing!M917</f>
        <v>Eve</v>
      </c>
      <c r="B917">
        <f>Data_preprocessing!O917</f>
        <v>25</v>
      </c>
      <c r="C917">
        <f>Data_preprocessing!Q917</f>
        <v>55000</v>
      </c>
      <c r="D917" t="str">
        <f>Data_preprocessing!R917</f>
        <v>Male</v>
      </c>
      <c r="E917" t="str">
        <f>Data_preprocessing!S917</f>
        <v>HR</v>
      </c>
      <c r="F917" t="str">
        <f>Data_preprocessing!T917</f>
        <v>Assistant</v>
      </c>
      <c r="G917" s="2">
        <f>Data_preprocessing!U917</f>
        <v>43195</v>
      </c>
      <c r="H917" t="str">
        <f>Data_preprocessing!V917</f>
        <v>A</v>
      </c>
      <c r="I917" t="str">
        <f>Data_preprocessing!Y917</f>
        <v>user@domain.com</v>
      </c>
      <c r="J917" t="str">
        <f>Data_preprocessing!Z917</f>
        <v>098-765-4321</v>
      </c>
      <c r="K917">
        <f t="shared" ca="1" si="42"/>
        <v>7</v>
      </c>
      <c r="L917" t="str">
        <f t="shared" si="43"/>
        <v>Low</v>
      </c>
      <c r="M917" t="str">
        <f t="shared" si="44"/>
        <v>Excellent</v>
      </c>
    </row>
    <row r="918" spans="1:13" x14ac:dyDescent="0.25">
      <c r="A918" t="str">
        <f>Data_preprocessing!M918</f>
        <v>Charlie</v>
      </c>
      <c r="B918">
        <f>Data_preprocessing!O918</f>
        <v>40</v>
      </c>
      <c r="C918">
        <f>Data_preprocessing!Q918</f>
        <v>60000</v>
      </c>
      <c r="D918" t="str">
        <f>Data_preprocessing!R918</f>
        <v>Male</v>
      </c>
      <c r="E918" t="str">
        <f>Data_preprocessing!S918</f>
        <v>HR</v>
      </c>
      <c r="F918" t="str">
        <f>Data_preprocessing!T918</f>
        <v>Director</v>
      </c>
      <c r="G918" s="2">
        <f>Data_preprocessing!U918</f>
        <v>43881</v>
      </c>
      <c r="H918" t="str">
        <f>Data_preprocessing!V918</f>
        <v>C</v>
      </c>
      <c r="I918" t="str">
        <f>Data_preprocessing!Y918</f>
        <v>Email not provided</v>
      </c>
      <c r="J918" t="str">
        <f>Data_preprocessing!Z918</f>
        <v>123-456-7890</v>
      </c>
      <c r="K918">
        <f t="shared" ca="1" si="42"/>
        <v>5</v>
      </c>
      <c r="L918" t="str">
        <f t="shared" si="43"/>
        <v>Medium</v>
      </c>
      <c r="M918" t="str">
        <f t="shared" si="44"/>
        <v>Average</v>
      </c>
    </row>
    <row r="919" spans="1:13" x14ac:dyDescent="0.25">
      <c r="A919" t="str">
        <f>Data_preprocessing!M919</f>
        <v>Eve</v>
      </c>
      <c r="B919">
        <f>Data_preprocessing!O919</f>
        <v>35</v>
      </c>
      <c r="C919">
        <f>Data_preprocessing!Q919</f>
        <v>50000</v>
      </c>
      <c r="D919" t="str">
        <f>Data_preprocessing!R919</f>
        <v>Male</v>
      </c>
      <c r="E919" t="str">
        <f>Data_preprocessing!S919</f>
        <v>Sales</v>
      </c>
      <c r="F919" t="str">
        <f>Data_preprocessing!T919</f>
        <v>Assistant</v>
      </c>
      <c r="G919" s="2">
        <f>Data_preprocessing!U919</f>
        <v>43800</v>
      </c>
      <c r="H919" t="str">
        <f>Data_preprocessing!V919</f>
        <v>C</v>
      </c>
      <c r="I919" t="str">
        <f>Data_preprocessing!Y919</f>
        <v>Email not provided</v>
      </c>
      <c r="J919" t="str">
        <f>Data_preprocessing!Z919</f>
        <v>Phone not provided</v>
      </c>
      <c r="K919">
        <f t="shared" ca="1" si="42"/>
        <v>6</v>
      </c>
      <c r="L919" t="str">
        <f t="shared" si="43"/>
        <v>Low</v>
      </c>
      <c r="M919" t="str">
        <f t="shared" si="44"/>
        <v>Average</v>
      </c>
    </row>
    <row r="920" spans="1:13" x14ac:dyDescent="0.25">
      <c r="A920" t="str">
        <f>Data_preprocessing!M920</f>
        <v>Eve</v>
      </c>
      <c r="B920">
        <f>Data_preprocessing!O920</f>
        <v>35</v>
      </c>
      <c r="C920">
        <f>Data_preprocessing!Q920</f>
        <v>55000</v>
      </c>
      <c r="D920" t="str">
        <f>Data_preprocessing!R920</f>
        <v>Female</v>
      </c>
      <c r="E920" t="str">
        <f>Data_preprocessing!S920</f>
        <v>Marketing</v>
      </c>
      <c r="F920" t="str">
        <f>Data_preprocessing!T920</f>
        <v>Analyst</v>
      </c>
      <c r="G920" s="2">
        <f>Data_preprocessing!U920</f>
        <v>43881</v>
      </c>
      <c r="H920" t="str">
        <f>Data_preprocessing!V920</f>
        <v>B</v>
      </c>
      <c r="I920" t="str">
        <f>Data_preprocessing!Y920</f>
        <v>email@example.com</v>
      </c>
      <c r="J920" t="str">
        <f>Data_preprocessing!Z920</f>
        <v>098-765-4321</v>
      </c>
      <c r="K920">
        <f t="shared" ca="1" si="42"/>
        <v>5</v>
      </c>
      <c r="L920" t="str">
        <f t="shared" si="43"/>
        <v>Low</v>
      </c>
      <c r="M920" t="str">
        <f t="shared" si="44"/>
        <v>Good</v>
      </c>
    </row>
    <row r="921" spans="1:13" x14ac:dyDescent="0.25">
      <c r="A921" t="str">
        <f>Data_preprocessing!M921</f>
        <v>Eve</v>
      </c>
      <c r="B921">
        <f>Data_preprocessing!O921</f>
        <v>35</v>
      </c>
      <c r="C921">
        <f>Data_preprocessing!Q921</f>
        <v>55000</v>
      </c>
      <c r="D921" t="str">
        <f>Data_preprocessing!R921</f>
        <v>Female</v>
      </c>
      <c r="E921" t="str">
        <f>Data_preprocessing!S921</f>
        <v>Marketing</v>
      </c>
      <c r="F921" t="str">
        <f>Data_preprocessing!T921</f>
        <v>Clerk</v>
      </c>
      <c r="G921" s="2">
        <f>Data_preprocessing!U921</f>
        <v>43881</v>
      </c>
      <c r="H921" t="str">
        <f>Data_preprocessing!V921</f>
        <v>A</v>
      </c>
      <c r="I921" t="str">
        <f>Data_preprocessing!Y921</f>
        <v>user@domain.com</v>
      </c>
      <c r="J921" t="str">
        <f>Data_preprocessing!Z921</f>
        <v>123-456-7890</v>
      </c>
      <c r="K921">
        <f t="shared" ca="1" si="42"/>
        <v>5</v>
      </c>
      <c r="L921" t="str">
        <f t="shared" si="43"/>
        <v>Low</v>
      </c>
      <c r="M921" t="str">
        <f t="shared" si="44"/>
        <v>Excellent</v>
      </c>
    </row>
    <row r="922" spans="1:13" x14ac:dyDescent="0.25">
      <c r="A922" t="str">
        <f>Data_preprocessing!M922</f>
        <v>Charlie</v>
      </c>
      <c r="B922">
        <f>Data_preprocessing!O922</f>
        <v>25</v>
      </c>
      <c r="C922">
        <f>Data_preprocessing!Q922</f>
        <v>55000</v>
      </c>
      <c r="D922" t="str">
        <f>Data_preprocessing!R922</f>
        <v>Male</v>
      </c>
      <c r="E922" t="str">
        <f>Data_preprocessing!S922</f>
        <v>Sales</v>
      </c>
      <c r="F922" t="str">
        <f>Data_preprocessing!T922</f>
        <v>Clerk</v>
      </c>
      <c r="G922" s="2">
        <f>Data_preprocessing!U922</f>
        <v>43195</v>
      </c>
      <c r="H922" t="str">
        <f>Data_preprocessing!V922</f>
        <v>D</v>
      </c>
      <c r="I922" t="str">
        <f>Data_preprocessing!Y922</f>
        <v>Email not provided</v>
      </c>
      <c r="J922" t="str">
        <f>Data_preprocessing!Z922</f>
        <v>123-456-7890</v>
      </c>
      <c r="K922">
        <f t="shared" ca="1" si="42"/>
        <v>7</v>
      </c>
      <c r="L922" t="str">
        <f t="shared" si="43"/>
        <v>Low</v>
      </c>
      <c r="M922" t="str">
        <f t="shared" si="44"/>
        <v>Below Average</v>
      </c>
    </row>
    <row r="923" spans="1:13" x14ac:dyDescent="0.25">
      <c r="A923" t="str">
        <f>Data_preprocessing!M923</f>
        <v>Jack</v>
      </c>
      <c r="B923">
        <f>Data_preprocessing!O923</f>
        <v>25</v>
      </c>
      <c r="C923">
        <f>Data_preprocessing!Q923</f>
        <v>60000</v>
      </c>
      <c r="D923" t="str">
        <f>Data_preprocessing!R923</f>
        <v>Other</v>
      </c>
      <c r="E923" t="str">
        <f>Data_preprocessing!S923</f>
        <v>Marketing</v>
      </c>
      <c r="F923" t="str">
        <f>Data_preprocessing!T923</f>
        <v>Analyst</v>
      </c>
      <c r="G923" s="2">
        <f>Data_preprocessing!U923</f>
        <v>43195</v>
      </c>
      <c r="H923" t="str">
        <f>Data_preprocessing!V923</f>
        <v>D</v>
      </c>
      <c r="I923" t="str">
        <f>Data_preprocessing!Y923</f>
        <v>Email not provided</v>
      </c>
      <c r="J923" t="str">
        <f>Data_preprocessing!Z923</f>
        <v>Phone not provided</v>
      </c>
      <c r="K923">
        <f t="shared" ca="1" si="42"/>
        <v>7</v>
      </c>
      <c r="L923" t="str">
        <f t="shared" si="43"/>
        <v>Medium</v>
      </c>
      <c r="M923" t="str">
        <f t="shared" si="44"/>
        <v>Below Average</v>
      </c>
    </row>
    <row r="924" spans="1:13" x14ac:dyDescent="0.25">
      <c r="A924" t="str">
        <f>Data_preprocessing!M924</f>
        <v>David</v>
      </c>
      <c r="B924">
        <f>Data_preprocessing!O924</f>
        <v>50</v>
      </c>
      <c r="C924">
        <f>Data_preprocessing!Q924</f>
        <v>70000</v>
      </c>
      <c r="D924" t="str">
        <f>Data_preprocessing!R924</f>
        <v>Other</v>
      </c>
      <c r="E924" t="str">
        <f>Data_preprocessing!S924</f>
        <v>HR</v>
      </c>
      <c r="F924" t="str">
        <f>Data_preprocessing!T924</f>
        <v>Assistant</v>
      </c>
      <c r="G924" s="2">
        <f>Data_preprocessing!U924</f>
        <v>43845</v>
      </c>
      <c r="H924" t="str">
        <f>Data_preprocessing!V924</f>
        <v>F</v>
      </c>
      <c r="I924" t="str">
        <f>Data_preprocessing!Y924</f>
        <v>user@domain.com</v>
      </c>
      <c r="J924" t="str">
        <f>Data_preprocessing!Z924</f>
        <v>Phone not provided</v>
      </c>
      <c r="K924">
        <f t="shared" ca="1" si="42"/>
        <v>6</v>
      </c>
      <c r="L924" t="str">
        <f t="shared" si="43"/>
        <v>High</v>
      </c>
      <c r="M924" t="str">
        <f t="shared" si="44"/>
        <v>Poor</v>
      </c>
    </row>
    <row r="925" spans="1:13" x14ac:dyDescent="0.25">
      <c r="A925" t="str">
        <f>Data_preprocessing!M925</f>
        <v>Ivy</v>
      </c>
      <c r="B925">
        <f>Data_preprocessing!O925</f>
        <v>35</v>
      </c>
      <c r="C925">
        <f>Data_preprocessing!Q925</f>
        <v>60000</v>
      </c>
      <c r="D925" t="str">
        <f>Data_preprocessing!R925</f>
        <v>Female</v>
      </c>
      <c r="E925" t="str">
        <f>Data_preprocessing!S925</f>
        <v>HR</v>
      </c>
      <c r="F925" t="str">
        <f>Data_preprocessing!T925</f>
        <v>Director</v>
      </c>
      <c r="G925" s="2">
        <f>Data_preprocessing!U925</f>
        <v>43800</v>
      </c>
      <c r="H925" t="str">
        <f>Data_preprocessing!V925</f>
        <v>C</v>
      </c>
      <c r="I925" t="str">
        <f>Data_preprocessing!Y925</f>
        <v>name@company.org</v>
      </c>
      <c r="J925" t="str">
        <f>Data_preprocessing!Z925</f>
        <v>Phone not provided</v>
      </c>
      <c r="K925">
        <f t="shared" ca="1" si="42"/>
        <v>6</v>
      </c>
      <c r="L925" t="str">
        <f t="shared" si="43"/>
        <v>Medium</v>
      </c>
      <c r="M925" t="str">
        <f t="shared" si="44"/>
        <v>Average</v>
      </c>
    </row>
    <row r="926" spans="1:13" x14ac:dyDescent="0.25">
      <c r="A926" t="str">
        <f>Data_preprocessing!M926</f>
        <v>Jack</v>
      </c>
      <c r="B926">
        <f>Data_preprocessing!O926</f>
        <v>35</v>
      </c>
      <c r="C926">
        <f>Data_preprocessing!Q926</f>
        <v>65000</v>
      </c>
      <c r="D926" t="str">
        <f>Data_preprocessing!R926</f>
        <v>Female</v>
      </c>
      <c r="E926" t="str">
        <f>Data_preprocessing!S926</f>
        <v>IT</v>
      </c>
      <c r="F926" t="str">
        <f>Data_preprocessing!T926</f>
        <v>Analyst</v>
      </c>
      <c r="G926" s="2">
        <f>Data_preprocessing!U926</f>
        <v>43800</v>
      </c>
      <c r="H926" t="str">
        <f>Data_preprocessing!V926</f>
        <v>C</v>
      </c>
      <c r="I926" t="str">
        <f>Data_preprocessing!Y926</f>
        <v>email@example.com</v>
      </c>
      <c r="J926" t="str">
        <f>Data_preprocessing!Z926</f>
        <v>098-765-4321</v>
      </c>
      <c r="K926">
        <f t="shared" ca="1" si="42"/>
        <v>6</v>
      </c>
      <c r="L926" t="str">
        <f t="shared" si="43"/>
        <v>High</v>
      </c>
      <c r="M926" t="str">
        <f t="shared" si="44"/>
        <v>Average</v>
      </c>
    </row>
    <row r="927" spans="1:13" x14ac:dyDescent="0.25">
      <c r="A927" t="str">
        <f>Data_preprocessing!M927</f>
        <v>Ivy</v>
      </c>
      <c r="B927">
        <f>Data_preprocessing!O927</f>
        <v>25</v>
      </c>
      <c r="C927">
        <f>Data_preprocessing!Q927</f>
        <v>60000</v>
      </c>
      <c r="D927" t="str">
        <f>Data_preprocessing!R927</f>
        <v>Male</v>
      </c>
      <c r="E927" t="str">
        <f>Data_preprocessing!S927</f>
        <v>Sales</v>
      </c>
      <c r="F927" t="str">
        <f>Data_preprocessing!T927</f>
        <v>Manager</v>
      </c>
      <c r="G927" s="2">
        <f>Data_preprocessing!U927</f>
        <v>43800</v>
      </c>
      <c r="H927" t="str">
        <f>Data_preprocessing!V927</f>
        <v>A</v>
      </c>
      <c r="I927" t="str">
        <f>Data_preprocessing!Y927</f>
        <v>user@domain.com</v>
      </c>
      <c r="J927" t="str">
        <f>Data_preprocessing!Z927</f>
        <v>098-765-4321</v>
      </c>
      <c r="K927">
        <f t="shared" ca="1" si="42"/>
        <v>6</v>
      </c>
      <c r="L927" t="str">
        <f t="shared" si="43"/>
        <v>Medium</v>
      </c>
      <c r="M927" t="str">
        <f t="shared" si="44"/>
        <v>Excellent</v>
      </c>
    </row>
    <row r="928" spans="1:13" x14ac:dyDescent="0.25">
      <c r="A928" t="str">
        <f>Data_preprocessing!M928</f>
        <v>Bob</v>
      </c>
      <c r="B928">
        <f>Data_preprocessing!O928</f>
        <v>35</v>
      </c>
      <c r="C928">
        <f>Data_preprocessing!Q928</f>
        <v>65000</v>
      </c>
      <c r="D928" t="str">
        <f>Data_preprocessing!R928</f>
        <v>Other</v>
      </c>
      <c r="E928" t="str">
        <f>Data_preprocessing!S928</f>
        <v>Finance</v>
      </c>
      <c r="F928" t="str">
        <f>Data_preprocessing!T928</f>
        <v>Assistant</v>
      </c>
      <c r="G928" s="2">
        <f>Data_preprocessing!U928</f>
        <v>43549</v>
      </c>
      <c r="H928" t="str">
        <f>Data_preprocessing!V928</f>
        <v>D</v>
      </c>
      <c r="I928" t="str">
        <f>Data_preprocessing!Y928</f>
        <v>Email not provided</v>
      </c>
      <c r="J928" t="str">
        <f>Data_preprocessing!Z928</f>
        <v>Phone not provided</v>
      </c>
      <c r="K928">
        <f t="shared" ca="1" si="42"/>
        <v>6</v>
      </c>
      <c r="L928" t="str">
        <f t="shared" si="43"/>
        <v>High</v>
      </c>
      <c r="M928" t="str">
        <f t="shared" si="44"/>
        <v>Below Average</v>
      </c>
    </row>
    <row r="929" spans="1:13" x14ac:dyDescent="0.25">
      <c r="A929" t="str">
        <f>Data_preprocessing!M929</f>
        <v>Hannah</v>
      </c>
      <c r="B929">
        <f>Data_preprocessing!O929</f>
        <v>40</v>
      </c>
      <c r="C929">
        <f>Data_preprocessing!Q929</f>
        <v>60000</v>
      </c>
      <c r="D929" t="str">
        <f>Data_preprocessing!R929</f>
        <v>Male</v>
      </c>
      <c r="E929" t="str">
        <f>Data_preprocessing!S929</f>
        <v>Finance</v>
      </c>
      <c r="F929" t="str">
        <f>Data_preprocessing!T929</f>
        <v>Clerk</v>
      </c>
      <c r="G929" s="2">
        <f>Data_preprocessing!U929</f>
        <v>43881</v>
      </c>
      <c r="H929" t="str">
        <f>Data_preprocessing!V929</f>
        <v>F</v>
      </c>
      <c r="I929" t="str">
        <f>Data_preprocessing!Y929</f>
        <v>Email not provided</v>
      </c>
      <c r="J929" t="str">
        <f>Data_preprocessing!Z929</f>
        <v>098-765-4321</v>
      </c>
      <c r="K929">
        <f t="shared" ca="1" si="42"/>
        <v>5</v>
      </c>
      <c r="L929" t="str">
        <f t="shared" si="43"/>
        <v>Medium</v>
      </c>
      <c r="M929" t="str">
        <f t="shared" si="44"/>
        <v>Poor</v>
      </c>
    </row>
    <row r="930" spans="1:13" x14ac:dyDescent="0.25">
      <c r="A930" t="str">
        <f>Data_preprocessing!M930</f>
        <v>Hannah</v>
      </c>
      <c r="B930">
        <f>Data_preprocessing!O930</f>
        <v>40</v>
      </c>
      <c r="C930">
        <f>Data_preprocessing!Q930</f>
        <v>55000</v>
      </c>
      <c r="D930" t="str">
        <f>Data_preprocessing!R930</f>
        <v>Female</v>
      </c>
      <c r="E930" t="str">
        <f>Data_preprocessing!S930</f>
        <v>IT</v>
      </c>
      <c r="F930" t="str">
        <f>Data_preprocessing!T930</f>
        <v>Analyst</v>
      </c>
      <c r="G930" s="2">
        <f>Data_preprocessing!U930</f>
        <v>43195</v>
      </c>
      <c r="H930" t="str">
        <f>Data_preprocessing!V930</f>
        <v>A</v>
      </c>
      <c r="I930" t="str">
        <f>Data_preprocessing!Y930</f>
        <v>Email not provided</v>
      </c>
      <c r="J930" t="str">
        <f>Data_preprocessing!Z930</f>
        <v>Phone not provided</v>
      </c>
      <c r="K930">
        <f t="shared" ca="1" si="42"/>
        <v>7</v>
      </c>
      <c r="L930" t="str">
        <f t="shared" si="43"/>
        <v>Low</v>
      </c>
      <c r="M930" t="str">
        <f t="shared" si="44"/>
        <v>Excellent</v>
      </c>
    </row>
    <row r="931" spans="1:13" x14ac:dyDescent="0.25">
      <c r="A931" t="str">
        <f>Data_preprocessing!M931</f>
        <v>Grace</v>
      </c>
      <c r="B931">
        <f>Data_preprocessing!O931</f>
        <v>35</v>
      </c>
      <c r="C931">
        <f>Data_preprocessing!Q931</f>
        <v>60000</v>
      </c>
      <c r="D931" t="str">
        <f>Data_preprocessing!R931</f>
        <v>Other</v>
      </c>
      <c r="E931" t="str">
        <f>Data_preprocessing!S931</f>
        <v>IT</v>
      </c>
      <c r="F931" t="str">
        <f>Data_preprocessing!T931</f>
        <v>Clerk</v>
      </c>
      <c r="G931" s="2">
        <f>Data_preprocessing!U931</f>
        <v>43800</v>
      </c>
      <c r="H931" t="str">
        <f>Data_preprocessing!V931</f>
        <v>C</v>
      </c>
      <c r="I931" t="str">
        <f>Data_preprocessing!Y931</f>
        <v>Email not provided</v>
      </c>
      <c r="J931" t="str">
        <f>Data_preprocessing!Z931</f>
        <v>123-456-7890</v>
      </c>
      <c r="K931">
        <f t="shared" ca="1" si="42"/>
        <v>6</v>
      </c>
      <c r="L931" t="str">
        <f t="shared" si="43"/>
        <v>Medium</v>
      </c>
      <c r="M931" t="str">
        <f t="shared" si="44"/>
        <v>Average</v>
      </c>
    </row>
    <row r="932" spans="1:13" x14ac:dyDescent="0.25">
      <c r="A932" t="str">
        <f>Data_preprocessing!M932</f>
        <v>Hannah</v>
      </c>
      <c r="B932">
        <f>Data_preprocessing!O932</f>
        <v>40</v>
      </c>
      <c r="C932">
        <f>Data_preprocessing!Q932</f>
        <v>60000</v>
      </c>
      <c r="D932" t="str">
        <f>Data_preprocessing!R932</f>
        <v>Other</v>
      </c>
      <c r="E932" t="str">
        <f>Data_preprocessing!S932</f>
        <v>Marketing</v>
      </c>
      <c r="F932" t="str">
        <f>Data_preprocessing!T932</f>
        <v>Assistant</v>
      </c>
      <c r="G932" s="2">
        <f>Data_preprocessing!U932</f>
        <v>43845</v>
      </c>
      <c r="H932" t="str">
        <f>Data_preprocessing!V932</f>
        <v>D</v>
      </c>
      <c r="I932" t="str">
        <f>Data_preprocessing!Y932</f>
        <v>email@example.com</v>
      </c>
      <c r="J932" t="str">
        <f>Data_preprocessing!Z932</f>
        <v>098-765-4321</v>
      </c>
      <c r="K932">
        <f t="shared" ca="1" si="42"/>
        <v>6</v>
      </c>
      <c r="L932" t="str">
        <f t="shared" si="43"/>
        <v>Medium</v>
      </c>
      <c r="M932" t="str">
        <f t="shared" si="44"/>
        <v>Below Average</v>
      </c>
    </row>
    <row r="933" spans="1:13" x14ac:dyDescent="0.25">
      <c r="A933" t="str">
        <f>Data_preprocessing!M933</f>
        <v>Charlie</v>
      </c>
      <c r="B933">
        <f>Data_preprocessing!O933</f>
        <v>25</v>
      </c>
      <c r="C933">
        <f>Data_preprocessing!Q933</f>
        <v>50000</v>
      </c>
      <c r="D933" t="str">
        <f>Data_preprocessing!R933</f>
        <v>Female</v>
      </c>
      <c r="E933" t="str">
        <f>Data_preprocessing!S933</f>
        <v>IT</v>
      </c>
      <c r="F933" t="str">
        <f>Data_preprocessing!T933</f>
        <v>Clerk</v>
      </c>
      <c r="G933" s="2">
        <f>Data_preprocessing!U933</f>
        <v>43800</v>
      </c>
      <c r="H933" t="str">
        <f>Data_preprocessing!V933</f>
        <v>F</v>
      </c>
      <c r="I933" t="str">
        <f>Data_preprocessing!Y933</f>
        <v>Email not provided</v>
      </c>
      <c r="J933" t="str">
        <f>Data_preprocessing!Z933</f>
        <v>123-456-7890</v>
      </c>
      <c r="K933">
        <f t="shared" ca="1" si="42"/>
        <v>6</v>
      </c>
      <c r="L933" t="str">
        <f t="shared" si="43"/>
        <v>Low</v>
      </c>
      <c r="M933" t="str">
        <f t="shared" si="44"/>
        <v>Poor</v>
      </c>
    </row>
    <row r="934" spans="1:13" x14ac:dyDescent="0.25">
      <c r="A934" t="str">
        <f>Data_preprocessing!M934</f>
        <v>Frank</v>
      </c>
      <c r="B934">
        <f>Data_preprocessing!O934</f>
        <v>25</v>
      </c>
      <c r="C934">
        <f>Data_preprocessing!Q934</f>
        <v>70000</v>
      </c>
      <c r="D934" t="str">
        <f>Data_preprocessing!R934</f>
        <v>Male</v>
      </c>
      <c r="E934" t="str">
        <f>Data_preprocessing!S934</f>
        <v>IT</v>
      </c>
      <c r="F934" t="str">
        <f>Data_preprocessing!T934</f>
        <v>Analyst</v>
      </c>
      <c r="G934" s="2">
        <f>Data_preprocessing!U934</f>
        <v>43881</v>
      </c>
      <c r="H934" t="str">
        <f>Data_preprocessing!V934</f>
        <v>B</v>
      </c>
      <c r="I934" t="str">
        <f>Data_preprocessing!Y934</f>
        <v>user@domain.com</v>
      </c>
      <c r="J934" t="str">
        <f>Data_preprocessing!Z934</f>
        <v>555-555-5555</v>
      </c>
      <c r="K934">
        <f t="shared" ca="1" si="42"/>
        <v>5</v>
      </c>
      <c r="L934" t="str">
        <f t="shared" si="43"/>
        <v>High</v>
      </c>
      <c r="M934" t="str">
        <f t="shared" si="44"/>
        <v>Good</v>
      </c>
    </row>
    <row r="935" spans="1:13" x14ac:dyDescent="0.25">
      <c r="A935" t="str">
        <f>Data_preprocessing!M935</f>
        <v>Alice</v>
      </c>
      <c r="B935">
        <f>Data_preprocessing!O935</f>
        <v>35</v>
      </c>
      <c r="C935">
        <f>Data_preprocessing!Q935</f>
        <v>65000</v>
      </c>
      <c r="D935" t="str">
        <f>Data_preprocessing!R935</f>
        <v>Male</v>
      </c>
      <c r="E935" t="str">
        <f>Data_preprocessing!S935</f>
        <v>Finance</v>
      </c>
      <c r="F935" t="str">
        <f>Data_preprocessing!T935</f>
        <v>Assistant</v>
      </c>
      <c r="G935" s="2">
        <f>Data_preprocessing!U935</f>
        <v>43881</v>
      </c>
      <c r="H935" t="str">
        <f>Data_preprocessing!V935</f>
        <v>D</v>
      </c>
      <c r="I935" t="str">
        <f>Data_preprocessing!Y935</f>
        <v>Email not provided</v>
      </c>
      <c r="J935" t="str">
        <f>Data_preprocessing!Z935</f>
        <v>Phone not provided</v>
      </c>
      <c r="K935">
        <f t="shared" ca="1" si="42"/>
        <v>5</v>
      </c>
      <c r="L935" t="str">
        <f t="shared" si="43"/>
        <v>High</v>
      </c>
      <c r="M935" t="str">
        <f t="shared" si="44"/>
        <v>Below Average</v>
      </c>
    </row>
    <row r="936" spans="1:13" x14ac:dyDescent="0.25">
      <c r="A936" t="str">
        <f>Data_preprocessing!M936</f>
        <v>Grace</v>
      </c>
      <c r="B936">
        <f>Data_preprocessing!O936</f>
        <v>35</v>
      </c>
      <c r="C936">
        <f>Data_preprocessing!Q936</f>
        <v>55000</v>
      </c>
      <c r="D936" t="str">
        <f>Data_preprocessing!R936</f>
        <v>Other</v>
      </c>
      <c r="E936" t="str">
        <f>Data_preprocessing!S936</f>
        <v>Marketing</v>
      </c>
      <c r="F936" t="str">
        <f>Data_preprocessing!T936</f>
        <v>Manager</v>
      </c>
      <c r="G936" s="2">
        <f>Data_preprocessing!U936</f>
        <v>43195</v>
      </c>
      <c r="H936" t="str">
        <f>Data_preprocessing!V936</f>
        <v>F</v>
      </c>
      <c r="I936" t="str">
        <f>Data_preprocessing!Y936</f>
        <v>name@company.org</v>
      </c>
      <c r="J936" t="str">
        <f>Data_preprocessing!Z936</f>
        <v>555-555-5555</v>
      </c>
      <c r="K936">
        <f t="shared" ca="1" si="42"/>
        <v>7</v>
      </c>
      <c r="L936" t="str">
        <f t="shared" si="43"/>
        <v>Low</v>
      </c>
      <c r="M936" t="str">
        <f t="shared" si="44"/>
        <v>Poor</v>
      </c>
    </row>
    <row r="937" spans="1:13" x14ac:dyDescent="0.25">
      <c r="A937" t="str">
        <f>Data_preprocessing!M937</f>
        <v>Alice</v>
      </c>
      <c r="B937">
        <f>Data_preprocessing!O937</f>
        <v>50</v>
      </c>
      <c r="C937">
        <f>Data_preprocessing!Q937</f>
        <v>65000</v>
      </c>
      <c r="D937" t="str">
        <f>Data_preprocessing!R937</f>
        <v>Female</v>
      </c>
      <c r="E937" t="str">
        <f>Data_preprocessing!S937</f>
        <v>IT</v>
      </c>
      <c r="F937" t="str">
        <f>Data_preprocessing!T937</f>
        <v>Analyst</v>
      </c>
      <c r="G937" s="2">
        <f>Data_preprocessing!U937</f>
        <v>43549</v>
      </c>
      <c r="H937" t="str">
        <f>Data_preprocessing!V937</f>
        <v>A</v>
      </c>
      <c r="I937" t="str">
        <f>Data_preprocessing!Y937</f>
        <v>user@domain.com</v>
      </c>
      <c r="J937" t="str">
        <f>Data_preprocessing!Z937</f>
        <v>098-765-4321</v>
      </c>
      <c r="K937">
        <f t="shared" ca="1" si="42"/>
        <v>6</v>
      </c>
      <c r="L937" t="str">
        <f t="shared" si="43"/>
        <v>High</v>
      </c>
      <c r="M937" t="str">
        <f t="shared" si="44"/>
        <v>Excellent</v>
      </c>
    </row>
    <row r="938" spans="1:13" x14ac:dyDescent="0.25">
      <c r="A938" t="str">
        <f>Data_preprocessing!M938</f>
        <v>Ivy</v>
      </c>
      <c r="B938">
        <f>Data_preprocessing!O938</f>
        <v>35</v>
      </c>
      <c r="C938">
        <f>Data_preprocessing!Q938</f>
        <v>60000</v>
      </c>
      <c r="D938" t="str">
        <f>Data_preprocessing!R938</f>
        <v>Other</v>
      </c>
      <c r="E938" t="str">
        <f>Data_preprocessing!S938</f>
        <v>IT</v>
      </c>
      <c r="F938" t="str">
        <f>Data_preprocessing!T938</f>
        <v>Director</v>
      </c>
      <c r="G938" s="2">
        <f>Data_preprocessing!U938</f>
        <v>43195</v>
      </c>
      <c r="H938" t="str">
        <f>Data_preprocessing!V938</f>
        <v>B</v>
      </c>
      <c r="I938" t="str">
        <f>Data_preprocessing!Y938</f>
        <v>email@example.com</v>
      </c>
      <c r="J938" t="str">
        <f>Data_preprocessing!Z938</f>
        <v>123-456-7890</v>
      </c>
      <c r="K938">
        <f t="shared" ca="1" si="42"/>
        <v>7</v>
      </c>
      <c r="L938" t="str">
        <f t="shared" si="43"/>
        <v>Medium</v>
      </c>
      <c r="M938" t="str">
        <f t="shared" si="44"/>
        <v>Good</v>
      </c>
    </row>
    <row r="939" spans="1:13" x14ac:dyDescent="0.25">
      <c r="A939" t="str">
        <f>Data_preprocessing!M939</f>
        <v>Alice</v>
      </c>
      <c r="B939">
        <f>Data_preprocessing!O939</f>
        <v>35</v>
      </c>
      <c r="C939">
        <f>Data_preprocessing!Q939</f>
        <v>65000</v>
      </c>
      <c r="D939" t="str">
        <f>Data_preprocessing!R939</f>
        <v>Female</v>
      </c>
      <c r="E939" t="str">
        <f>Data_preprocessing!S939</f>
        <v>Marketing</v>
      </c>
      <c r="F939" t="str">
        <f>Data_preprocessing!T939</f>
        <v>Analyst</v>
      </c>
      <c r="G939" s="2">
        <f>Data_preprocessing!U939</f>
        <v>43800</v>
      </c>
      <c r="H939" t="str">
        <f>Data_preprocessing!V939</f>
        <v>F</v>
      </c>
      <c r="I939" t="str">
        <f>Data_preprocessing!Y939</f>
        <v>user@domain.com</v>
      </c>
      <c r="J939" t="str">
        <f>Data_preprocessing!Z939</f>
        <v>098-765-4321</v>
      </c>
      <c r="K939">
        <f t="shared" ca="1" si="42"/>
        <v>6</v>
      </c>
      <c r="L939" t="str">
        <f t="shared" si="43"/>
        <v>High</v>
      </c>
      <c r="M939" t="str">
        <f t="shared" si="44"/>
        <v>Poor</v>
      </c>
    </row>
    <row r="940" spans="1:13" x14ac:dyDescent="0.25">
      <c r="A940" t="str">
        <f>Data_preprocessing!M940</f>
        <v>Alice</v>
      </c>
      <c r="B940">
        <f>Data_preprocessing!O940</f>
        <v>40</v>
      </c>
      <c r="C940">
        <f>Data_preprocessing!Q940</f>
        <v>60000</v>
      </c>
      <c r="D940" t="str">
        <f>Data_preprocessing!R940</f>
        <v>Male</v>
      </c>
      <c r="E940" t="str">
        <f>Data_preprocessing!S940</f>
        <v>Sales</v>
      </c>
      <c r="F940" t="str">
        <f>Data_preprocessing!T940</f>
        <v>Assistant</v>
      </c>
      <c r="G940" s="2">
        <f>Data_preprocessing!U940</f>
        <v>43845</v>
      </c>
      <c r="H940" t="str">
        <f>Data_preprocessing!V940</f>
        <v>F</v>
      </c>
      <c r="I940" t="str">
        <f>Data_preprocessing!Y940</f>
        <v>name@company.org</v>
      </c>
      <c r="J940" t="str">
        <f>Data_preprocessing!Z940</f>
        <v>555-555-5555</v>
      </c>
      <c r="K940">
        <f t="shared" ca="1" si="42"/>
        <v>6</v>
      </c>
      <c r="L940" t="str">
        <f t="shared" si="43"/>
        <v>Medium</v>
      </c>
      <c r="M940" t="str">
        <f t="shared" si="44"/>
        <v>Poor</v>
      </c>
    </row>
    <row r="941" spans="1:13" x14ac:dyDescent="0.25">
      <c r="A941" t="str">
        <f>Data_preprocessing!M941</f>
        <v>Grace</v>
      </c>
      <c r="B941">
        <f>Data_preprocessing!O941</f>
        <v>35</v>
      </c>
      <c r="C941">
        <f>Data_preprocessing!Q941</f>
        <v>70000</v>
      </c>
      <c r="D941" t="str">
        <f>Data_preprocessing!R941</f>
        <v>Female</v>
      </c>
      <c r="E941" t="str">
        <f>Data_preprocessing!S941</f>
        <v>Marketing</v>
      </c>
      <c r="F941" t="str">
        <f>Data_preprocessing!T941</f>
        <v>Analyst</v>
      </c>
      <c r="G941" s="2">
        <f>Data_preprocessing!U941</f>
        <v>43195</v>
      </c>
      <c r="H941" t="str">
        <f>Data_preprocessing!V941</f>
        <v>C</v>
      </c>
      <c r="I941" t="str">
        <f>Data_preprocessing!Y941</f>
        <v>email@example.com</v>
      </c>
      <c r="J941" t="str">
        <f>Data_preprocessing!Z941</f>
        <v>098-765-4321</v>
      </c>
      <c r="K941">
        <f t="shared" ca="1" si="42"/>
        <v>7</v>
      </c>
      <c r="L941" t="str">
        <f t="shared" si="43"/>
        <v>High</v>
      </c>
      <c r="M941" t="str">
        <f t="shared" si="44"/>
        <v>Average</v>
      </c>
    </row>
    <row r="942" spans="1:13" x14ac:dyDescent="0.25">
      <c r="A942" t="str">
        <f>Data_preprocessing!M942</f>
        <v>Bob</v>
      </c>
      <c r="B942">
        <f>Data_preprocessing!O942</f>
        <v>30</v>
      </c>
      <c r="C942">
        <f>Data_preprocessing!Q942</f>
        <v>60000</v>
      </c>
      <c r="D942" t="str">
        <f>Data_preprocessing!R942</f>
        <v>Male</v>
      </c>
      <c r="E942" t="str">
        <f>Data_preprocessing!S942</f>
        <v>Finance</v>
      </c>
      <c r="F942" t="str">
        <f>Data_preprocessing!T942</f>
        <v>Manager</v>
      </c>
      <c r="G942" s="2">
        <f>Data_preprocessing!U942</f>
        <v>43549</v>
      </c>
      <c r="H942" t="str">
        <f>Data_preprocessing!V942</f>
        <v>D</v>
      </c>
      <c r="I942" t="str">
        <f>Data_preprocessing!Y942</f>
        <v>Email not provided</v>
      </c>
      <c r="J942" t="str">
        <f>Data_preprocessing!Z942</f>
        <v>Phone not provided</v>
      </c>
      <c r="K942">
        <f t="shared" ca="1" si="42"/>
        <v>6</v>
      </c>
      <c r="L942" t="str">
        <f t="shared" si="43"/>
        <v>Medium</v>
      </c>
      <c r="M942" t="str">
        <f t="shared" si="44"/>
        <v>Below Average</v>
      </c>
    </row>
    <row r="943" spans="1:13" x14ac:dyDescent="0.25">
      <c r="A943" t="str">
        <f>Data_preprocessing!M943</f>
        <v>Eve</v>
      </c>
      <c r="B943">
        <f>Data_preprocessing!O943</f>
        <v>50</v>
      </c>
      <c r="C943">
        <f>Data_preprocessing!Q943</f>
        <v>65000</v>
      </c>
      <c r="D943" t="str">
        <f>Data_preprocessing!R943</f>
        <v>Female</v>
      </c>
      <c r="E943" t="str">
        <f>Data_preprocessing!S943</f>
        <v>Sales</v>
      </c>
      <c r="F943" t="str">
        <f>Data_preprocessing!T943</f>
        <v>Manager</v>
      </c>
      <c r="G943" s="2">
        <f>Data_preprocessing!U943</f>
        <v>43195</v>
      </c>
      <c r="H943" t="str">
        <f>Data_preprocessing!V943</f>
        <v>C</v>
      </c>
      <c r="I943" t="str">
        <f>Data_preprocessing!Y943</f>
        <v>name@company.org</v>
      </c>
      <c r="J943" t="str">
        <f>Data_preprocessing!Z943</f>
        <v>555-555-5555</v>
      </c>
      <c r="K943">
        <f t="shared" ca="1" si="42"/>
        <v>7</v>
      </c>
      <c r="L943" t="str">
        <f t="shared" si="43"/>
        <v>High</v>
      </c>
      <c r="M943" t="str">
        <f t="shared" si="44"/>
        <v>Average</v>
      </c>
    </row>
    <row r="944" spans="1:13" x14ac:dyDescent="0.25">
      <c r="A944" t="str">
        <f>Data_preprocessing!M944</f>
        <v>Hannah</v>
      </c>
      <c r="B944">
        <f>Data_preprocessing!O944</f>
        <v>30</v>
      </c>
      <c r="C944">
        <f>Data_preprocessing!Q944</f>
        <v>65000</v>
      </c>
      <c r="D944" t="str">
        <f>Data_preprocessing!R944</f>
        <v>Other</v>
      </c>
      <c r="E944" t="str">
        <f>Data_preprocessing!S944</f>
        <v>HR</v>
      </c>
      <c r="F944" t="str">
        <f>Data_preprocessing!T944</f>
        <v>Director</v>
      </c>
      <c r="G944" s="2">
        <f>Data_preprocessing!U944</f>
        <v>43881</v>
      </c>
      <c r="H944" t="str">
        <f>Data_preprocessing!V944</f>
        <v>B</v>
      </c>
      <c r="I944" t="str">
        <f>Data_preprocessing!Y944</f>
        <v>email@example.com</v>
      </c>
      <c r="J944" t="str">
        <f>Data_preprocessing!Z944</f>
        <v>098-765-4321</v>
      </c>
      <c r="K944">
        <f t="shared" ca="1" si="42"/>
        <v>5</v>
      </c>
      <c r="L944" t="str">
        <f t="shared" si="43"/>
        <v>High</v>
      </c>
      <c r="M944" t="str">
        <f t="shared" si="44"/>
        <v>Good</v>
      </c>
    </row>
    <row r="945" spans="1:13" x14ac:dyDescent="0.25">
      <c r="A945" t="str">
        <f>Data_preprocessing!M945</f>
        <v>Hannah</v>
      </c>
      <c r="B945">
        <f>Data_preprocessing!O945</f>
        <v>25</v>
      </c>
      <c r="C945">
        <f>Data_preprocessing!Q945</f>
        <v>60000</v>
      </c>
      <c r="D945" t="str">
        <f>Data_preprocessing!R945</f>
        <v>Male</v>
      </c>
      <c r="E945" t="str">
        <f>Data_preprocessing!S945</f>
        <v>Marketing</v>
      </c>
      <c r="F945" t="str">
        <f>Data_preprocessing!T945</f>
        <v>Clerk</v>
      </c>
      <c r="G945" s="2">
        <f>Data_preprocessing!U945</f>
        <v>43800</v>
      </c>
      <c r="H945" t="str">
        <f>Data_preprocessing!V945</f>
        <v>F</v>
      </c>
      <c r="I945" t="str">
        <f>Data_preprocessing!Y945</f>
        <v>Email not provided</v>
      </c>
      <c r="J945" t="str">
        <f>Data_preprocessing!Z945</f>
        <v>123-456-7890</v>
      </c>
      <c r="K945">
        <f t="shared" ca="1" si="42"/>
        <v>6</v>
      </c>
      <c r="L945" t="str">
        <f t="shared" si="43"/>
        <v>Medium</v>
      </c>
      <c r="M945" t="str">
        <f t="shared" si="44"/>
        <v>Poor</v>
      </c>
    </row>
    <row r="946" spans="1:13" x14ac:dyDescent="0.25">
      <c r="A946" t="str">
        <f>Data_preprocessing!M946</f>
        <v>Charlie</v>
      </c>
      <c r="B946">
        <f>Data_preprocessing!O946</f>
        <v>40</v>
      </c>
      <c r="C946">
        <f>Data_preprocessing!Q946</f>
        <v>60000</v>
      </c>
      <c r="D946" t="str">
        <f>Data_preprocessing!R946</f>
        <v>Other</v>
      </c>
      <c r="E946" t="str">
        <f>Data_preprocessing!S946</f>
        <v>Finance</v>
      </c>
      <c r="F946" t="str">
        <f>Data_preprocessing!T946</f>
        <v>Assistant</v>
      </c>
      <c r="G946" s="2">
        <f>Data_preprocessing!U946</f>
        <v>43800</v>
      </c>
      <c r="H946" t="str">
        <f>Data_preprocessing!V946</f>
        <v>C</v>
      </c>
      <c r="I946" t="str">
        <f>Data_preprocessing!Y946</f>
        <v>user@domain.com</v>
      </c>
      <c r="J946" t="str">
        <f>Data_preprocessing!Z946</f>
        <v>098-765-4321</v>
      </c>
      <c r="K946">
        <f t="shared" ca="1" si="42"/>
        <v>6</v>
      </c>
      <c r="L946" t="str">
        <f t="shared" si="43"/>
        <v>Medium</v>
      </c>
      <c r="M946" t="str">
        <f t="shared" si="44"/>
        <v>Average</v>
      </c>
    </row>
    <row r="947" spans="1:13" x14ac:dyDescent="0.25">
      <c r="A947" t="str">
        <f>Data_preprocessing!M947</f>
        <v>Grace</v>
      </c>
      <c r="B947">
        <f>Data_preprocessing!O947</f>
        <v>35</v>
      </c>
      <c r="C947">
        <f>Data_preprocessing!Q947</f>
        <v>70000</v>
      </c>
      <c r="D947" t="str">
        <f>Data_preprocessing!R947</f>
        <v>Other</v>
      </c>
      <c r="E947" t="str">
        <f>Data_preprocessing!S947</f>
        <v>Sales</v>
      </c>
      <c r="F947" t="str">
        <f>Data_preprocessing!T947</f>
        <v>Assistant</v>
      </c>
      <c r="G947" s="2">
        <f>Data_preprocessing!U947</f>
        <v>43800</v>
      </c>
      <c r="H947" t="str">
        <f>Data_preprocessing!V947</f>
        <v>D</v>
      </c>
      <c r="I947" t="str">
        <f>Data_preprocessing!Y947</f>
        <v>email@example.com</v>
      </c>
      <c r="J947" t="str">
        <f>Data_preprocessing!Z947</f>
        <v>123-456-7890</v>
      </c>
      <c r="K947">
        <f t="shared" ca="1" si="42"/>
        <v>6</v>
      </c>
      <c r="L947" t="str">
        <f t="shared" si="43"/>
        <v>High</v>
      </c>
      <c r="M947" t="str">
        <f t="shared" si="44"/>
        <v>Below Average</v>
      </c>
    </row>
    <row r="948" spans="1:13" x14ac:dyDescent="0.25">
      <c r="A948" t="str">
        <f>Data_preprocessing!M948</f>
        <v>Charlie</v>
      </c>
      <c r="B948">
        <f>Data_preprocessing!O948</f>
        <v>30</v>
      </c>
      <c r="C948">
        <f>Data_preprocessing!Q948</f>
        <v>50000</v>
      </c>
      <c r="D948" t="str">
        <f>Data_preprocessing!R948</f>
        <v>Male</v>
      </c>
      <c r="E948" t="str">
        <f>Data_preprocessing!S948</f>
        <v>Marketing</v>
      </c>
      <c r="F948" t="str">
        <f>Data_preprocessing!T948</f>
        <v>Clerk</v>
      </c>
      <c r="G948" s="2">
        <f>Data_preprocessing!U948</f>
        <v>43800</v>
      </c>
      <c r="H948" t="str">
        <f>Data_preprocessing!V948</f>
        <v>B</v>
      </c>
      <c r="I948" t="str">
        <f>Data_preprocessing!Y948</f>
        <v>user@domain.com</v>
      </c>
      <c r="J948" t="str">
        <f>Data_preprocessing!Z948</f>
        <v>Phone not provided</v>
      </c>
      <c r="K948">
        <f t="shared" ca="1" si="42"/>
        <v>6</v>
      </c>
      <c r="L948" t="str">
        <f t="shared" si="43"/>
        <v>Low</v>
      </c>
      <c r="M948" t="str">
        <f t="shared" si="44"/>
        <v>Good</v>
      </c>
    </row>
    <row r="949" spans="1:13" x14ac:dyDescent="0.25">
      <c r="A949" t="str">
        <f>Data_preprocessing!M949</f>
        <v>Frank</v>
      </c>
      <c r="B949">
        <f>Data_preprocessing!O949</f>
        <v>40</v>
      </c>
      <c r="C949">
        <f>Data_preprocessing!Q949</f>
        <v>55000</v>
      </c>
      <c r="D949" t="str">
        <f>Data_preprocessing!R949</f>
        <v>Male</v>
      </c>
      <c r="E949" t="str">
        <f>Data_preprocessing!S949</f>
        <v>IT</v>
      </c>
      <c r="F949" t="str">
        <f>Data_preprocessing!T949</f>
        <v>Manager</v>
      </c>
      <c r="G949" s="2">
        <f>Data_preprocessing!U949</f>
        <v>43800</v>
      </c>
      <c r="H949" t="str">
        <f>Data_preprocessing!V949</f>
        <v>A</v>
      </c>
      <c r="I949" t="str">
        <f>Data_preprocessing!Y949</f>
        <v>Email not provided</v>
      </c>
      <c r="J949" t="str">
        <f>Data_preprocessing!Z949</f>
        <v>098-765-4321</v>
      </c>
      <c r="K949">
        <f t="shared" ca="1" si="42"/>
        <v>6</v>
      </c>
      <c r="L949" t="str">
        <f t="shared" si="43"/>
        <v>Low</v>
      </c>
      <c r="M949" t="str">
        <f t="shared" si="44"/>
        <v>Excellent</v>
      </c>
    </row>
    <row r="950" spans="1:13" x14ac:dyDescent="0.25">
      <c r="A950" t="str">
        <f>Data_preprocessing!M950</f>
        <v>Frank</v>
      </c>
      <c r="B950">
        <f>Data_preprocessing!O950</f>
        <v>25</v>
      </c>
      <c r="C950">
        <f>Data_preprocessing!Q950</f>
        <v>65000</v>
      </c>
      <c r="D950" t="str">
        <f>Data_preprocessing!R950</f>
        <v>Other</v>
      </c>
      <c r="E950" t="str">
        <f>Data_preprocessing!S950</f>
        <v>Marketing</v>
      </c>
      <c r="F950" t="str">
        <f>Data_preprocessing!T950</f>
        <v>Manager</v>
      </c>
      <c r="G950" s="2">
        <f>Data_preprocessing!U950</f>
        <v>43800</v>
      </c>
      <c r="H950" t="str">
        <f>Data_preprocessing!V950</f>
        <v>C</v>
      </c>
      <c r="I950" t="str">
        <f>Data_preprocessing!Y950</f>
        <v>email@example.com</v>
      </c>
      <c r="J950" t="str">
        <f>Data_preprocessing!Z950</f>
        <v>Phone not provided</v>
      </c>
      <c r="K950">
        <f t="shared" ca="1" si="42"/>
        <v>6</v>
      </c>
      <c r="L950" t="str">
        <f t="shared" si="43"/>
        <v>High</v>
      </c>
      <c r="M950" t="str">
        <f t="shared" si="44"/>
        <v>Average</v>
      </c>
    </row>
    <row r="951" spans="1:13" x14ac:dyDescent="0.25">
      <c r="A951" t="str">
        <f>Data_preprocessing!M951</f>
        <v>Charlie</v>
      </c>
      <c r="B951">
        <f>Data_preprocessing!O951</f>
        <v>35</v>
      </c>
      <c r="C951">
        <f>Data_preprocessing!Q951</f>
        <v>55000</v>
      </c>
      <c r="D951" t="str">
        <f>Data_preprocessing!R951</f>
        <v>Other</v>
      </c>
      <c r="E951" t="str">
        <f>Data_preprocessing!S951</f>
        <v>HR</v>
      </c>
      <c r="F951" t="str">
        <f>Data_preprocessing!T951</f>
        <v>Analyst</v>
      </c>
      <c r="G951" s="2">
        <f>Data_preprocessing!U951</f>
        <v>43845</v>
      </c>
      <c r="H951" t="str">
        <f>Data_preprocessing!V951</f>
        <v>B</v>
      </c>
      <c r="I951" t="str">
        <f>Data_preprocessing!Y951</f>
        <v>Email not provided</v>
      </c>
      <c r="J951" t="str">
        <f>Data_preprocessing!Z951</f>
        <v>555-555-5555</v>
      </c>
      <c r="K951">
        <f t="shared" ca="1" si="42"/>
        <v>6</v>
      </c>
      <c r="L951" t="str">
        <f t="shared" si="43"/>
        <v>Low</v>
      </c>
      <c r="M951" t="str">
        <f t="shared" si="44"/>
        <v>Good</v>
      </c>
    </row>
    <row r="952" spans="1:13" x14ac:dyDescent="0.25">
      <c r="A952" t="str">
        <f>Data_preprocessing!M952</f>
        <v>Grace</v>
      </c>
      <c r="B952">
        <f>Data_preprocessing!O952</f>
        <v>50</v>
      </c>
      <c r="C952">
        <f>Data_preprocessing!Q952</f>
        <v>50000</v>
      </c>
      <c r="D952" t="str">
        <f>Data_preprocessing!R952</f>
        <v>Other</v>
      </c>
      <c r="E952" t="str">
        <f>Data_preprocessing!S952</f>
        <v>Marketing</v>
      </c>
      <c r="F952" t="str">
        <f>Data_preprocessing!T952</f>
        <v>Director</v>
      </c>
      <c r="G952" s="2">
        <f>Data_preprocessing!U952</f>
        <v>43549</v>
      </c>
      <c r="H952" t="str">
        <f>Data_preprocessing!V952</f>
        <v>A</v>
      </c>
      <c r="I952" t="str">
        <f>Data_preprocessing!Y952</f>
        <v>name@company.org</v>
      </c>
      <c r="J952" t="str">
        <f>Data_preprocessing!Z952</f>
        <v>123-456-7890</v>
      </c>
      <c r="K952">
        <f t="shared" ca="1" si="42"/>
        <v>6</v>
      </c>
      <c r="L952" t="str">
        <f t="shared" si="43"/>
        <v>Low</v>
      </c>
      <c r="M952" t="str">
        <f t="shared" si="44"/>
        <v>Excellent</v>
      </c>
    </row>
    <row r="953" spans="1:13" x14ac:dyDescent="0.25">
      <c r="A953" t="str">
        <f>Data_preprocessing!M953</f>
        <v>Charlie</v>
      </c>
      <c r="B953">
        <f>Data_preprocessing!O953</f>
        <v>40</v>
      </c>
      <c r="C953">
        <f>Data_preprocessing!Q953</f>
        <v>55000</v>
      </c>
      <c r="D953" t="str">
        <f>Data_preprocessing!R953</f>
        <v>Other</v>
      </c>
      <c r="E953" t="str">
        <f>Data_preprocessing!S953</f>
        <v>Sales</v>
      </c>
      <c r="F953" t="str">
        <f>Data_preprocessing!T953</f>
        <v>Director</v>
      </c>
      <c r="G953" s="2">
        <f>Data_preprocessing!U953</f>
        <v>43800</v>
      </c>
      <c r="H953" t="str">
        <f>Data_preprocessing!V953</f>
        <v>C</v>
      </c>
      <c r="I953" t="str">
        <f>Data_preprocessing!Y953</f>
        <v>email@example.com</v>
      </c>
      <c r="J953" t="str">
        <f>Data_preprocessing!Z953</f>
        <v>555-555-5555</v>
      </c>
      <c r="K953">
        <f t="shared" ca="1" si="42"/>
        <v>6</v>
      </c>
      <c r="L953" t="str">
        <f t="shared" si="43"/>
        <v>Low</v>
      </c>
      <c r="M953" t="str">
        <f t="shared" si="44"/>
        <v>Average</v>
      </c>
    </row>
    <row r="954" spans="1:13" x14ac:dyDescent="0.25">
      <c r="A954" t="str">
        <f>Data_preprocessing!M954</f>
        <v>Hannah</v>
      </c>
      <c r="B954">
        <f>Data_preprocessing!O954</f>
        <v>40</v>
      </c>
      <c r="C954">
        <f>Data_preprocessing!Q954</f>
        <v>50000</v>
      </c>
      <c r="D954" t="str">
        <f>Data_preprocessing!R954</f>
        <v>Male</v>
      </c>
      <c r="E954" t="str">
        <f>Data_preprocessing!S954</f>
        <v>Sales</v>
      </c>
      <c r="F954" t="str">
        <f>Data_preprocessing!T954</f>
        <v>Director</v>
      </c>
      <c r="G954" s="2">
        <f>Data_preprocessing!U954</f>
        <v>43549</v>
      </c>
      <c r="H954" t="str">
        <f>Data_preprocessing!V954</f>
        <v>B</v>
      </c>
      <c r="I954" t="str">
        <f>Data_preprocessing!Y954</f>
        <v>Email not provided</v>
      </c>
      <c r="J954" t="str">
        <f>Data_preprocessing!Z954</f>
        <v>123-456-7890</v>
      </c>
      <c r="K954">
        <f t="shared" ca="1" si="42"/>
        <v>6</v>
      </c>
      <c r="L954" t="str">
        <f t="shared" si="43"/>
        <v>Low</v>
      </c>
      <c r="M954" t="str">
        <f t="shared" si="44"/>
        <v>Good</v>
      </c>
    </row>
    <row r="955" spans="1:13" x14ac:dyDescent="0.25">
      <c r="A955" t="str">
        <f>Data_preprocessing!M955</f>
        <v>Jack</v>
      </c>
      <c r="B955">
        <f>Data_preprocessing!O955</f>
        <v>35</v>
      </c>
      <c r="C955">
        <f>Data_preprocessing!Q955</f>
        <v>60000</v>
      </c>
      <c r="D955" t="str">
        <f>Data_preprocessing!R955</f>
        <v>Male</v>
      </c>
      <c r="E955" t="str">
        <f>Data_preprocessing!S955</f>
        <v>Marketing</v>
      </c>
      <c r="F955" t="str">
        <f>Data_preprocessing!T955</f>
        <v>Analyst</v>
      </c>
      <c r="G955" s="2">
        <f>Data_preprocessing!U955</f>
        <v>43800</v>
      </c>
      <c r="H955" t="str">
        <f>Data_preprocessing!V955</f>
        <v>B</v>
      </c>
      <c r="I955" t="str">
        <f>Data_preprocessing!Y955</f>
        <v>email@example.com</v>
      </c>
      <c r="J955" t="str">
        <f>Data_preprocessing!Z955</f>
        <v>Phone not provided</v>
      </c>
      <c r="K955">
        <f t="shared" ca="1" si="42"/>
        <v>6</v>
      </c>
      <c r="L955" t="str">
        <f t="shared" si="43"/>
        <v>Medium</v>
      </c>
      <c r="M955" t="str">
        <f t="shared" si="44"/>
        <v>Good</v>
      </c>
    </row>
    <row r="956" spans="1:13" x14ac:dyDescent="0.25">
      <c r="A956" t="str">
        <f>Data_preprocessing!M956</f>
        <v>David</v>
      </c>
      <c r="B956">
        <f>Data_preprocessing!O956</f>
        <v>40</v>
      </c>
      <c r="C956">
        <f>Data_preprocessing!Q956</f>
        <v>60000</v>
      </c>
      <c r="D956" t="str">
        <f>Data_preprocessing!R956</f>
        <v>Other</v>
      </c>
      <c r="E956" t="str">
        <f>Data_preprocessing!S956</f>
        <v>Sales</v>
      </c>
      <c r="F956" t="str">
        <f>Data_preprocessing!T956</f>
        <v>Director</v>
      </c>
      <c r="G956" s="2">
        <f>Data_preprocessing!U956</f>
        <v>43195</v>
      </c>
      <c r="H956" t="str">
        <f>Data_preprocessing!V956</f>
        <v>C</v>
      </c>
      <c r="I956" t="str">
        <f>Data_preprocessing!Y956</f>
        <v>user@domain.com</v>
      </c>
      <c r="J956" t="str">
        <f>Data_preprocessing!Z956</f>
        <v>Phone not provided</v>
      </c>
      <c r="K956">
        <f t="shared" ca="1" si="42"/>
        <v>7</v>
      </c>
      <c r="L956" t="str">
        <f t="shared" si="43"/>
        <v>Medium</v>
      </c>
      <c r="M956" t="str">
        <f t="shared" si="44"/>
        <v>Average</v>
      </c>
    </row>
    <row r="957" spans="1:13" x14ac:dyDescent="0.25">
      <c r="A957" t="str">
        <f>Data_preprocessing!M957</f>
        <v>Alice</v>
      </c>
      <c r="B957">
        <f>Data_preprocessing!O957</f>
        <v>25</v>
      </c>
      <c r="C957">
        <f>Data_preprocessing!Q957</f>
        <v>65000</v>
      </c>
      <c r="D957" t="str">
        <f>Data_preprocessing!R957</f>
        <v>Female</v>
      </c>
      <c r="E957" t="str">
        <f>Data_preprocessing!S957</f>
        <v>IT</v>
      </c>
      <c r="F957" t="str">
        <f>Data_preprocessing!T957</f>
        <v>Clerk</v>
      </c>
      <c r="G957" s="2">
        <f>Data_preprocessing!U957</f>
        <v>43800</v>
      </c>
      <c r="H957" t="str">
        <f>Data_preprocessing!V957</f>
        <v>B</v>
      </c>
      <c r="I957" t="str">
        <f>Data_preprocessing!Y957</f>
        <v>email@example.com</v>
      </c>
      <c r="J957" t="str">
        <f>Data_preprocessing!Z957</f>
        <v>098-765-4321</v>
      </c>
      <c r="K957">
        <f t="shared" ca="1" si="42"/>
        <v>6</v>
      </c>
      <c r="L957" t="str">
        <f t="shared" si="43"/>
        <v>High</v>
      </c>
      <c r="M957" t="str">
        <f t="shared" si="44"/>
        <v>Good</v>
      </c>
    </row>
    <row r="958" spans="1:13" x14ac:dyDescent="0.25">
      <c r="A958" t="str">
        <f>Data_preprocessing!M958</f>
        <v>David</v>
      </c>
      <c r="B958">
        <f>Data_preprocessing!O958</f>
        <v>25</v>
      </c>
      <c r="C958">
        <f>Data_preprocessing!Q958</f>
        <v>50000</v>
      </c>
      <c r="D958" t="str">
        <f>Data_preprocessing!R958</f>
        <v>Female</v>
      </c>
      <c r="E958" t="str">
        <f>Data_preprocessing!S958</f>
        <v>Marketing</v>
      </c>
      <c r="F958" t="str">
        <f>Data_preprocessing!T958</f>
        <v>Analyst</v>
      </c>
      <c r="G958" s="2">
        <f>Data_preprocessing!U958</f>
        <v>43881</v>
      </c>
      <c r="H958" t="str">
        <f>Data_preprocessing!V958</f>
        <v>F</v>
      </c>
      <c r="I958" t="str">
        <f>Data_preprocessing!Y958</f>
        <v>Email not provided</v>
      </c>
      <c r="J958" t="str">
        <f>Data_preprocessing!Z958</f>
        <v>Phone not provided</v>
      </c>
      <c r="K958">
        <f t="shared" ca="1" si="42"/>
        <v>5</v>
      </c>
      <c r="L958" t="str">
        <f t="shared" si="43"/>
        <v>Low</v>
      </c>
      <c r="M958" t="str">
        <f t="shared" si="44"/>
        <v>Poor</v>
      </c>
    </row>
    <row r="959" spans="1:13" x14ac:dyDescent="0.25">
      <c r="A959" t="str">
        <f>Data_preprocessing!M959</f>
        <v>Grace</v>
      </c>
      <c r="B959">
        <f>Data_preprocessing!O959</f>
        <v>35</v>
      </c>
      <c r="C959">
        <f>Data_preprocessing!Q959</f>
        <v>55000</v>
      </c>
      <c r="D959" t="str">
        <f>Data_preprocessing!R959</f>
        <v>Male</v>
      </c>
      <c r="E959" t="str">
        <f>Data_preprocessing!S959</f>
        <v>IT</v>
      </c>
      <c r="F959" t="str">
        <f>Data_preprocessing!T959</f>
        <v>Clerk</v>
      </c>
      <c r="G959" s="2">
        <f>Data_preprocessing!U959</f>
        <v>43845</v>
      </c>
      <c r="H959" t="str">
        <f>Data_preprocessing!V959</f>
        <v>C</v>
      </c>
      <c r="I959" t="str">
        <f>Data_preprocessing!Y959</f>
        <v>email@example.com</v>
      </c>
      <c r="J959" t="str">
        <f>Data_preprocessing!Z959</f>
        <v>123-456-7890</v>
      </c>
      <c r="K959">
        <f t="shared" ca="1" si="42"/>
        <v>6</v>
      </c>
      <c r="L959" t="str">
        <f t="shared" si="43"/>
        <v>Low</v>
      </c>
      <c r="M959" t="str">
        <f t="shared" si="44"/>
        <v>Average</v>
      </c>
    </row>
    <row r="960" spans="1:13" x14ac:dyDescent="0.25">
      <c r="A960" t="str">
        <f>Data_preprocessing!M960</f>
        <v>David</v>
      </c>
      <c r="B960">
        <f>Data_preprocessing!O960</f>
        <v>50</v>
      </c>
      <c r="C960">
        <f>Data_preprocessing!Q960</f>
        <v>65000</v>
      </c>
      <c r="D960" t="str">
        <f>Data_preprocessing!R960</f>
        <v>Other</v>
      </c>
      <c r="E960" t="str">
        <f>Data_preprocessing!S960</f>
        <v>IT</v>
      </c>
      <c r="F960" t="str">
        <f>Data_preprocessing!T960</f>
        <v>Analyst</v>
      </c>
      <c r="G960" s="2">
        <f>Data_preprocessing!U960</f>
        <v>43195</v>
      </c>
      <c r="H960" t="str">
        <f>Data_preprocessing!V960</f>
        <v>B</v>
      </c>
      <c r="I960" t="str">
        <f>Data_preprocessing!Y960</f>
        <v>name@company.org</v>
      </c>
      <c r="J960" t="str">
        <f>Data_preprocessing!Z960</f>
        <v>123-456-7890</v>
      </c>
      <c r="K960">
        <f t="shared" ca="1" si="42"/>
        <v>7</v>
      </c>
      <c r="L960" t="str">
        <f t="shared" si="43"/>
        <v>High</v>
      </c>
      <c r="M960" t="str">
        <f t="shared" si="44"/>
        <v>Good</v>
      </c>
    </row>
    <row r="961" spans="1:13" x14ac:dyDescent="0.25">
      <c r="A961" t="str">
        <f>Data_preprocessing!M961</f>
        <v>Frank</v>
      </c>
      <c r="B961">
        <f>Data_preprocessing!O961</f>
        <v>35</v>
      </c>
      <c r="C961">
        <f>Data_preprocessing!Q961</f>
        <v>60000</v>
      </c>
      <c r="D961" t="str">
        <f>Data_preprocessing!R961</f>
        <v>Other</v>
      </c>
      <c r="E961" t="str">
        <f>Data_preprocessing!S961</f>
        <v>Finance</v>
      </c>
      <c r="F961" t="str">
        <f>Data_preprocessing!T961</f>
        <v>Director</v>
      </c>
      <c r="G961" s="2">
        <f>Data_preprocessing!U961</f>
        <v>43195</v>
      </c>
      <c r="H961" t="str">
        <f>Data_preprocessing!V961</f>
        <v>A</v>
      </c>
      <c r="I961" t="str">
        <f>Data_preprocessing!Y961</f>
        <v>email@example.com</v>
      </c>
      <c r="J961" t="str">
        <f>Data_preprocessing!Z961</f>
        <v>123-456-7890</v>
      </c>
      <c r="K961">
        <f t="shared" ca="1" si="42"/>
        <v>7</v>
      </c>
      <c r="L961" t="str">
        <f t="shared" si="43"/>
        <v>Medium</v>
      </c>
      <c r="M961" t="str">
        <f t="shared" si="44"/>
        <v>Excellent</v>
      </c>
    </row>
    <row r="962" spans="1:13" x14ac:dyDescent="0.25">
      <c r="A962" t="str">
        <f>Data_preprocessing!M962</f>
        <v>Ivy</v>
      </c>
      <c r="B962">
        <f>Data_preprocessing!O962</f>
        <v>30</v>
      </c>
      <c r="C962">
        <f>Data_preprocessing!Q962</f>
        <v>60000</v>
      </c>
      <c r="D962" t="str">
        <f>Data_preprocessing!R962</f>
        <v>Male</v>
      </c>
      <c r="E962" t="str">
        <f>Data_preprocessing!S962</f>
        <v>Marketing</v>
      </c>
      <c r="F962" t="str">
        <f>Data_preprocessing!T962</f>
        <v>Clerk</v>
      </c>
      <c r="G962" s="2">
        <f>Data_preprocessing!U962</f>
        <v>43881</v>
      </c>
      <c r="H962" t="str">
        <f>Data_preprocessing!V962</f>
        <v>A</v>
      </c>
      <c r="I962" t="str">
        <f>Data_preprocessing!Y962</f>
        <v>user@domain.com</v>
      </c>
      <c r="J962" t="str">
        <f>Data_preprocessing!Z962</f>
        <v>123-456-7890</v>
      </c>
      <c r="K962">
        <f t="shared" ref="K962:K1001" ca="1" si="45">DATEDIF(G962,TODAY(),"Y")</f>
        <v>5</v>
      </c>
      <c r="L962" t="str">
        <f t="shared" ref="L962:L1001" si="46">IF(C962&lt;60000,"Low",IF(C962&lt;65000,"Medium","High"))</f>
        <v>Medium</v>
      </c>
      <c r="M962" t="str">
        <f t="shared" si="44"/>
        <v>Excellent</v>
      </c>
    </row>
    <row r="963" spans="1:13" x14ac:dyDescent="0.25">
      <c r="A963" t="str">
        <f>Data_preprocessing!M963</f>
        <v>Alice</v>
      </c>
      <c r="B963">
        <f>Data_preprocessing!O963</f>
        <v>35</v>
      </c>
      <c r="C963">
        <f>Data_preprocessing!Q963</f>
        <v>65000</v>
      </c>
      <c r="D963" t="str">
        <f>Data_preprocessing!R963</f>
        <v>Female</v>
      </c>
      <c r="E963" t="str">
        <f>Data_preprocessing!S963</f>
        <v>Sales</v>
      </c>
      <c r="F963" t="str">
        <f>Data_preprocessing!T963</f>
        <v>Clerk</v>
      </c>
      <c r="G963" s="2">
        <f>Data_preprocessing!U963</f>
        <v>43800</v>
      </c>
      <c r="H963" t="str">
        <f>Data_preprocessing!V963</f>
        <v>F</v>
      </c>
      <c r="I963" t="str">
        <f>Data_preprocessing!Y963</f>
        <v>email@example.com</v>
      </c>
      <c r="J963" t="str">
        <f>Data_preprocessing!Z963</f>
        <v>098-765-4321</v>
      </c>
      <c r="K963">
        <f t="shared" ca="1" si="45"/>
        <v>6</v>
      </c>
      <c r="L963" t="str">
        <f t="shared" si="46"/>
        <v>High</v>
      </c>
      <c r="M963" t="str">
        <f t="shared" ref="M963:M1001" si="47">IF(H963="A","Excellent",IF(H963="B","Good",IF(H963="C","Average",IF(H963="D","Below Average","Poor"))))</f>
        <v>Poor</v>
      </c>
    </row>
    <row r="964" spans="1:13" x14ac:dyDescent="0.25">
      <c r="A964" t="str">
        <f>Data_preprocessing!M964</f>
        <v>Eve</v>
      </c>
      <c r="B964">
        <f>Data_preprocessing!O964</f>
        <v>40</v>
      </c>
      <c r="C964">
        <f>Data_preprocessing!Q964</f>
        <v>50000</v>
      </c>
      <c r="D964" t="str">
        <f>Data_preprocessing!R964</f>
        <v>Female</v>
      </c>
      <c r="E964" t="str">
        <f>Data_preprocessing!S964</f>
        <v>IT</v>
      </c>
      <c r="F964" t="str">
        <f>Data_preprocessing!T964</f>
        <v>Clerk</v>
      </c>
      <c r="G964" s="2">
        <f>Data_preprocessing!U964</f>
        <v>43845</v>
      </c>
      <c r="H964" t="str">
        <f>Data_preprocessing!V964</f>
        <v>C</v>
      </c>
      <c r="I964" t="str">
        <f>Data_preprocessing!Y964</f>
        <v>Email not provided</v>
      </c>
      <c r="J964" t="str">
        <f>Data_preprocessing!Z964</f>
        <v>555-555-5555</v>
      </c>
      <c r="K964">
        <f t="shared" ca="1" si="45"/>
        <v>6</v>
      </c>
      <c r="L964" t="str">
        <f t="shared" si="46"/>
        <v>Low</v>
      </c>
      <c r="M964" t="str">
        <f t="shared" si="47"/>
        <v>Average</v>
      </c>
    </row>
    <row r="965" spans="1:13" x14ac:dyDescent="0.25">
      <c r="A965" t="str">
        <f>Data_preprocessing!M965</f>
        <v>Grace</v>
      </c>
      <c r="B965">
        <f>Data_preprocessing!O965</f>
        <v>30</v>
      </c>
      <c r="C965">
        <f>Data_preprocessing!Q965</f>
        <v>60000</v>
      </c>
      <c r="D965" t="str">
        <f>Data_preprocessing!R965</f>
        <v>Female</v>
      </c>
      <c r="E965" t="str">
        <f>Data_preprocessing!S965</f>
        <v>Finance</v>
      </c>
      <c r="F965" t="str">
        <f>Data_preprocessing!T965</f>
        <v>Analyst</v>
      </c>
      <c r="G965" s="2">
        <f>Data_preprocessing!U965</f>
        <v>43195</v>
      </c>
      <c r="H965" t="str">
        <f>Data_preprocessing!V965</f>
        <v>B</v>
      </c>
      <c r="I965" t="str">
        <f>Data_preprocessing!Y965</f>
        <v>Email not provided</v>
      </c>
      <c r="J965" t="str">
        <f>Data_preprocessing!Z965</f>
        <v>Phone not provided</v>
      </c>
      <c r="K965">
        <f t="shared" ca="1" si="45"/>
        <v>7</v>
      </c>
      <c r="L965" t="str">
        <f t="shared" si="46"/>
        <v>Medium</v>
      </c>
      <c r="M965" t="str">
        <f t="shared" si="47"/>
        <v>Good</v>
      </c>
    </row>
    <row r="966" spans="1:13" x14ac:dyDescent="0.25">
      <c r="A966" t="str">
        <f>Data_preprocessing!M966</f>
        <v>Alice</v>
      </c>
      <c r="B966">
        <f>Data_preprocessing!O966</f>
        <v>35</v>
      </c>
      <c r="C966">
        <f>Data_preprocessing!Q966</f>
        <v>55000</v>
      </c>
      <c r="D966" t="str">
        <f>Data_preprocessing!R966</f>
        <v>Male</v>
      </c>
      <c r="E966" t="str">
        <f>Data_preprocessing!S966</f>
        <v>Marketing</v>
      </c>
      <c r="F966" t="str">
        <f>Data_preprocessing!T966</f>
        <v>Assistant</v>
      </c>
      <c r="G966" s="2">
        <f>Data_preprocessing!U966</f>
        <v>43845</v>
      </c>
      <c r="H966" t="str">
        <f>Data_preprocessing!V966</f>
        <v>B</v>
      </c>
      <c r="I966" t="str">
        <f>Data_preprocessing!Y966</f>
        <v>email@example.com</v>
      </c>
      <c r="J966" t="str">
        <f>Data_preprocessing!Z966</f>
        <v>098-765-4321</v>
      </c>
      <c r="K966">
        <f t="shared" ca="1" si="45"/>
        <v>6</v>
      </c>
      <c r="L966" t="str">
        <f t="shared" si="46"/>
        <v>Low</v>
      </c>
      <c r="M966" t="str">
        <f t="shared" si="47"/>
        <v>Good</v>
      </c>
    </row>
    <row r="967" spans="1:13" x14ac:dyDescent="0.25">
      <c r="A967" t="str">
        <f>Data_preprocessing!M967</f>
        <v>David</v>
      </c>
      <c r="B967">
        <f>Data_preprocessing!O967</f>
        <v>35</v>
      </c>
      <c r="C967">
        <f>Data_preprocessing!Q967</f>
        <v>60000</v>
      </c>
      <c r="D967" t="str">
        <f>Data_preprocessing!R967</f>
        <v>Female</v>
      </c>
      <c r="E967" t="str">
        <f>Data_preprocessing!S967</f>
        <v>Marketing</v>
      </c>
      <c r="F967" t="str">
        <f>Data_preprocessing!T967</f>
        <v>Director</v>
      </c>
      <c r="G967" s="2">
        <f>Data_preprocessing!U967</f>
        <v>43195</v>
      </c>
      <c r="H967" t="str">
        <f>Data_preprocessing!V967</f>
        <v>A</v>
      </c>
      <c r="I967" t="str">
        <f>Data_preprocessing!Y967</f>
        <v>email@example.com</v>
      </c>
      <c r="J967" t="str">
        <f>Data_preprocessing!Z967</f>
        <v>123-456-7890</v>
      </c>
      <c r="K967">
        <f t="shared" ca="1" si="45"/>
        <v>7</v>
      </c>
      <c r="L967" t="str">
        <f t="shared" si="46"/>
        <v>Medium</v>
      </c>
      <c r="M967" t="str">
        <f t="shared" si="47"/>
        <v>Excellent</v>
      </c>
    </row>
    <row r="968" spans="1:13" x14ac:dyDescent="0.25">
      <c r="A968" t="str">
        <f>Data_preprocessing!M968</f>
        <v>Frank</v>
      </c>
      <c r="B968">
        <f>Data_preprocessing!O968</f>
        <v>50</v>
      </c>
      <c r="C968">
        <f>Data_preprocessing!Q968</f>
        <v>60000</v>
      </c>
      <c r="D968" t="str">
        <f>Data_preprocessing!R968</f>
        <v>Male</v>
      </c>
      <c r="E968" t="str">
        <f>Data_preprocessing!S968</f>
        <v>HR</v>
      </c>
      <c r="F968" t="str">
        <f>Data_preprocessing!T968</f>
        <v>Clerk</v>
      </c>
      <c r="G968" s="2">
        <f>Data_preprocessing!U968</f>
        <v>43800</v>
      </c>
      <c r="H968" t="str">
        <f>Data_preprocessing!V968</f>
        <v>F</v>
      </c>
      <c r="I968" t="str">
        <f>Data_preprocessing!Y968</f>
        <v>name@company.org</v>
      </c>
      <c r="J968" t="str">
        <f>Data_preprocessing!Z968</f>
        <v>098-765-4321</v>
      </c>
      <c r="K968">
        <f t="shared" ca="1" si="45"/>
        <v>6</v>
      </c>
      <c r="L968" t="str">
        <f t="shared" si="46"/>
        <v>Medium</v>
      </c>
      <c r="M968" t="str">
        <f t="shared" si="47"/>
        <v>Poor</v>
      </c>
    </row>
    <row r="969" spans="1:13" x14ac:dyDescent="0.25">
      <c r="A969" t="str">
        <f>Data_preprocessing!M969</f>
        <v>Bob</v>
      </c>
      <c r="B969">
        <f>Data_preprocessing!O969</f>
        <v>30</v>
      </c>
      <c r="C969">
        <f>Data_preprocessing!Q969</f>
        <v>70000</v>
      </c>
      <c r="D969" t="str">
        <f>Data_preprocessing!R969</f>
        <v>Male</v>
      </c>
      <c r="E969" t="str">
        <f>Data_preprocessing!S969</f>
        <v>HR</v>
      </c>
      <c r="F969" t="str">
        <f>Data_preprocessing!T969</f>
        <v>Assistant</v>
      </c>
      <c r="G969" s="2">
        <f>Data_preprocessing!U969</f>
        <v>43195</v>
      </c>
      <c r="H969" t="str">
        <f>Data_preprocessing!V969</f>
        <v>A</v>
      </c>
      <c r="I969" t="str">
        <f>Data_preprocessing!Y969</f>
        <v>Email not provided</v>
      </c>
      <c r="J969" t="str">
        <f>Data_preprocessing!Z969</f>
        <v>Phone not provided</v>
      </c>
      <c r="K969">
        <f t="shared" ca="1" si="45"/>
        <v>7</v>
      </c>
      <c r="L969" t="str">
        <f t="shared" si="46"/>
        <v>High</v>
      </c>
      <c r="M969" t="str">
        <f t="shared" si="47"/>
        <v>Excellent</v>
      </c>
    </row>
    <row r="970" spans="1:13" x14ac:dyDescent="0.25">
      <c r="A970" t="str">
        <f>Data_preprocessing!M970</f>
        <v>Jack</v>
      </c>
      <c r="B970">
        <f>Data_preprocessing!O970</f>
        <v>25</v>
      </c>
      <c r="C970">
        <f>Data_preprocessing!Q970</f>
        <v>60000</v>
      </c>
      <c r="D970" t="str">
        <f>Data_preprocessing!R970</f>
        <v>Other</v>
      </c>
      <c r="E970" t="str">
        <f>Data_preprocessing!S970</f>
        <v>IT</v>
      </c>
      <c r="F970" t="str">
        <f>Data_preprocessing!T970</f>
        <v>Director</v>
      </c>
      <c r="G970" s="2">
        <f>Data_preprocessing!U970</f>
        <v>43195</v>
      </c>
      <c r="H970" t="str">
        <f>Data_preprocessing!V970</f>
        <v>A</v>
      </c>
      <c r="I970" t="str">
        <f>Data_preprocessing!Y970</f>
        <v>Email not provided</v>
      </c>
      <c r="J970" t="str">
        <f>Data_preprocessing!Z970</f>
        <v>123-456-7890</v>
      </c>
      <c r="K970">
        <f t="shared" ca="1" si="45"/>
        <v>7</v>
      </c>
      <c r="L970" t="str">
        <f t="shared" si="46"/>
        <v>Medium</v>
      </c>
      <c r="M970" t="str">
        <f t="shared" si="47"/>
        <v>Excellent</v>
      </c>
    </row>
    <row r="971" spans="1:13" x14ac:dyDescent="0.25">
      <c r="A971" t="str">
        <f>Data_preprocessing!M971</f>
        <v>Eve</v>
      </c>
      <c r="B971">
        <f>Data_preprocessing!O971</f>
        <v>30</v>
      </c>
      <c r="C971">
        <f>Data_preprocessing!Q971</f>
        <v>60000</v>
      </c>
      <c r="D971" t="str">
        <f>Data_preprocessing!R971</f>
        <v>Female</v>
      </c>
      <c r="E971" t="str">
        <f>Data_preprocessing!S971</f>
        <v>HR</v>
      </c>
      <c r="F971" t="str">
        <f>Data_preprocessing!T971</f>
        <v>Director</v>
      </c>
      <c r="G971" s="2">
        <f>Data_preprocessing!U971</f>
        <v>43549</v>
      </c>
      <c r="H971" t="str">
        <f>Data_preprocessing!V971</f>
        <v>F</v>
      </c>
      <c r="I971" t="str">
        <f>Data_preprocessing!Y971</f>
        <v>user@domain.com</v>
      </c>
      <c r="J971" t="str">
        <f>Data_preprocessing!Z971</f>
        <v>Phone not provided</v>
      </c>
      <c r="K971">
        <f t="shared" ca="1" si="45"/>
        <v>6</v>
      </c>
      <c r="L971" t="str">
        <f t="shared" si="46"/>
        <v>Medium</v>
      </c>
      <c r="M971" t="str">
        <f t="shared" si="47"/>
        <v>Poor</v>
      </c>
    </row>
    <row r="972" spans="1:13" x14ac:dyDescent="0.25">
      <c r="A972" t="str">
        <f>Data_preprocessing!M972</f>
        <v>Jack</v>
      </c>
      <c r="B972">
        <f>Data_preprocessing!O972</f>
        <v>40</v>
      </c>
      <c r="C972">
        <f>Data_preprocessing!Q972</f>
        <v>65000</v>
      </c>
      <c r="D972" t="str">
        <f>Data_preprocessing!R972</f>
        <v>Male</v>
      </c>
      <c r="E972" t="str">
        <f>Data_preprocessing!S972</f>
        <v>IT</v>
      </c>
      <c r="F972" t="str">
        <f>Data_preprocessing!T972</f>
        <v>Clerk</v>
      </c>
      <c r="G972" s="2">
        <f>Data_preprocessing!U972</f>
        <v>43800</v>
      </c>
      <c r="H972" t="str">
        <f>Data_preprocessing!V972</f>
        <v>C</v>
      </c>
      <c r="I972" t="str">
        <f>Data_preprocessing!Y972</f>
        <v>email@example.com</v>
      </c>
      <c r="J972" t="str">
        <f>Data_preprocessing!Z972</f>
        <v>123-456-7890</v>
      </c>
      <c r="K972">
        <f t="shared" ca="1" si="45"/>
        <v>6</v>
      </c>
      <c r="L972" t="str">
        <f t="shared" si="46"/>
        <v>High</v>
      </c>
      <c r="M972" t="str">
        <f t="shared" si="47"/>
        <v>Average</v>
      </c>
    </row>
    <row r="973" spans="1:13" x14ac:dyDescent="0.25">
      <c r="A973" t="str">
        <f>Data_preprocessing!M973</f>
        <v>Alice</v>
      </c>
      <c r="B973">
        <f>Data_preprocessing!O973</f>
        <v>25</v>
      </c>
      <c r="C973">
        <f>Data_preprocessing!Q973</f>
        <v>55000</v>
      </c>
      <c r="D973" t="str">
        <f>Data_preprocessing!R973</f>
        <v>Female</v>
      </c>
      <c r="E973" t="str">
        <f>Data_preprocessing!S973</f>
        <v>Sales</v>
      </c>
      <c r="F973" t="str">
        <f>Data_preprocessing!T973</f>
        <v>Clerk</v>
      </c>
      <c r="G973" s="2">
        <f>Data_preprocessing!U973</f>
        <v>43881</v>
      </c>
      <c r="H973" t="str">
        <f>Data_preprocessing!V973</f>
        <v>B</v>
      </c>
      <c r="I973" t="str">
        <f>Data_preprocessing!Y973</f>
        <v>Email not provided</v>
      </c>
      <c r="J973" t="str">
        <f>Data_preprocessing!Z973</f>
        <v>Phone not provided</v>
      </c>
      <c r="K973">
        <f t="shared" ca="1" si="45"/>
        <v>5</v>
      </c>
      <c r="L973" t="str">
        <f t="shared" si="46"/>
        <v>Low</v>
      </c>
      <c r="M973" t="str">
        <f t="shared" si="47"/>
        <v>Good</v>
      </c>
    </row>
    <row r="974" spans="1:13" x14ac:dyDescent="0.25">
      <c r="A974" t="str">
        <f>Data_preprocessing!M974</f>
        <v>Frank</v>
      </c>
      <c r="B974">
        <f>Data_preprocessing!O974</f>
        <v>35</v>
      </c>
      <c r="C974">
        <f>Data_preprocessing!Q974</f>
        <v>65000</v>
      </c>
      <c r="D974" t="str">
        <f>Data_preprocessing!R974</f>
        <v>Female</v>
      </c>
      <c r="E974" t="str">
        <f>Data_preprocessing!S974</f>
        <v>IT</v>
      </c>
      <c r="F974" t="str">
        <f>Data_preprocessing!T974</f>
        <v>Analyst</v>
      </c>
      <c r="G974" s="2">
        <f>Data_preprocessing!U974</f>
        <v>43881</v>
      </c>
      <c r="H974" t="str">
        <f>Data_preprocessing!V974</f>
        <v>C</v>
      </c>
      <c r="I974" t="str">
        <f>Data_preprocessing!Y974</f>
        <v>user@domain.com</v>
      </c>
      <c r="J974" t="str">
        <f>Data_preprocessing!Z974</f>
        <v>Phone not provided</v>
      </c>
      <c r="K974">
        <f t="shared" ca="1" si="45"/>
        <v>5</v>
      </c>
      <c r="L974" t="str">
        <f t="shared" si="46"/>
        <v>High</v>
      </c>
      <c r="M974" t="str">
        <f t="shared" si="47"/>
        <v>Average</v>
      </c>
    </row>
    <row r="975" spans="1:13" x14ac:dyDescent="0.25">
      <c r="A975" t="str">
        <f>Data_preprocessing!M975</f>
        <v>Frank</v>
      </c>
      <c r="B975">
        <f>Data_preprocessing!O975</f>
        <v>30</v>
      </c>
      <c r="C975">
        <f>Data_preprocessing!Q975</f>
        <v>65000</v>
      </c>
      <c r="D975" t="str">
        <f>Data_preprocessing!R975</f>
        <v>Other</v>
      </c>
      <c r="E975" t="str">
        <f>Data_preprocessing!S975</f>
        <v>HR</v>
      </c>
      <c r="F975" t="str">
        <f>Data_preprocessing!T975</f>
        <v>Assistant</v>
      </c>
      <c r="G975" s="2">
        <f>Data_preprocessing!U975</f>
        <v>43800</v>
      </c>
      <c r="H975" t="str">
        <f>Data_preprocessing!V975</f>
        <v>D</v>
      </c>
      <c r="I975" t="str">
        <f>Data_preprocessing!Y975</f>
        <v>Email not provided</v>
      </c>
      <c r="J975" t="str">
        <f>Data_preprocessing!Z975</f>
        <v>555-555-5555</v>
      </c>
      <c r="K975">
        <f t="shared" ca="1" si="45"/>
        <v>6</v>
      </c>
      <c r="L975" t="str">
        <f t="shared" si="46"/>
        <v>High</v>
      </c>
      <c r="M975" t="str">
        <f t="shared" si="47"/>
        <v>Below Average</v>
      </c>
    </row>
    <row r="976" spans="1:13" x14ac:dyDescent="0.25">
      <c r="A976" t="str">
        <f>Data_preprocessing!M976</f>
        <v>David</v>
      </c>
      <c r="B976">
        <f>Data_preprocessing!O976</f>
        <v>35</v>
      </c>
      <c r="C976">
        <f>Data_preprocessing!Q976</f>
        <v>50000</v>
      </c>
      <c r="D976" t="str">
        <f>Data_preprocessing!R976</f>
        <v>Female</v>
      </c>
      <c r="E976" t="str">
        <f>Data_preprocessing!S976</f>
        <v>Sales</v>
      </c>
      <c r="F976" t="str">
        <f>Data_preprocessing!T976</f>
        <v>Assistant</v>
      </c>
      <c r="G976" s="2">
        <f>Data_preprocessing!U976</f>
        <v>43881</v>
      </c>
      <c r="H976" t="str">
        <f>Data_preprocessing!V976</f>
        <v>D</v>
      </c>
      <c r="I976" t="str">
        <f>Data_preprocessing!Y976</f>
        <v>Email not provided</v>
      </c>
      <c r="J976" t="str">
        <f>Data_preprocessing!Z976</f>
        <v>555-555-5555</v>
      </c>
      <c r="K976">
        <f t="shared" ca="1" si="45"/>
        <v>5</v>
      </c>
      <c r="L976" t="str">
        <f t="shared" si="46"/>
        <v>Low</v>
      </c>
      <c r="M976" t="str">
        <f t="shared" si="47"/>
        <v>Below Average</v>
      </c>
    </row>
    <row r="977" spans="1:13" x14ac:dyDescent="0.25">
      <c r="A977" t="str">
        <f>Data_preprocessing!M977</f>
        <v>Hannah</v>
      </c>
      <c r="B977">
        <f>Data_preprocessing!O977</f>
        <v>50</v>
      </c>
      <c r="C977">
        <f>Data_preprocessing!Q977</f>
        <v>65000</v>
      </c>
      <c r="D977" t="str">
        <f>Data_preprocessing!R977</f>
        <v>Other</v>
      </c>
      <c r="E977" t="str">
        <f>Data_preprocessing!S977</f>
        <v>HR</v>
      </c>
      <c r="F977" t="str">
        <f>Data_preprocessing!T977</f>
        <v>Clerk</v>
      </c>
      <c r="G977" s="2">
        <f>Data_preprocessing!U977</f>
        <v>43800</v>
      </c>
      <c r="H977" t="str">
        <f>Data_preprocessing!V977</f>
        <v>D</v>
      </c>
      <c r="I977" t="str">
        <f>Data_preprocessing!Y977</f>
        <v>Email not provided</v>
      </c>
      <c r="J977" t="str">
        <f>Data_preprocessing!Z977</f>
        <v>098-765-4321</v>
      </c>
      <c r="K977">
        <f t="shared" ca="1" si="45"/>
        <v>6</v>
      </c>
      <c r="L977" t="str">
        <f t="shared" si="46"/>
        <v>High</v>
      </c>
      <c r="M977" t="str">
        <f t="shared" si="47"/>
        <v>Below Average</v>
      </c>
    </row>
    <row r="978" spans="1:13" x14ac:dyDescent="0.25">
      <c r="A978" t="str">
        <f>Data_preprocessing!M978</f>
        <v>David</v>
      </c>
      <c r="B978">
        <f>Data_preprocessing!O978</f>
        <v>35</v>
      </c>
      <c r="C978">
        <f>Data_preprocessing!Q978</f>
        <v>70000</v>
      </c>
      <c r="D978" t="str">
        <f>Data_preprocessing!R978</f>
        <v>Male</v>
      </c>
      <c r="E978" t="str">
        <f>Data_preprocessing!S978</f>
        <v>IT</v>
      </c>
      <c r="F978" t="str">
        <f>Data_preprocessing!T978</f>
        <v>Director</v>
      </c>
      <c r="G978" s="2">
        <f>Data_preprocessing!U978</f>
        <v>43881</v>
      </c>
      <c r="H978" t="str">
        <f>Data_preprocessing!V978</f>
        <v>F</v>
      </c>
      <c r="I978" t="str">
        <f>Data_preprocessing!Y978</f>
        <v>user@domain.com</v>
      </c>
      <c r="J978" t="str">
        <f>Data_preprocessing!Z978</f>
        <v>098-765-4321</v>
      </c>
      <c r="K978">
        <f t="shared" ca="1" si="45"/>
        <v>5</v>
      </c>
      <c r="L978" t="str">
        <f t="shared" si="46"/>
        <v>High</v>
      </c>
      <c r="M978" t="str">
        <f t="shared" si="47"/>
        <v>Poor</v>
      </c>
    </row>
    <row r="979" spans="1:13" x14ac:dyDescent="0.25">
      <c r="A979" t="str">
        <f>Data_preprocessing!M979</f>
        <v>Hannah</v>
      </c>
      <c r="B979">
        <f>Data_preprocessing!O979</f>
        <v>50</v>
      </c>
      <c r="C979">
        <f>Data_preprocessing!Q979</f>
        <v>70000</v>
      </c>
      <c r="D979" t="str">
        <f>Data_preprocessing!R979</f>
        <v>Female</v>
      </c>
      <c r="E979" t="str">
        <f>Data_preprocessing!S979</f>
        <v>Finance</v>
      </c>
      <c r="F979" t="str">
        <f>Data_preprocessing!T979</f>
        <v>Clerk</v>
      </c>
      <c r="G979" s="2">
        <f>Data_preprocessing!U979</f>
        <v>43549</v>
      </c>
      <c r="H979" t="str">
        <f>Data_preprocessing!V979</f>
        <v>A</v>
      </c>
      <c r="I979" t="str">
        <f>Data_preprocessing!Y979</f>
        <v>Email not provided</v>
      </c>
      <c r="J979" t="str">
        <f>Data_preprocessing!Z979</f>
        <v>Phone not provided</v>
      </c>
      <c r="K979">
        <f t="shared" ca="1" si="45"/>
        <v>6</v>
      </c>
      <c r="L979" t="str">
        <f t="shared" si="46"/>
        <v>High</v>
      </c>
      <c r="M979" t="str">
        <f t="shared" si="47"/>
        <v>Excellent</v>
      </c>
    </row>
    <row r="980" spans="1:13" x14ac:dyDescent="0.25">
      <c r="A980" t="str">
        <f>Data_preprocessing!M980</f>
        <v>Hannah</v>
      </c>
      <c r="B980">
        <f>Data_preprocessing!O980</f>
        <v>40</v>
      </c>
      <c r="C980">
        <f>Data_preprocessing!Q980</f>
        <v>50000</v>
      </c>
      <c r="D980" t="str">
        <f>Data_preprocessing!R980</f>
        <v>Male</v>
      </c>
      <c r="E980" t="str">
        <f>Data_preprocessing!S980</f>
        <v>Marketing</v>
      </c>
      <c r="F980" t="str">
        <f>Data_preprocessing!T980</f>
        <v>Director</v>
      </c>
      <c r="G980" s="2">
        <f>Data_preprocessing!U980</f>
        <v>43881</v>
      </c>
      <c r="H980" t="str">
        <f>Data_preprocessing!V980</f>
        <v>C</v>
      </c>
      <c r="I980" t="str">
        <f>Data_preprocessing!Y980</f>
        <v>Email not provided</v>
      </c>
      <c r="J980" t="str">
        <f>Data_preprocessing!Z980</f>
        <v>123-456-7890</v>
      </c>
      <c r="K980">
        <f t="shared" ca="1" si="45"/>
        <v>5</v>
      </c>
      <c r="L980" t="str">
        <f t="shared" si="46"/>
        <v>Low</v>
      </c>
      <c r="M980" t="str">
        <f t="shared" si="47"/>
        <v>Average</v>
      </c>
    </row>
    <row r="981" spans="1:13" x14ac:dyDescent="0.25">
      <c r="A981" t="str">
        <f>Data_preprocessing!M981</f>
        <v>Eve</v>
      </c>
      <c r="B981">
        <f>Data_preprocessing!O981</f>
        <v>35</v>
      </c>
      <c r="C981">
        <f>Data_preprocessing!Q981</f>
        <v>60000</v>
      </c>
      <c r="D981" t="str">
        <f>Data_preprocessing!R981</f>
        <v>Female</v>
      </c>
      <c r="E981" t="str">
        <f>Data_preprocessing!S981</f>
        <v>HR</v>
      </c>
      <c r="F981" t="str">
        <f>Data_preprocessing!T981</f>
        <v>Director</v>
      </c>
      <c r="G981" s="2">
        <f>Data_preprocessing!U981</f>
        <v>43195</v>
      </c>
      <c r="H981" t="str">
        <f>Data_preprocessing!V981</f>
        <v>B</v>
      </c>
      <c r="I981" t="str">
        <f>Data_preprocessing!Y981</f>
        <v>Email not provided</v>
      </c>
      <c r="J981" t="str">
        <f>Data_preprocessing!Z981</f>
        <v>Phone not provided</v>
      </c>
      <c r="K981">
        <f t="shared" ca="1" si="45"/>
        <v>7</v>
      </c>
      <c r="L981" t="str">
        <f t="shared" si="46"/>
        <v>Medium</v>
      </c>
      <c r="M981" t="str">
        <f t="shared" si="47"/>
        <v>Good</v>
      </c>
    </row>
    <row r="982" spans="1:13" x14ac:dyDescent="0.25">
      <c r="A982" t="str">
        <f>Data_preprocessing!M982</f>
        <v>David</v>
      </c>
      <c r="B982">
        <f>Data_preprocessing!O982</f>
        <v>30</v>
      </c>
      <c r="C982">
        <f>Data_preprocessing!Q982</f>
        <v>55000</v>
      </c>
      <c r="D982" t="str">
        <f>Data_preprocessing!R982</f>
        <v>Male</v>
      </c>
      <c r="E982" t="str">
        <f>Data_preprocessing!S982</f>
        <v>IT</v>
      </c>
      <c r="F982" t="str">
        <f>Data_preprocessing!T982</f>
        <v>Clerk</v>
      </c>
      <c r="G982" s="2">
        <f>Data_preprocessing!U982</f>
        <v>43800</v>
      </c>
      <c r="H982" t="str">
        <f>Data_preprocessing!V982</f>
        <v>D</v>
      </c>
      <c r="I982" t="str">
        <f>Data_preprocessing!Y982</f>
        <v>Email not provided</v>
      </c>
      <c r="J982" t="str">
        <f>Data_preprocessing!Z982</f>
        <v>Phone not provided</v>
      </c>
      <c r="K982">
        <f t="shared" ca="1" si="45"/>
        <v>6</v>
      </c>
      <c r="L982" t="str">
        <f t="shared" si="46"/>
        <v>Low</v>
      </c>
      <c r="M982" t="str">
        <f t="shared" si="47"/>
        <v>Below Average</v>
      </c>
    </row>
    <row r="983" spans="1:13" x14ac:dyDescent="0.25">
      <c r="A983" t="str">
        <f>Data_preprocessing!M983</f>
        <v>Bob</v>
      </c>
      <c r="B983">
        <f>Data_preprocessing!O983</f>
        <v>30</v>
      </c>
      <c r="C983">
        <f>Data_preprocessing!Q983</f>
        <v>55000</v>
      </c>
      <c r="D983" t="str">
        <f>Data_preprocessing!R983</f>
        <v>Female</v>
      </c>
      <c r="E983" t="str">
        <f>Data_preprocessing!S983</f>
        <v>Sales</v>
      </c>
      <c r="F983" t="str">
        <f>Data_preprocessing!T983</f>
        <v>Manager</v>
      </c>
      <c r="G983" s="2">
        <f>Data_preprocessing!U983</f>
        <v>43845</v>
      </c>
      <c r="H983" t="str">
        <f>Data_preprocessing!V983</f>
        <v>C</v>
      </c>
      <c r="I983" t="str">
        <f>Data_preprocessing!Y983</f>
        <v>Email not provided</v>
      </c>
      <c r="J983" t="str">
        <f>Data_preprocessing!Z983</f>
        <v>123-456-7890</v>
      </c>
      <c r="K983">
        <f t="shared" ca="1" si="45"/>
        <v>6</v>
      </c>
      <c r="L983" t="str">
        <f t="shared" si="46"/>
        <v>Low</v>
      </c>
      <c r="M983" t="str">
        <f t="shared" si="47"/>
        <v>Average</v>
      </c>
    </row>
    <row r="984" spans="1:13" x14ac:dyDescent="0.25">
      <c r="A984" t="str">
        <f>Data_preprocessing!M984</f>
        <v>Charlie</v>
      </c>
      <c r="B984">
        <f>Data_preprocessing!O984</f>
        <v>35</v>
      </c>
      <c r="C984">
        <f>Data_preprocessing!Q984</f>
        <v>65000</v>
      </c>
      <c r="D984" t="str">
        <f>Data_preprocessing!R984</f>
        <v>Female</v>
      </c>
      <c r="E984" t="str">
        <f>Data_preprocessing!S984</f>
        <v>HR</v>
      </c>
      <c r="F984" t="str">
        <f>Data_preprocessing!T984</f>
        <v>Assistant</v>
      </c>
      <c r="G984" s="2">
        <f>Data_preprocessing!U984</f>
        <v>43845</v>
      </c>
      <c r="H984" t="str">
        <f>Data_preprocessing!V984</f>
        <v>D</v>
      </c>
      <c r="I984" t="str">
        <f>Data_preprocessing!Y984</f>
        <v>name@company.org</v>
      </c>
      <c r="J984" t="str">
        <f>Data_preprocessing!Z984</f>
        <v>123-456-7890</v>
      </c>
      <c r="K984">
        <f t="shared" ca="1" si="45"/>
        <v>6</v>
      </c>
      <c r="L984" t="str">
        <f t="shared" si="46"/>
        <v>High</v>
      </c>
      <c r="M984" t="str">
        <f t="shared" si="47"/>
        <v>Below Average</v>
      </c>
    </row>
    <row r="985" spans="1:13" x14ac:dyDescent="0.25">
      <c r="A985" t="str">
        <f>Data_preprocessing!M985</f>
        <v>Charlie</v>
      </c>
      <c r="B985">
        <f>Data_preprocessing!O985</f>
        <v>30</v>
      </c>
      <c r="C985">
        <f>Data_preprocessing!Q985</f>
        <v>65000</v>
      </c>
      <c r="D985" t="str">
        <f>Data_preprocessing!R985</f>
        <v>Female</v>
      </c>
      <c r="E985" t="str">
        <f>Data_preprocessing!S985</f>
        <v>HR</v>
      </c>
      <c r="F985" t="str">
        <f>Data_preprocessing!T985</f>
        <v>Director</v>
      </c>
      <c r="G985" s="2">
        <f>Data_preprocessing!U985</f>
        <v>43800</v>
      </c>
      <c r="H985" t="str">
        <f>Data_preprocessing!V985</f>
        <v>D</v>
      </c>
      <c r="I985" t="str">
        <f>Data_preprocessing!Y985</f>
        <v>user@domain.com</v>
      </c>
      <c r="J985" t="str">
        <f>Data_preprocessing!Z985</f>
        <v>555-555-5555</v>
      </c>
      <c r="K985">
        <f t="shared" ca="1" si="45"/>
        <v>6</v>
      </c>
      <c r="L985" t="str">
        <f t="shared" si="46"/>
        <v>High</v>
      </c>
      <c r="M985" t="str">
        <f t="shared" si="47"/>
        <v>Below Average</v>
      </c>
    </row>
    <row r="986" spans="1:13" x14ac:dyDescent="0.25">
      <c r="A986" t="str">
        <f>Data_preprocessing!M986</f>
        <v>David</v>
      </c>
      <c r="B986">
        <f>Data_preprocessing!O986</f>
        <v>40</v>
      </c>
      <c r="C986">
        <f>Data_preprocessing!Q986</f>
        <v>60000</v>
      </c>
      <c r="D986" t="str">
        <f>Data_preprocessing!R986</f>
        <v>Female</v>
      </c>
      <c r="E986" t="str">
        <f>Data_preprocessing!S986</f>
        <v>Marketing</v>
      </c>
      <c r="F986" t="str">
        <f>Data_preprocessing!T986</f>
        <v>Director</v>
      </c>
      <c r="G986" s="2">
        <f>Data_preprocessing!U986</f>
        <v>43549</v>
      </c>
      <c r="H986" t="str">
        <f>Data_preprocessing!V986</f>
        <v>B</v>
      </c>
      <c r="I986" t="str">
        <f>Data_preprocessing!Y986</f>
        <v>Email not provided</v>
      </c>
      <c r="J986" t="str">
        <f>Data_preprocessing!Z986</f>
        <v>Phone not provided</v>
      </c>
      <c r="K986">
        <f t="shared" ca="1" si="45"/>
        <v>6</v>
      </c>
      <c r="L986" t="str">
        <f t="shared" si="46"/>
        <v>Medium</v>
      </c>
      <c r="M986" t="str">
        <f t="shared" si="47"/>
        <v>Good</v>
      </c>
    </row>
    <row r="987" spans="1:13" x14ac:dyDescent="0.25">
      <c r="A987" t="str">
        <f>Data_preprocessing!M987</f>
        <v>David</v>
      </c>
      <c r="B987">
        <f>Data_preprocessing!O987</f>
        <v>25</v>
      </c>
      <c r="C987">
        <f>Data_preprocessing!Q987</f>
        <v>65000</v>
      </c>
      <c r="D987" t="str">
        <f>Data_preprocessing!R987</f>
        <v>Female</v>
      </c>
      <c r="E987" t="str">
        <f>Data_preprocessing!S987</f>
        <v>IT</v>
      </c>
      <c r="F987" t="str">
        <f>Data_preprocessing!T987</f>
        <v>Manager</v>
      </c>
      <c r="G987" s="2">
        <f>Data_preprocessing!U987</f>
        <v>43881</v>
      </c>
      <c r="H987" t="str">
        <f>Data_preprocessing!V987</f>
        <v>F</v>
      </c>
      <c r="I987" t="str">
        <f>Data_preprocessing!Y987</f>
        <v>Email not provided</v>
      </c>
      <c r="J987" t="str">
        <f>Data_preprocessing!Z987</f>
        <v>Phone not provided</v>
      </c>
      <c r="K987">
        <f t="shared" ca="1" si="45"/>
        <v>5</v>
      </c>
      <c r="L987" t="str">
        <f t="shared" si="46"/>
        <v>High</v>
      </c>
      <c r="M987" t="str">
        <f t="shared" si="47"/>
        <v>Poor</v>
      </c>
    </row>
    <row r="988" spans="1:13" x14ac:dyDescent="0.25">
      <c r="A988" t="str">
        <f>Data_preprocessing!M988</f>
        <v>Jack</v>
      </c>
      <c r="B988">
        <f>Data_preprocessing!O988</f>
        <v>40</v>
      </c>
      <c r="C988">
        <f>Data_preprocessing!Q988</f>
        <v>55000</v>
      </c>
      <c r="D988" t="str">
        <f>Data_preprocessing!R988</f>
        <v>Female</v>
      </c>
      <c r="E988" t="str">
        <f>Data_preprocessing!S988</f>
        <v>Finance</v>
      </c>
      <c r="F988" t="str">
        <f>Data_preprocessing!T988</f>
        <v>Analyst</v>
      </c>
      <c r="G988" s="2">
        <f>Data_preprocessing!U988</f>
        <v>43549</v>
      </c>
      <c r="H988" t="str">
        <f>Data_preprocessing!V988</f>
        <v>A</v>
      </c>
      <c r="I988" t="str">
        <f>Data_preprocessing!Y988</f>
        <v>user@domain.com</v>
      </c>
      <c r="J988" t="str">
        <f>Data_preprocessing!Z988</f>
        <v>098-765-4321</v>
      </c>
      <c r="K988">
        <f t="shared" ca="1" si="45"/>
        <v>6</v>
      </c>
      <c r="L988" t="str">
        <f t="shared" si="46"/>
        <v>Low</v>
      </c>
      <c r="M988" t="str">
        <f t="shared" si="47"/>
        <v>Excellent</v>
      </c>
    </row>
    <row r="989" spans="1:13" x14ac:dyDescent="0.25">
      <c r="A989" t="str">
        <f>Data_preprocessing!M989</f>
        <v>Eve</v>
      </c>
      <c r="B989">
        <f>Data_preprocessing!O989</f>
        <v>50</v>
      </c>
      <c r="C989">
        <f>Data_preprocessing!Q989</f>
        <v>60000</v>
      </c>
      <c r="D989" t="str">
        <f>Data_preprocessing!R989</f>
        <v>Female</v>
      </c>
      <c r="E989" t="str">
        <f>Data_preprocessing!S989</f>
        <v>Sales</v>
      </c>
      <c r="F989" t="str">
        <f>Data_preprocessing!T989</f>
        <v>Manager</v>
      </c>
      <c r="G989" s="2">
        <f>Data_preprocessing!U989</f>
        <v>43845</v>
      </c>
      <c r="H989" t="str">
        <f>Data_preprocessing!V989</f>
        <v>F</v>
      </c>
      <c r="I989" t="str">
        <f>Data_preprocessing!Y989</f>
        <v>user@domain.com</v>
      </c>
      <c r="J989" t="str">
        <f>Data_preprocessing!Z989</f>
        <v>555-555-5555</v>
      </c>
      <c r="K989">
        <f t="shared" ca="1" si="45"/>
        <v>6</v>
      </c>
      <c r="L989" t="str">
        <f t="shared" si="46"/>
        <v>Medium</v>
      </c>
      <c r="M989" t="str">
        <f t="shared" si="47"/>
        <v>Poor</v>
      </c>
    </row>
    <row r="990" spans="1:13" x14ac:dyDescent="0.25">
      <c r="A990" t="str">
        <f>Data_preprocessing!M990</f>
        <v>David</v>
      </c>
      <c r="B990">
        <f>Data_preprocessing!O990</f>
        <v>40</v>
      </c>
      <c r="C990">
        <f>Data_preprocessing!Q990</f>
        <v>70000</v>
      </c>
      <c r="D990" t="str">
        <f>Data_preprocessing!R990</f>
        <v>Female</v>
      </c>
      <c r="E990" t="str">
        <f>Data_preprocessing!S990</f>
        <v>IT</v>
      </c>
      <c r="F990" t="str">
        <f>Data_preprocessing!T990</f>
        <v>Manager</v>
      </c>
      <c r="G990" s="2">
        <f>Data_preprocessing!U990</f>
        <v>43800</v>
      </c>
      <c r="H990" t="str">
        <f>Data_preprocessing!V990</f>
        <v>C</v>
      </c>
      <c r="I990" t="str">
        <f>Data_preprocessing!Y990</f>
        <v>user@domain.com</v>
      </c>
      <c r="J990" t="str">
        <f>Data_preprocessing!Z990</f>
        <v>Phone not provided</v>
      </c>
      <c r="K990">
        <f t="shared" ca="1" si="45"/>
        <v>6</v>
      </c>
      <c r="L990" t="str">
        <f t="shared" si="46"/>
        <v>High</v>
      </c>
      <c r="M990" t="str">
        <f t="shared" si="47"/>
        <v>Average</v>
      </c>
    </row>
    <row r="991" spans="1:13" x14ac:dyDescent="0.25">
      <c r="A991" t="str">
        <f>Data_preprocessing!M991</f>
        <v>Jack</v>
      </c>
      <c r="B991">
        <f>Data_preprocessing!O991</f>
        <v>50</v>
      </c>
      <c r="C991">
        <f>Data_preprocessing!Q991</f>
        <v>60000</v>
      </c>
      <c r="D991" t="str">
        <f>Data_preprocessing!R991</f>
        <v>Female</v>
      </c>
      <c r="E991" t="str">
        <f>Data_preprocessing!S991</f>
        <v>Sales</v>
      </c>
      <c r="F991" t="str">
        <f>Data_preprocessing!T991</f>
        <v>Director</v>
      </c>
      <c r="G991" s="2">
        <f>Data_preprocessing!U991</f>
        <v>43800</v>
      </c>
      <c r="H991" t="str">
        <f>Data_preprocessing!V991</f>
        <v>F</v>
      </c>
      <c r="I991" t="str">
        <f>Data_preprocessing!Y991</f>
        <v>user@domain.com</v>
      </c>
      <c r="J991" t="str">
        <f>Data_preprocessing!Z991</f>
        <v>123-456-7890</v>
      </c>
      <c r="K991">
        <f t="shared" ca="1" si="45"/>
        <v>6</v>
      </c>
      <c r="L991" t="str">
        <f t="shared" si="46"/>
        <v>Medium</v>
      </c>
      <c r="M991" t="str">
        <f t="shared" si="47"/>
        <v>Poor</v>
      </c>
    </row>
    <row r="992" spans="1:13" x14ac:dyDescent="0.25">
      <c r="A992" t="str">
        <f>Data_preprocessing!M992</f>
        <v>Hannah</v>
      </c>
      <c r="B992">
        <f>Data_preprocessing!O992</f>
        <v>30</v>
      </c>
      <c r="C992">
        <f>Data_preprocessing!Q992</f>
        <v>60000</v>
      </c>
      <c r="D992" t="str">
        <f>Data_preprocessing!R992</f>
        <v>Male</v>
      </c>
      <c r="E992" t="str">
        <f>Data_preprocessing!S992</f>
        <v>HR</v>
      </c>
      <c r="F992" t="str">
        <f>Data_preprocessing!T992</f>
        <v>Assistant</v>
      </c>
      <c r="G992" s="2">
        <f>Data_preprocessing!U992</f>
        <v>43549</v>
      </c>
      <c r="H992" t="str">
        <f>Data_preprocessing!V992</f>
        <v>C</v>
      </c>
      <c r="I992" t="str">
        <f>Data_preprocessing!Y992</f>
        <v>email@example.com</v>
      </c>
      <c r="J992" t="str">
        <f>Data_preprocessing!Z992</f>
        <v>Phone not provided</v>
      </c>
      <c r="K992">
        <f t="shared" ca="1" si="45"/>
        <v>6</v>
      </c>
      <c r="L992" t="str">
        <f t="shared" si="46"/>
        <v>Medium</v>
      </c>
      <c r="M992" t="str">
        <f t="shared" si="47"/>
        <v>Average</v>
      </c>
    </row>
    <row r="993" spans="1:13" x14ac:dyDescent="0.25">
      <c r="A993" t="str">
        <f>Data_preprocessing!M993</f>
        <v>Frank</v>
      </c>
      <c r="B993">
        <f>Data_preprocessing!O993</f>
        <v>25</v>
      </c>
      <c r="C993">
        <f>Data_preprocessing!Q993</f>
        <v>55000</v>
      </c>
      <c r="D993" t="str">
        <f>Data_preprocessing!R993</f>
        <v>Other</v>
      </c>
      <c r="E993" t="str">
        <f>Data_preprocessing!S993</f>
        <v>Marketing</v>
      </c>
      <c r="F993" t="str">
        <f>Data_preprocessing!T993</f>
        <v>Manager</v>
      </c>
      <c r="G993" s="2">
        <f>Data_preprocessing!U993</f>
        <v>43549</v>
      </c>
      <c r="H993" t="str">
        <f>Data_preprocessing!V993</f>
        <v>C</v>
      </c>
      <c r="I993" t="str">
        <f>Data_preprocessing!Y993</f>
        <v>Email not provided</v>
      </c>
      <c r="J993" t="str">
        <f>Data_preprocessing!Z993</f>
        <v>Phone not provided</v>
      </c>
      <c r="K993">
        <f t="shared" ca="1" si="45"/>
        <v>6</v>
      </c>
      <c r="L993" t="str">
        <f t="shared" si="46"/>
        <v>Low</v>
      </c>
      <c r="M993" t="str">
        <f t="shared" si="47"/>
        <v>Average</v>
      </c>
    </row>
    <row r="994" spans="1:13" x14ac:dyDescent="0.25">
      <c r="A994" t="str">
        <f>Data_preprocessing!M994</f>
        <v>Frank</v>
      </c>
      <c r="B994">
        <f>Data_preprocessing!O994</f>
        <v>30</v>
      </c>
      <c r="C994">
        <f>Data_preprocessing!Q994</f>
        <v>60000</v>
      </c>
      <c r="D994" t="str">
        <f>Data_preprocessing!R994</f>
        <v>Female</v>
      </c>
      <c r="E994" t="str">
        <f>Data_preprocessing!S994</f>
        <v>Marketing</v>
      </c>
      <c r="F994" t="str">
        <f>Data_preprocessing!T994</f>
        <v>Analyst</v>
      </c>
      <c r="G994" s="2">
        <f>Data_preprocessing!U994</f>
        <v>43881</v>
      </c>
      <c r="H994" t="str">
        <f>Data_preprocessing!V994</f>
        <v>A</v>
      </c>
      <c r="I994" t="str">
        <f>Data_preprocessing!Y994</f>
        <v>email@example.com</v>
      </c>
      <c r="J994" t="str">
        <f>Data_preprocessing!Z994</f>
        <v>555-555-5555</v>
      </c>
      <c r="K994">
        <f t="shared" ca="1" si="45"/>
        <v>5</v>
      </c>
      <c r="L994" t="str">
        <f t="shared" si="46"/>
        <v>Medium</v>
      </c>
      <c r="M994" t="str">
        <f t="shared" si="47"/>
        <v>Excellent</v>
      </c>
    </row>
    <row r="995" spans="1:13" x14ac:dyDescent="0.25">
      <c r="A995" t="str">
        <f>Data_preprocessing!M995</f>
        <v>Hannah</v>
      </c>
      <c r="B995">
        <f>Data_preprocessing!O995</f>
        <v>35</v>
      </c>
      <c r="C995">
        <f>Data_preprocessing!Q995</f>
        <v>60000</v>
      </c>
      <c r="D995" t="str">
        <f>Data_preprocessing!R995</f>
        <v>Other</v>
      </c>
      <c r="E995" t="str">
        <f>Data_preprocessing!S995</f>
        <v>Finance</v>
      </c>
      <c r="F995" t="str">
        <f>Data_preprocessing!T995</f>
        <v>Clerk</v>
      </c>
      <c r="G995" s="2">
        <f>Data_preprocessing!U995</f>
        <v>43195</v>
      </c>
      <c r="H995" t="str">
        <f>Data_preprocessing!V995</f>
        <v>B</v>
      </c>
      <c r="I995" t="str">
        <f>Data_preprocessing!Y995</f>
        <v>Email not provided</v>
      </c>
      <c r="J995" t="str">
        <f>Data_preprocessing!Z995</f>
        <v>123-456-7890</v>
      </c>
      <c r="K995">
        <f t="shared" ca="1" si="45"/>
        <v>7</v>
      </c>
      <c r="L995" t="str">
        <f t="shared" si="46"/>
        <v>Medium</v>
      </c>
      <c r="M995" t="str">
        <f t="shared" si="47"/>
        <v>Good</v>
      </c>
    </row>
    <row r="996" spans="1:13" x14ac:dyDescent="0.25">
      <c r="A996" t="str">
        <f>Data_preprocessing!M996</f>
        <v>Grace</v>
      </c>
      <c r="B996">
        <f>Data_preprocessing!O996</f>
        <v>30</v>
      </c>
      <c r="C996">
        <f>Data_preprocessing!Q996</f>
        <v>50000</v>
      </c>
      <c r="D996" t="str">
        <f>Data_preprocessing!R996</f>
        <v>Female</v>
      </c>
      <c r="E996" t="str">
        <f>Data_preprocessing!S996</f>
        <v>Marketing</v>
      </c>
      <c r="F996" t="str">
        <f>Data_preprocessing!T996</f>
        <v>Manager</v>
      </c>
      <c r="G996" s="2">
        <f>Data_preprocessing!U996</f>
        <v>43195</v>
      </c>
      <c r="H996" t="str">
        <f>Data_preprocessing!V996</f>
        <v>A</v>
      </c>
      <c r="I996" t="str">
        <f>Data_preprocessing!Y996</f>
        <v>Email not provided</v>
      </c>
      <c r="J996" t="str">
        <f>Data_preprocessing!Z996</f>
        <v>Phone not provided</v>
      </c>
      <c r="K996">
        <f t="shared" ca="1" si="45"/>
        <v>7</v>
      </c>
      <c r="L996" t="str">
        <f t="shared" si="46"/>
        <v>Low</v>
      </c>
      <c r="M996" t="str">
        <f t="shared" si="47"/>
        <v>Excellent</v>
      </c>
    </row>
    <row r="997" spans="1:13" x14ac:dyDescent="0.25">
      <c r="A997" t="str">
        <f>Data_preprocessing!M997</f>
        <v>Jack</v>
      </c>
      <c r="B997">
        <f>Data_preprocessing!O997</f>
        <v>50</v>
      </c>
      <c r="C997">
        <f>Data_preprocessing!Q997</f>
        <v>65000</v>
      </c>
      <c r="D997" t="str">
        <f>Data_preprocessing!R997</f>
        <v>Female</v>
      </c>
      <c r="E997" t="str">
        <f>Data_preprocessing!S997</f>
        <v>HR</v>
      </c>
      <c r="F997" t="str">
        <f>Data_preprocessing!T997</f>
        <v>Manager</v>
      </c>
      <c r="G997" s="2">
        <f>Data_preprocessing!U997</f>
        <v>43881</v>
      </c>
      <c r="H997" t="str">
        <f>Data_preprocessing!V997</f>
        <v>F</v>
      </c>
      <c r="I997" t="str">
        <f>Data_preprocessing!Y997</f>
        <v>Email not provided</v>
      </c>
      <c r="J997" t="str">
        <f>Data_preprocessing!Z997</f>
        <v>098-765-4321</v>
      </c>
      <c r="K997">
        <f t="shared" ca="1" si="45"/>
        <v>5</v>
      </c>
      <c r="L997" t="str">
        <f t="shared" si="46"/>
        <v>High</v>
      </c>
      <c r="M997" t="str">
        <f t="shared" si="47"/>
        <v>Poor</v>
      </c>
    </row>
    <row r="998" spans="1:13" x14ac:dyDescent="0.25">
      <c r="A998" t="str">
        <f>Data_preprocessing!M998</f>
        <v>Jack</v>
      </c>
      <c r="B998">
        <f>Data_preprocessing!O998</f>
        <v>30</v>
      </c>
      <c r="C998">
        <f>Data_preprocessing!Q998</f>
        <v>50000</v>
      </c>
      <c r="D998" t="str">
        <f>Data_preprocessing!R998</f>
        <v>Male</v>
      </c>
      <c r="E998" t="str">
        <f>Data_preprocessing!S998</f>
        <v>Finance</v>
      </c>
      <c r="F998" t="str">
        <f>Data_preprocessing!T998</f>
        <v>Analyst</v>
      </c>
      <c r="G998" s="2">
        <f>Data_preprocessing!U998</f>
        <v>43195</v>
      </c>
      <c r="H998" t="str">
        <f>Data_preprocessing!V998</f>
        <v>C</v>
      </c>
      <c r="I998" t="str">
        <f>Data_preprocessing!Y998</f>
        <v>Email not provided</v>
      </c>
      <c r="J998" t="str">
        <f>Data_preprocessing!Z998</f>
        <v>555-555-5555</v>
      </c>
      <c r="K998">
        <f t="shared" ca="1" si="45"/>
        <v>7</v>
      </c>
      <c r="L998" t="str">
        <f t="shared" si="46"/>
        <v>Low</v>
      </c>
      <c r="M998" t="str">
        <f t="shared" si="47"/>
        <v>Average</v>
      </c>
    </row>
    <row r="999" spans="1:13" x14ac:dyDescent="0.25">
      <c r="A999" t="str">
        <f>Data_preprocessing!M999</f>
        <v>Hannah</v>
      </c>
      <c r="B999">
        <f>Data_preprocessing!O999</f>
        <v>30</v>
      </c>
      <c r="C999">
        <f>Data_preprocessing!Q999</f>
        <v>70000</v>
      </c>
      <c r="D999" t="str">
        <f>Data_preprocessing!R999</f>
        <v>Male</v>
      </c>
      <c r="E999" t="str">
        <f>Data_preprocessing!S999</f>
        <v>IT</v>
      </c>
      <c r="F999" t="str">
        <f>Data_preprocessing!T999</f>
        <v>Assistant</v>
      </c>
      <c r="G999" s="2">
        <f>Data_preprocessing!U999</f>
        <v>43845</v>
      </c>
      <c r="H999" t="str">
        <f>Data_preprocessing!V999</f>
        <v>D</v>
      </c>
      <c r="I999" t="str">
        <f>Data_preprocessing!Y999</f>
        <v>user@domain.com</v>
      </c>
      <c r="J999" t="str">
        <f>Data_preprocessing!Z999</f>
        <v>Phone not provided</v>
      </c>
      <c r="K999">
        <f t="shared" ca="1" si="45"/>
        <v>6</v>
      </c>
      <c r="L999" t="str">
        <f t="shared" si="46"/>
        <v>High</v>
      </c>
      <c r="M999" t="str">
        <f t="shared" si="47"/>
        <v>Below Average</v>
      </c>
    </row>
    <row r="1000" spans="1:13" x14ac:dyDescent="0.25">
      <c r="A1000" t="str">
        <f>Data_preprocessing!M1000</f>
        <v>Bob</v>
      </c>
      <c r="B1000">
        <f>Data_preprocessing!O1000</f>
        <v>25</v>
      </c>
      <c r="C1000">
        <f>Data_preprocessing!Q1000</f>
        <v>65000</v>
      </c>
      <c r="D1000" t="str">
        <f>Data_preprocessing!R1000</f>
        <v>Other</v>
      </c>
      <c r="E1000" t="str">
        <f>Data_preprocessing!S1000</f>
        <v>Marketing</v>
      </c>
      <c r="F1000" t="str">
        <f>Data_preprocessing!T1000</f>
        <v>Manager</v>
      </c>
      <c r="G1000" s="2">
        <f>Data_preprocessing!U1000</f>
        <v>43195</v>
      </c>
      <c r="H1000" t="str">
        <f>Data_preprocessing!V1000</f>
        <v>D</v>
      </c>
      <c r="I1000" t="str">
        <f>Data_preprocessing!Y1000</f>
        <v>email@example.com</v>
      </c>
      <c r="J1000" t="str">
        <f>Data_preprocessing!Z1000</f>
        <v>Phone not provided</v>
      </c>
      <c r="K1000">
        <f t="shared" ca="1" si="45"/>
        <v>7</v>
      </c>
      <c r="L1000" t="str">
        <f t="shared" si="46"/>
        <v>High</v>
      </c>
      <c r="M1000" t="str">
        <f t="shared" si="47"/>
        <v>Below Average</v>
      </c>
    </row>
    <row r="1001" spans="1:13" x14ac:dyDescent="0.25">
      <c r="A1001" t="str">
        <f>Data_preprocessing!M1001</f>
        <v>Ivy</v>
      </c>
      <c r="B1001">
        <f>Data_preprocessing!O1001</f>
        <v>30</v>
      </c>
      <c r="C1001">
        <f>Data_preprocessing!Q1001</f>
        <v>60000</v>
      </c>
      <c r="D1001" t="str">
        <f>Data_preprocessing!R1001</f>
        <v>Male</v>
      </c>
      <c r="E1001" t="str">
        <f>Data_preprocessing!S1001</f>
        <v>Finance</v>
      </c>
      <c r="F1001" t="str">
        <f>Data_preprocessing!T1001</f>
        <v>Manager</v>
      </c>
      <c r="G1001" s="2">
        <f>Data_preprocessing!U1001</f>
        <v>43881</v>
      </c>
      <c r="H1001" t="str">
        <f>Data_preprocessing!V1001</f>
        <v>C</v>
      </c>
      <c r="I1001" t="str">
        <f>Data_preprocessing!Y1001</f>
        <v>user@domain.com</v>
      </c>
      <c r="J1001" t="str">
        <f>Data_preprocessing!Z1001</f>
        <v>123-456-7890</v>
      </c>
      <c r="K1001">
        <f t="shared" ca="1" si="45"/>
        <v>5</v>
      </c>
      <c r="L1001" t="str">
        <f t="shared" si="46"/>
        <v>Medium</v>
      </c>
      <c r="M1001" t="str">
        <f t="shared" si="47"/>
        <v>Average</v>
      </c>
    </row>
  </sheetData>
  <autoFilter ref="A1:L1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10"/>
  <sheetViews>
    <sheetView tabSelected="1" workbookViewId="0">
      <selection activeCell="H26" sqref="H26"/>
    </sheetView>
  </sheetViews>
  <sheetFormatPr defaultRowHeight="15" x14ac:dyDescent="0.25"/>
  <cols>
    <col min="1" max="1" width="22.7109375" customWidth="1"/>
    <col min="2" max="2" width="16.28515625" customWidth="1"/>
    <col min="3" max="3" width="5.5703125" customWidth="1"/>
    <col min="4" max="4" width="6.140625" customWidth="1"/>
    <col min="5" max="5" width="11.28515625" customWidth="1"/>
    <col min="6" max="6" width="7.7109375" customWidth="1"/>
    <col min="7" max="7" width="13.140625" customWidth="1"/>
    <col min="8" max="8" width="24.7109375" customWidth="1"/>
    <col min="9" max="9" width="8" customWidth="1"/>
    <col min="10" max="10" width="22.7109375" customWidth="1"/>
    <col min="11" max="11" width="16.28515625" bestFit="1" customWidth="1"/>
    <col min="12" max="12" width="14.42578125" customWidth="1"/>
    <col min="14" max="14" width="5.85546875" customWidth="1"/>
    <col min="15" max="15" width="5.140625" customWidth="1"/>
    <col min="16" max="16" width="11.28515625" customWidth="1"/>
  </cols>
  <sheetData>
    <row r="2" spans="1:16" x14ac:dyDescent="0.25">
      <c r="A2" t="s">
        <v>65</v>
      </c>
      <c r="G2" t="s">
        <v>66</v>
      </c>
      <c r="J2" t="s">
        <v>75</v>
      </c>
    </row>
    <row r="3" spans="1:16" x14ac:dyDescent="0.25">
      <c r="A3" s="5" t="s">
        <v>67</v>
      </c>
      <c r="B3" s="5" t="s">
        <v>68</v>
      </c>
      <c r="G3" s="5" t="s">
        <v>62</v>
      </c>
      <c r="H3" t="s">
        <v>64</v>
      </c>
      <c r="J3" s="5" t="s">
        <v>67</v>
      </c>
      <c r="K3" s="5" t="s">
        <v>68</v>
      </c>
    </row>
    <row r="4" spans="1:16" x14ac:dyDescent="0.25">
      <c r="A4" s="5" t="s">
        <v>62</v>
      </c>
      <c r="B4" t="s">
        <v>17</v>
      </c>
      <c r="C4" t="s">
        <v>11</v>
      </c>
      <c r="D4" t="s">
        <v>32</v>
      </c>
      <c r="E4" t="s">
        <v>63</v>
      </c>
      <c r="G4" s="6" t="s">
        <v>18</v>
      </c>
      <c r="H4" s="7">
        <v>59977.064220183485</v>
      </c>
      <c r="J4" s="5" t="s">
        <v>62</v>
      </c>
      <c r="K4" t="s">
        <v>70</v>
      </c>
      <c r="L4" t="s">
        <v>71</v>
      </c>
      <c r="M4" t="s">
        <v>72</v>
      </c>
      <c r="N4" t="s">
        <v>73</v>
      </c>
      <c r="O4" t="s">
        <v>74</v>
      </c>
      <c r="P4" t="s">
        <v>63</v>
      </c>
    </row>
    <row r="5" spans="1:16" x14ac:dyDescent="0.25">
      <c r="A5" s="6" t="s">
        <v>18</v>
      </c>
      <c r="B5" s="7">
        <v>60</v>
      </c>
      <c r="C5" s="7">
        <v>74</v>
      </c>
      <c r="D5" s="7">
        <v>84</v>
      </c>
      <c r="E5" s="7">
        <v>218</v>
      </c>
      <c r="F5" s="7"/>
      <c r="G5" s="6" t="s">
        <v>12</v>
      </c>
      <c r="H5" s="7">
        <v>60225</v>
      </c>
      <c r="J5" s="6" t="s">
        <v>18</v>
      </c>
      <c r="K5" s="7">
        <v>37</v>
      </c>
      <c r="L5" s="7">
        <v>44</v>
      </c>
      <c r="M5" s="7">
        <v>40</v>
      </c>
      <c r="N5" s="7">
        <v>49</v>
      </c>
      <c r="O5" s="7">
        <v>48</v>
      </c>
      <c r="P5" s="7">
        <v>218</v>
      </c>
    </row>
    <row r="6" spans="1:16" x14ac:dyDescent="0.25">
      <c r="A6" s="6" t="s">
        <v>12</v>
      </c>
      <c r="B6" s="7">
        <v>64</v>
      </c>
      <c r="C6" s="7">
        <v>74</v>
      </c>
      <c r="D6" s="7">
        <v>62</v>
      </c>
      <c r="E6" s="7">
        <v>200</v>
      </c>
      <c r="F6" s="7"/>
      <c r="G6" s="6" t="s">
        <v>27</v>
      </c>
      <c r="H6" s="7">
        <v>59792.74611398964</v>
      </c>
      <c r="J6" s="6" t="s">
        <v>12</v>
      </c>
      <c r="K6" s="7">
        <v>48</v>
      </c>
      <c r="L6" s="7">
        <v>38</v>
      </c>
      <c r="M6" s="7">
        <v>33</v>
      </c>
      <c r="N6" s="7">
        <v>40</v>
      </c>
      <c r="O6" s="7">
        <v>41</v>
      </c>
      <c r="P6" s="7">
        <v>200</v>
      </c>
    </row>
    <row r="7" spans="1:16" x14ac:dyDescent="0.25">
      <c r="A7" s="6" t="s">
        <v>27</v>
      </c>
      <c r="B7" s="7">
        <v>57</v>
      </c>
      <c r="C7" s="7">
        <v>73</v>
      </c>
      <c r="D7" s="7">
        <v>63</v>
      </c>
      <c r="E7" s="7">
        <v>193</v>
      </c>
      <c r="F7" s="7"/>
      <c r="G7" s="6" t="s">
        <v>33</v>
      </c>
      <c r="H7" s="7">
        <v>60053.475935828879</v>
      </c>
      <c r="J7" s="6" t="s">
        <v>27</v>
      </c>
      <c r="K7" s="7">
        <v>40</v>
      </c>
      <c r="L7" s="7">
        <v>34</v>
      </c>
      <c r="M7" s="7">
        <v>40</v>
      </c>
      <c r="N7" s="7">
        <v>47</v>
      </c>
      <c r="O7" s="7">
        <v>32</v>
      </c>
      <c r="P7" s="7">
        <v>193</v>
      </c>
    </row>
    <row r="8" spans="1:16" x14ac:dyDescent="0.25">
      <c r="A8" s="6" t="s">
        <v>33</v>
      </c>
      <c r="B8" s="7">
        <v>61</v>
      </c>
      <c r="C8" s="7">
        <v>66</v>
      </c>
      <c r="D8" s="7">
        <v>60</v>
      </c>
      <c r="E8" s="7">
        <v>187</v>
      </c>
      <c r="F8" s="7"/>
      <c r="G8" s="6" t="s">
        <v>23</v>
      </c>
      <c r="H8" s="7">
        <v>60841.584158415841</v>
      </c>
      <c r="J8" s="6" t="s">
        <v>33</v>
      </c>
      <c r="K8" s="7">
        <v>35</v>
      </c>
      <c r="L8" s="7">
        <v>35</v>
      </c>
      <c r="M8" s="7">
        <v>41</v>
      </c>
      <c r="N8" s="7">
        <v>46</v>
      </c>
      <c r="O8" s="7">
        <v>30</v>
      </c>
      <c r="P8" s="7">
        <v>187</v>
      </c>
    </row>
    <row r="9" spans="1:16" x14ac:dyDescent="0.25">
      <c r="A9" s="6" t="s">
        <v>23</v>
      </c>
      <c r="B9" s="7">
        <v>71</v>
      </c>
      <c r="C9" s="7">
        <v>68</v>
      </c>
      <c r="D9" s="7">
        <v>63</v>
      </c>
      <c r="E9" s="7">
        <v>202</v>
      </c>
      <c r="F9" s="7"/>
      <c r="G9" s="6" t="s">
        <v>63</v>
      </c>
      <c r="H9" s="7">
        <v>60180</v>
      </c>
      <c r="J9" s="6" t="s">
        <v>23</v>
      </c>
      <c r="K9" s="7">
        <v>32</v>
      </c>
      <c r="L9" s="7">
        <v>39</v>
      </c>
      <c r="M9" s="7">
        <v>38</v>
      </c>
      <c r="N9" s="7">
        <v>43</v>
      </c>
      <c r="O9" s="7">
        <v>50</v>
      </c>
      <c r="P9" s="7">
        <v>202</v>
      </c>
    </row>
    <row r="10" spans="1:16" x14ac:dyDescent="0.25">
      <c r="A10" s="6" t="s">
        <v>63</v>
      </c>
      <c r="B10" s="7">
        <v>313</v>
      </c>
      <c r="C10" s="7">
        <v>355</v>
      </c>
      <c r="D10" s="7">
        <v>332</v>
      </c>
      <c r="E10" s="7">
        <v>1000</v>
      </c>
      <c r="F10" s="7"/>
      <c r="J10" s="6" t="s">
        <v>63</v>
      </c>
      <c r="K10" s="7">
        <v>192</v>
      </c>
      <c r="L10" s="7">
        <v>190</v>
      </c>
      <c r="M10" s="7">
        <v>192</v>
      </c>
      <c r="N10" s="7">
        <v>225</v>
      </c>
      <c r="O10" s="7">
        <v>201</v>
      </c>
      <c r="P10" s="7">
        <v>1000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Data_preprocessing</vt:lpstr>
      <vt:lpstr>Cleaned_Dataset</vt:lpstr>
      <vt:lpstr>Pivot tables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2026-01-22T16:34:24Z</dcterms:modified>
</cp:coreProperties>
</file>